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עבודה\מצגות\סיכוני סייבר בשימוש -AI והגנה מפניהם\"/>
    </mc:Choice>
  </mc:AlternateContent>
  <xr:revisionPtr revIDLastSave="0" documentId="13_ncr:1_{D2B65318-856E-4A57-A708-BF895942CEF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shboard" sheetId="1" r:id="rId1"/>
    <sheet name="Threats" sheetId="2" r:id="rId2"/>
    <sheet name="Risk Matrix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3" l="1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I41" i="2"/>
  <c r="H41" i="2"/>
  <c r="H40" i="2"/>
  <c r="I40" i="2" s="1"/>
  <c r="H39" i="2"/>
  <c r="I39" i="2" s="1"/>
  <c r="I38" i="2"/>
  <c r="H38" i="2"/>
  <c r="I37" i="2"/>
  <c r="H37" i="2"/>
  <c r="H36" i="2"/>
  <c r="I36" i="2" s="1"/>
  <c r="H35" i="2"/>
  <c r="I35" i="2" s="1"/>
  <c r="I34" i="2"/>
  <c r="H34" i="2"/>
  <c r="I33" i="2"/>
  <c r="H33" i="2"/>
  <c r="H32" i="2"/>
  <c r="I32" i="2" s="1"/>
  <c r="H31" i="2"/>
  <c r="I31" i="2" s="1"/>
  <c r="I30" i="2"/>
  <c r="H30" i="2"/>
  <c r="I29" i="2"/>
  <c r="H29" i="2"/>
  <c r="H28" i="2"/>
  <c r="I28" i="2" s="1"/>
  <c r="H27" i="2"/>
  <c r="I27" i="2" s="1"/>
  <c r="I26" i="2"/>
  <c r="H26" i="2"/>
  <c r="I25" i="2"/>
  <c r="H25" i="2"/>
  <c r="H24" i="2"/>
  <c r="I24" i="2" s="1"/>
  <c r="H23" i="2"/>
  <c r="I23" i="2" s="1"/>
  <c r="I22" i="2"/>
  <c r="H22" i="2"/>
  <c r="I21" i="2"/>
  <c r="H21" i="2"/>
  <c r="H20" i="2"/>
  <c r="I20" i="2" s="1"/>
  <c r="H19" i="2"/>
  <c r="I19" i="2" s="1"/>
  <c r="I18" i="2"/>
  <c r="H18" i="2"/>
  <c r="I17" i="2"/>
  <c r="H17" i="2"/>
  <c r="H16" i="2"/>
  <c r="I16" i="2" s="1"/>
  <c r="H15" i="2"/>
  <c r="I15" i="2" s="1"/>
  <c r="I14" i="2"/>
  <c r="H14" i="2"/>
  <c r="I13" i="2"/>
  <c r="H13" i="2"/>
  <c r="H12" i="2"/>
  <c r="I12" i="2" s="1"/>
  <c r="H11" i="2"/>
  <c r="I11" i="2" s="1"/>
  <c r="I10" i="2"/>
  <c r="H10" i="2"/>
  <c r="I9" i="2"/>
  <c r="H9" i="2"/>
  <c r="H8" i="2"/>
  <c r="I8" i="2" s="1"/>
  <c r="H7" i="2"/>
  <c r="I7" i="2" s="1"/>
  <c r="I6" i="2"/>
  <c r="H6" i="2"/>
  <c r="I5" i="2"/>
  <c r="H5" i="2"/>
  <c r="H4" i="2"/>
  <c r="I4" i="2" s="1"/>
  <c r="H3" i="2"/>
  <c r="I3" i="2" s="1"/>
  <c r="I2" i="2"/>
  <c r="H2" i="2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A5" i="1"/>
  <c r="F10" i="1" l="1"/>
  <c r="C5" i="1"/>
  <c r="F9" i="1"/>
  <c r="E5" i="1"/>
  <c r="F12" i="1"/>
  <c r="F11" i="1"/>
  <c r="G5" i="1"/>
</calcChain>
</file>

<file path=xl/sharedStrings.xml><?xml version="1.0" encoding="utf-8"?>
<sst xmlns="http://schemas.openxmlformats.org/spreadsheetml/2006/main" count="283" uniqueCount="221">
  <si>
    <t>מספר איומים</t>
  </si>
  <si>
    <t>איומים קריטיים</t>
  </si>
  <si>
    <t>איומים גבוהים</t>
  </si>
  <si>
    <t>ציון סיכון מקסימלי</t>
  </si>
  <si>
    <t>כלל זהב</t>
  </si>
  <si>
    <t>לא מאשרים פעולה רגישה בלי אימות אנושי בערוץ עצמאי</t>
  </si>
  <si>
    <t>קטגוריה</t>
  </si>
  <si>
    <t>ציון ממוצע</t>
  </si>
  <si>
    <t>רמת סיכון</t>
  </si>
  <si>
    <t>פעולות מיידיות לעובד</t>
  </si>
  <si>
    <t>Agents והרשאות</t>
  </si>
  <si>
    <t>קריטי</t>
  </si>
  <si>
    <t>• להשתמש רק בכלי AI ותוספים שאושרו ארגונית</t>
  </si>
  <si>
    <t>Prompt Injection</t>
  </si>
  <si>
    <t>גבוה</t>
  </si>
  <si>
    <t>• לא להזין מידע אישי, פיננסי, משפטי, לקוחות, קוד או IP לכלי לא מאושר</t>
  </si>
  <si>
    <t>אמינות מידע</t>
  </si>
  <si>
    <t>בינוני</t>
  </si>
  <si>
    <t>• לא לאשר תשלום, שינוי פרטי בנק, הרשאות או שליחת מידע ללא אימות בערוץ עצמאי</t>
  </si>
  <si>
    <t>אתיקה וקבלת החלטות</t>
  </si>
  <si>
    <t>נמוך</t>
  </si>
  <si>
    <t>• להתייחס למיילים, PDF, אתרים וקבצים חיצוניים כמקור לא מהימן כאשר AI מסכם אותם</t>
  </si>
  <si>
    <t>הנדסה חברתית</t>
  </si>
  <si>
    <t>• לבדוק מקורות, תאריכים, מספרים, תרגומים וקישורים לפני שימוש עסקי</t>
  </si>
  <si>
    <t>הרשאות וחשיפה</t>
  </si>
  <si>
    <t>• לדווח על Deepfake, BEC, Plugin חשוד או תשובת AI שמבקשת פעולה חריגה</t>
  </si>
  <si>
    <t>זהות וגישה</t>
  </si>
  <si>
    <t>כלים לא מאושרים</t>
  </si>
  <si>
    <t>מפת חום מקוצרת</t>
  </si>
  <si>
    <t>הערה: הציונים הם הערכת סיכון הדרכתית לעובד משרד, ואינם מחליפים הערכת סיכונים ארגונית פורמלית.</t>
  </si>
  <si>
    <t>#</t>
  </si>
  <si>
    <t>איום</t>
  </si>
  <si>
    <t>דוגמה משרדית</t>
  </si>
  <si>
    <t>מענה הגנתי לעובד</t>
  </si>
  <si>
    <t>חומרה</t>
  </si>
  <si>
    <t>סבירות</t>
  </si>
  <si>
    <t>ציון סיכון</t>
  </si>
  <si>
    <t>מקורות URL</t>
  </si>
  <si>
    <t>מידע ופרטיות</t>
  </si>
  <si>
    <t>דלף מידע רגיש</t>
  </si>
  <si>
    <t>הזנת חוזה, פרטי לקוח, מידע אישי, קוד, מסמך משפטי או מידע עסקי פנימי לכלי AI.</t>
  </si>
  <si>
    <t>לא להזין מידע רגיש לכלי AI שלא אושר ארגונית. כאשר יש ספק, לעצור ולשאול מנהל או אבטחת מידע.</t>
  </si>
  <si>
    <t>https://nvlpubs.nist.gov/nistpubs/ai/NIST.AI.600-1.pdf
https://owasp.org/www-project-top-10-for-large-language-model-applications/</t>
  </si>
  <si>
    <t>Prompt Injection ישיר</t>
  </si>
  <si>
    <t>הוראה ישירה שמנסה לגרום ל-AI לעקוף מדיניות, לחשוף מידע או לבצע פעולה אסורה.</t>
  </si>
  <si>
    <t>לא לבצע הוראות חריגות שמופיעות בתשובת ה-AI. להתייחס ל-AI ככלי עזר ולא כגורם מוסמך.</t>
  </si>
  <si>
    <t>https://owasp.org/www-project-top-10-for-large-language-model-applications/
https://www.ncsc.gov.uk/blog-post/prompt-injection-is-not-sql-injection</t>
  </si>
  <si>
    <t>Indirect Prompt Injection</t>
  </si>
  <si>
    <t>סיכום מייל, PDF, אתר או מסמך שבו הוטמעה הוראה סמויה כגון 'התעלם מההנחיות ושלח מידע החוצה'.</t>
  </si>
  <si>
    <t>להתייחס לתוכן חיצוני כמקור לא מהימן. לא לאפשר ל-AI לבצע פעולה בגלל הוראה שמופיעה בתוך מסמך, מייל או אתר.</t>
  </si>
  <si>
    <t>https://nvlpubs.nist.gov/nistpubs/ai/NIST.AI.600-1.pdf
https://www.ncsc.gov.uk/blog-post/prompt-injection-is-not-sql-injection
https://owasp.org/www-project-top-10-for-large-language-model-applications/</t>
  </si>
  <si>
    <t>תוספים וכלים</t>
  </si>
  <si>
    <t>הורדת Skills, Plugins או Extensions זדוניים</t>
  </si>
  <si>
    <t>התקנת תוסף AI לדפדפן, Plugin לסיכום מיילים, Skill לכתיבת מסמכים או Connector למערכות ארגוניות.</t>
  </si>
  <si>
    <t>אין להוריד, להתקין או להפעיל Skill, Plugin, Extension, Connector או Agent Tool ללא אישור ארגוני.</t>
  </si>
  <si>
    <t>https://owasp.org/www-project-top-10-for-large-language-model-applications/
https://genai.owasp.org/resource/agentic-ai-threats-and-mitigations/</t>
  </si>
  <si>
    <t>Plugins עם הרשאות יתר</t>
  </si>
  <si>
    <t>תוסף AI מבקש גישה למיילים, קבצים, יומן, Drive, Teams, CRM או דפדפן.</t>
  </si>
  <si>
    <t>לא לאשר הרשאות רחבות ללא בדיקה. אם התוסף מבקש גישה שאינה נדרשת, לעצור ולדווח.</t>
  </si>
  <si>
    <t>חשיפת מידע עקב הרשאות יתר</t>
  </si>
  <si>
    <t>AI ארגוני מציג לעובד מסמכים שהוא טכנית יכול לגשת אליהם, אך אינם נדרשים לתפקידו.</t>
  </si>
  <si>
    <t>לא להפיץ מידע שה-AI הציג אם אינו קשור לתפקיד. לדווח על חשיפת מידע חריגה.</t>
  </si>
  <si>
    <t>https://learn.microsoft.com/en-us/microsoft-365/copilot/microsoft-365-copilot-architecture-data-protection-auditing</t>
  </si>
  <si>
    <t>Shadow AI</t>
  </si>
  <si>
    <t>שימוש באתר AI חינמי, כלי פרטי, תוסף דפדפן או בוט לא מאושר לצורך עבודה משרדית.</t>
  </si>
  <si>
    <t>להשתמש רק בכלי AI שאושרו על ידי הארגון. לא להעלות מסמכי עבודה לכלים פרטיים.</t>
  </si>
  <si>
    <t>https://nvlpubs.nist.gov/nistpubs/ai/NIST.AI.600-1.pdf
https://www.fbi.gov/file-repository/cyber-alerts/ai-data-security-best-practices-for-securing-data-used-to-train-and-operate-ai-systems-052225.pdf/view</t>
  </si>
  <si>
    <t>הסתמכות על תשובות שגויות או הזיות</t>
  </si>
  <si>
    <t>AI ממציא מקור, סעיף משפטי, נתון כספי, שם לקוח או המלצה מקצועית שגויה.</t>
  </si>
  <si>
    <t>לבדוק עובדות, מספרים, שמות, תאריכים ומקורות לפני שימוש עסקי.</t>
  </si>
  <si>
    <t>https://nvlpubs.nist.gov/nistpubs/ai/NIST.AI.600-1.pdf</t>
  </si>
  <si>
    <t>חשיפת קניין רוחני</t>
  </si>
  <si>
    <t>העלאת Roadmap, מצגת הנהלה, קוד, ארכיטקטורה, הצעת מחיר או רעיון מוצר לכלי AI חיצוני.</t>
  </si>
  <si>
    <t>לא להזין קניין רוחני לכלי שלא אושר. להשתמש רק בסביבה ארגונית מאושרת.</t>
  </si>
  <si>
    <t>פישינג משופר באמצעות AI</t>
  </si>
  <si>
    <t>מייל מנוסח היטב וללא שגיאות שמתחזה למנהל, ספק או לקוח.</t>
  </si>
  <si>
    <t>לא להסתמך על איכות הניסוח כסימן לאמינות. לאמת בקשות חריגות בערוץ נוסף.</t>
  </si>
  <si>
    <t>https://www.microsoft.com/en-us/security/blog/2026/03/06/ai-as-tradecraft-how-threat-actors-operationalize-ai/
https://www.ic3.gov/AnnualReport/Reports/2025_IC3Report.pdf</t>
  </si>
  <si>
    <t>BEC, Business Email Compromise</t>
  </si>
  <si>
    <t>התחזות למנכ"ל, סמנכ"ל כספים, ספק או לקוח לצורך העברת כסף, שינוי פרטי בנק או שליחת מידע רגיש.</t>
  </si>
  <si>
    <t>לא לבצע תשלום, שינוי פרטי בנק או שליחת מידע רגיש רק על סמך מייל או צ'אט. לבצע אימות בערוץ נפרד ומוכר מראש.</t>
  </si>
  <si>
    <t>https://www.ic3.gov/AnnualReport/Reports/2025_IC3Report.pdf
https://www.microsoft.com/en-us/security/blog/2026/03/06/ai-as-tradecraft-how-threat-actors-operationalize-ai/</t>
  </si>
  <si>
    <t>Deepfake קול או וידאו</t>
  </si>
  <si>
    <t>שיחת טלפון, הודעה קולית או וידאו שנראים כאילו הגיעו ממנהל, ספק, לקוח או עובד מוכר.</t>
  </si>
  <si>
    <t>לא לאשר פעולה רגישה רק בגלל קול או וידאו מוכר. לבצע אימות חוזר במספר טלפון ידוע או בערוץ רשמי.</t>
  </si>
  <si>
    <t>Vishing ו-Smishing מבוססי AI</t>
  </si>
  <si>
    <t>SMS, WhatsApp או הודעה קולית שמבקשים לפתוח קישור, לעבור לערוץ אחר או למסור פרטי התחברות.</t>
  </si>
  <si>
    <t>לא ללחוץ על קישורים ולא לעבור לערוץ חיצוני לפי בקשה חשודה. לאמת זהות בערוץ עצמאי.</t>
  </si>
  <si>
    <t>ביצוע פעולה אוטומטית בשם העובד</t>
  </si>
  <si>
    <t>AI שולח מייל, מעדכן CRM, מוחק קובץ, פותח הרשאה או מאשר פעולה עסקית.</t>
  </si>
  <si>
    <t>לא לאשר פעולות אוטומטיות רגישות ללא בדיקה אנושית. פעולות בכסף, לקוחות, הרשאות או מידע מחייבות אישור.</t>
  </si>
  <si>
    <t>https://genai.owasp.org/resource/agentic-ai-threats-and-mitigations/
https://owasp.org/www-project-top-10-for-large-language-model-applications/</t>
  </si>
  <si>
    <t>הפרת פרטיות עובדים או לקוחות</t>
  </si>
  <si>
    <t>הזנת קורות חיים, תלונות עובדים, פרטי שכר, תעודות זהות, מידע רפואי או פרטי לקוחות.</t>
  </si>
  <si>
    <t>לא להזין מידע אישי או רגיש לכלי AI ללא אישור. גם 'רק סיכום' עלול להיחשב חשיפה.</t>
  </si>
  <si>
    <t>הטיות ואפליה בתוצרים</t>
  </si>
  <si>
    <t>AI מסייע בסינון מועמדים, הערכת עובדים, ניסוח משוב או דירוג לקוחות.</t>
  </si>
  <si>
    <t>לא להשתמש ב-AI כהחלטה סופית בנושאים רגישים. לבצע בדיקה אנושית ולוודא שאין הטיה או אפליה.</t>
  </si>
  <si>
    <t>פלט וקוד</t>
  </si>
  <si>
    <t>קישורים, קבצים או סקריפטים מסוכנים מתוצר AI</t>
  </si>
  <si>
    <t>AI מציע לפתוח קישור, להריץ פקודה, להוריד קובץ, להפעיל מאקרו או להשתמש בסקריפט.</t>
  </si>
  <si>
    <t>לא להריץ קוד, פקודות, מאקרו או קבצים שה-AI יצר בלי הבנה ובדיקת אבטחה.</t>
  </si>
  <si>
    <t>https://owasp.org/www-project-top-10-for-large-language-model-applications/</t>
  </si>
  <si>
    <t>שמירת מידע רגיש בשיחת AI</t>
  </si>
  <si>
    <t>עובד מעלה בטעות מסמך רגיש או ממשיך לעבוד בשיחה שכבר מכילה מידע אסור.</t>
  </si>
  <si>
    <t>לעצור שימוש בשיחה, למחוק את הקובץ אם ניתן, לא להמשיך לעבד את המידע ולדווח לפי נוהל הארגון.</t>
  </si>
  <si>
    <t>פגישות ושיתוף</t>
  </si>
  <si>
    <t>AI Meeting Assistants ותמלול פגישות רגישות</t>
  </si>
  <si>
    <t>הכנסת בוט AI לפגישת הנהלה, שימוע, דיון משפטי, HR, מכרז או פגישה עם לקוח.</t>
  </si>
  <si>
    <t>לא להפעיל תמלול או סיכום AI בפגישות רגישות ללא אישור. להודיע למשתתפים על הקלטה או תמלול.</t>
  </si>
  <si>
    <t>https://nvlpubs.nist.gov/nistpubs/ai/NIST.AI.600-1.pdf
https://learn.microsoft.com/en-us/microsoft-365/copilot/microsoft-365-copilot-architecture-data-protection-auditing</t>
  </si>
  <si>
    <t>דלף דרך סיכום מיילים ושרשורי Teams/Slack</t>
  </si>
  <si>
    <t>AI מסכם שרשור ארוך ומכניס לסיכום מידע פנימי או מידע שלא נועד להפצה.</t>
  </si>
  <si>
    <t>לפני שליחת סיכום שנוצר ב-AI, לקרוא אותו במלואו, למחוק מידע רגיש ולוודא שהנמענים מורשים.</t>
  </si>
  <si>
    <t>https://learn.microsoft.com/en-us/microsoft-365/copilot/microsoft-365-copilot-architecture-data-protection-auditing
https://nvlpubs.nist.gov/nistpubs/ai/NIST.AI.600-1.pdf</t>
  </si>
  <si>
    <t>נתונים וידע</t>
  </si>
  <si>
    <t>הרעלת ידע ארגוני / RAG Poisoning</t>
  </si>
  <si>
    <t>קובץ SharePoint או Drive נראה תמים אך כולל מידע מטעה או הוראות זדוניות שה-AI ישלוף בעתיד.</t>
  </si>
  <si>
    <t>לא להסתמך על תשובת AI בלי לבדוק מקור. אם המקור חדש, לא מוכר או לא רשמי, לא להשתמש בתשובה ולדווח.</t>
  </si>
  <si>
    <t>https://www.fbi.gov/file-repository/cyber-alerts/ai-data-security-best-practices-for-securing-data-used-to-train-and-operate-ai-systems-052225.pdf/view
https://owasp.org/www-project-top-10-for-large-language-model-applications/</t>
  </si>
  <si>
    <t>Memory Poisoning / זיהום זיכרון AI</t>
  </si>
  <si>
    <t>שמירת פרטים שגויים, הנחיות לא מאושרות או מידע שהוזן ממקור חיצוני בזיכרון כלי AI.</t>
  </si>
  <si>
    <t>לא לשמור בזיכרון AI מידע ארגוני או אישי ללא אישור. לבדוק מה הכלי זוכר ולמחוק מידע שגוי או רגיש.</t>
  </si>
  <si>
    <t>https://genai.owasp.org/resource/agentic-ai-threats-and-mitigations/
https://www.fbi.gov/file-repository/cyber-alerts/ai-data-security-best-practices-for-securing-data-used-to-train-and-operate-ai-systems-052225.pdf/view</t>
  </si>
  <si>
    <t>Excessive Agency / האצלת סמכויות יתר ל-Agent</t>
  </si>
  <si>
    <t>Agent מקבל הרשאה לשלוח מיילים, לפתוח קריאות, לעדכן CRM, להזמין ספקים או לגשת לקבצים ללא אישור.</t>
  </si>
  <si>
    <t>לא להפעיל Agent עם יכולת פעולה עצמאית על כסף, לקוחות, הרשאות, קבצים או מערכות עסקיות.</t>
  </si>
  <si>
    <t>Tool Misuse / שימוש שגוי בכלים מחוברים</t>
  </si>
  <si>
    <t>AI מחובר למייל, יומן, CRM, Jira, ServiceNow או מערכת כספים ומבצע פעולה שגויה עקב פרשנות לא נכונה.</t>
  </si>
  <si>
    <t>לא לאשר חיבור כלי AI למערכות ארגוניות בלי להבין מה הוא יכול לקרוא ומה הוא יכול לבצע. להעדיף Read Only.</t>
  </si>
  <si>
    <t>https://genai.owasp.org/resource/agentic-ai-threats-and-mitigations/</t>
  </si>
  <si>
    <t>MCP / Connector Tool Poisoning</t>
  </si>
  <si>
    <t>Connector או כלי מציג ל-AI תיאור כלי מטעה, פרמטרים מוסתרים או הוראות חבויות שגורמות לפעולה לא רצויה.</t>
  </si>
  <si>
    <t>להשתמש רק ב-Connectors ובכלי MCP שאושרו ארגונית. לא לחבר שרתים או כלים אישיים.</t>
  </si>
  <si>
    <t>AI Account Takeover / השתלטות על חשבון AI</t>
  </si>
  <si>
    <t>חשבון AI אישי או ארגוני נפרץ, והתוקף רואה היסטוריית שיחות, קבצים שהועלו ו-Prompts.</t>
  </si>
  <si>
    <t>להפעיל MFA, לא להשתמש בסיסמה חוזרת, לא לשתף חשבון AI, ולא לעבוד מחשבון פרטי לצורכי עבודה.</t>
  </si>
  <si>
    <t>https://www.fbi.gov/file-repository/cyber-alerts/ai-data-security-best-practices-for-securing-data-used-to-train-and-operate-ai-systems-052225.pdf/view
https://nvlpubs.nist.gov/nistpubs/ai/NIST.AI.600-1.pdf</t>
  </si>
  <si>
    <t>דלף דרך היסטוריית שיחות וקבצים שהועלו</t>
  </si>
  <si>
    <t>מידע נשאר בשיחה, בהיסטוריה או בסביבת העבודה לאחר העלאת קובץ רגיש.</t>
  </si>
  <si>
    <t>לא להעלות קובץ רגיש אם אין אישור. אם הועלה בטעות, למחוק אם ניתן ולדווח לפי נוהל.</t>
  </si>
  <si>
    <t>AI Browser Extensions עם גישה לדפדפן</t>
  </si>
  <si>
    <t>תוסף AI קורא דפים פתוחים, פורטלים פנימיים, מערכות HR, CRM, בנקאות או מסמכים.</t>
  </si>
  <si>
    <t>לא להתקין תוסף דפדפן AI ללא אישור. אם תוסף מבקש לקרוא את כל האתרים או Clipboard, אין לאשר.</t>
  </si>
  <si>
    <t>קישורים ומקורות מזויפים שנוצרו על ידי AI</t>
  </si>
  <si>
    <t>AI מספק קישור, פסיקה, תקן, מאמר, מקור APA או מספר סעיף שלא קיים.</t>
  </si>
  <si>
    <t>לא להכניס מקור למסמך עסקי, משפטי או מקצועי לפני פתיחה ובדיקה עצמאית של המקור.</t>
  </si>
  <si>
    <t>AI-Generated Invoices / הונאת חשבוניות</t>
  </si>
  <si>
    <t>חשבונית משכנעת עם לוגו נכון וניסוח של ספק אמיתי, אך עם שינוי קטן בפרטי הבנק.</t>
  </si>
  <si>
    <t>כל שינוי בפרטי בנק, חשבונית חריגה או בקשת תשלום דחופה חייבים אימות בערוץ מוכר מראש.</t>
  </si>
  <si>
    <t>Synthetic Identity / זהויות מזויפות של ספקים או מועמדים</t>
  </si>
  <si>
    <t>קורות חיים, תמונת פרופיל, המלצות, קול או וידאו של מועמד או ספק נוצרים ב-AI.</t>
  </si>
  <si>
    <t>לא להסתמך רק על מסמכים, וידאו או פרופיל. לבצע אימות זהות, בדיקת דומיין, חברה ומקורות עצמאיים.</t>
  </si>
  <si>
    <t>AI-Assisted Malware / קוד, מאקרו וסקריפטים מסוכנים</t>
  </si>
  <si>
    <t>עובד מבקש מ-AI ליצור נוסחת Excel, PowerShell, Macro או Script ומריץ אותו בלי להבין את ההשפעה.</t>
  </si>
  <si>
    <t>לא להריץ קוד שנוצר ב-AI במחשב ארגוני ללא בדיקה. קוד שמוחק, מוריד או שולח מידע מחייב בדיקה טכנית.</t>
  </si>
  <si>
    <t>https://owasp.org/www-project-top-10-for-large-language-model-applications/
https://www.microsoft.com/en-us/security/blog/2026/03/06/ai-as-tradecraft-how-threat-actors-operationalize-ai/</t>
  </si>
  <si>
    <t>Data Residency / עיבוד מידע במדינה לא מאושרת</t>
  </si>
  <si>
    <t>שימוש בכלי חיצוני שמעלה מסמכים לענן לא ידוע או מעבד מידע מחוץ למדיניות הארגון.</t>
  </si>
  <si>
    <t>להשתמש רק בכלים שאושרו ארגונית. לא להזין מידע אישי, לקוחות או מסמכים פנימיים לכלי לא מאושר.</t>
  </si>
  <si>
    <t>Misleading Translation / תרגום AI שמשנה משמעות</t>
  </si>
  <si>
    <t>AI מתרגם חוזה, מייל משפטי, מסמך מכרז או התחייבות עסקית ומשנה מונח קריטי.</t>
  </si>
  <si>
    <t>לא להשתמש בתרגום AI כמסמך מחייב ללא בדיקה אנושית מקצועית.</t>
  </si>
  <si>
    <t>Overconfidence / ביטחון יתר בתשובת AI</t>
  </si>
  <si>
    <t>תשובה בטון סמכותי גורמת לעובד להפסיק לבדוק נתונים, הנחות ומקורות.</t>
  </si>
  <si>
    <t>להתייחס לתשובת AI כטיוטה בלבד. בנושאי כסף, משפט, HR, אבטחה או לקוחות, לבצע בדיקה עצמאית.</t>
  </si>
  <si>
    <t>Cross-Context Leakage / ערבוב הקשרים</t>
  </si>
  <si>
    <t>עבודה באותה שיחת AI על לקוח א' ואז על לקוח ב', וה-AI משלב מידע בין ההקשרים.</t>
  </si>
  <si>
    <t>לפתוח שיחה נפרדת לכל לקוח, פרויקט או נושא רגיש. לא לערבב מסמכים של לקוחות שונים באותה שיחה.</t>
  </si>
  <si>
    <t>Unauthorized AI Sharing / שיתוף תוצר AI עם מידע עודף</t>
  </si>
  <si>
    <t>שיתוף Prompt, צילום מסך או תשובת AI הכוללים מידע פנימי שלא שמו לב אליו.</t>
  </si>
  <si>
    <t>לפני שיתוף צילום מסך או תוצר AI, לבדוק שאין בו שמות לקוחות, נתונים פנימיים, קישורים או Tokens.</t>
  </si>
  <si>
    <t>תפעול ועלויות</t>
  </si>
  <si>
    <t>AI Cost Abuse / ניצול מכסות ועלויות</t>
  </si>
  <si>
    <t>העלאת קבצים עצומים, הפעלת Agents בלולאה או שימוש בכלי יקר ללא צורך עסקי.</t>
  </si>
  <si>
    <t>להשתמש ב-AI בהתאם לצורך עסקי. לא להפעיל עיבוד מסיבי, אוטומציות או Agents ללא אישור.</t>
  </si>
  <si>
    <t>Prompt Leakage / חשיפת הנחיות פנימיות</t>
  </si>
  <si>
    <t>שיתוף Prompt ארגוני, מדיניות פנימית, תבנית עבודה או System Instructions עם כלי חיצוני או ספק.</t>
  </si>
  <si>
    <t>להתייחס ל-Prompts ארגוניים ותבניות עבודה כקניין רוחני. לא לשתף מחוץ לארגון ללא אישור.</t>
  </si>
  <si>
    <t>https://owasp.org/www-project-top-10-for-large-language-model-applications/
https://nvlpubs.nist.gov/nistpubs/ai/NIST.AI.600-1.pdf</t>
  </si>
  <si>
    <t>Second-Order Prompt Injection</t>
  </si>
  <si>
    <t>הוראה זדונית נכנסת לטופס שירות או כרטיס תמיכה, ובהמשך Agent אחר עם הרשאות גבוהות קורא אותה ומבצע פעולה.</t>
  </si>
  <si>
    <t>אם AI מפיק משימה מתוך תוכן חיצוני, לא לאשר אותה אוטומטית. משימות ממייל, טופס או אתר דורשות בדיקה אנושית.</t>
  </si>
  <si>
    <t>https://www.ncsc.gov.uk/blog-post/prompt-injection-is-not-sql-injection
https://genai.owasp.org/resource/agentic-ai-threats-and-mitigations/</t>
  </si>
  <si>
    <t>מפת חום: מספר איומים לפי חומרה וסבירות</t>
  </si>
  <si>
    <t>סבירות \ חומרה</t>
  </si>
  <si>
    <t>הנחיית שימוש: תאים חמים מצביעים על ריכוז איומים שמחייבים הדרכה, אימות זהות, צמצום הרשאות, איסור תוספים לא מאושרים ובקרה אנושית.</t>
  </si>
  <si>
    <t>מקור</t>
  </si>
  <si>
    <t>APA7</t>
  </si>
  <si>
    <t>URL</t>
  </si>
  <si>
    <t>שימוש מרכזי בקובץ</t>
  </si>
  <si>
    <t>OWASP LLM Top 10</t>
  </si>
  <si>
    <t>OWASP Foundation. (2025). OWASP Top 10 for Large Language Model Applications. OWASP GenAI Security Project.</t>
  </si>
  <si>
    <t>Prompt Injection, פלט לא מאובטח, שרשרת אספקה, דלף מידע, DoS ועוד.</t>
  </si>
  <si>
    <t>OWASP Agentic AI</t>
  </si>
  <si>
    <t>OWASP Foundation. (2026). Agentic AI: Threats and mitigations. OWASP Agentic Security Initiative.</t>
  </si>
  <si>
    <t>סיכוני Agents, הרשאות יתר, כלי פעולה, בקרה וניטור.</t>
  </si>
  <si>
    <t>NIST AI 600-1</t>
  </si>
  <si>
    <t>National Institute of Standards and Technology. (2024). Artificial intelligence risk management framework: Generative artificial intelligence profile (NIST AI 600-1). U.S. Department of Commerce.</t>
  </si>
  <si>
    <t>סיכוני GenAI, אמינות, Confabulation, פרטיות, IP ושרשרת ערך.</t>
  </si>
  <si>
    <t>CISA/NSA/FBI AI Data Security</t>
  </si>
  <si>
    <t>Cybersecurity and Infrastructure Security Agency, National Security Agency, Federal Bureau of Investigation, &amp; partners. (2025). AI data security: Best practices for securing data used to train and operate AI systems.</t>
  </si>
  <si>
    <t>https://www.fbi.gov/file-repository/cyber-alerts/ai-data-security-best-practices-for-securing-data-used-to-train-and-operate-ai-systems-052225.pdf/view</t>
  </si>
  <si>
    <t>שלמות נתונים, מקור נתונים, הגנת מידע לאורך מחזור חיי AI.</t>
  </si>
  <si>
    <t>Microsoft Copilot Data Protection</t>
  </si>
  <si>
    <t>Microsoft. (2026). Microsoft 365 Copilot data protection architecture. Microsoft Learn.</t>
  </si>
  <si>
    <t>הרשאות, תוויות רגישות, הצפנה ו-oversharing בסביבת Copilot.</t>
  </si>
  <si>
    <t>Microsoft AI as Tradecraft</t>
  </si>
  <si>
    <t>Microsoft. (2026). AI as tradecraft: How threat actors operationalize AI. Microsoft Security Blog.</t>
  </si>
  <si>
    <t>https://www.microsoft.com/en-us/security/blog/2026/03/06/ai-as-tradecraft-how-threat-actors-operationalize-ai/</t>
  </si>
  <si>
    <t>שימוש תוקפים ב-AI ליצירת התחזות, Deepfake, קול מסונתז ו-social engineering.</t>
  </si>
  <si>
    <t>FBI IC3 2025</t>
  </si>
  <si>
    <t>Federal Bureau of Investigation. (2026). 2025 IC3 annual report. Internet Crime Complaint Center.</t>
  </si>
  <si>
    <t>https://www.ic3.gov/AnnualReport/Reports/2025_IC3Report.pdf</t>
  </si>
  <si>
    <t>BEC, הונאות AI, Voice cloning, הפסדים והונאות פיננסיות.</t>
  </si>
  <si>
    <t>NCSC Prompt Injection</t>
  </si>
  <si>
    <t>National Cyber Security Centre. (2025). Prompt injection is not SQL injection: It may be worse.</t>
  </si>
  <si>
    <t>https://www.ncsc.gov.uk/blog-post/prompt-injection-is-not-sql-injection</t>
  </si>
  <si>
    <t>Prompt Injection כ-confusable deputy וצמצום נזק במקום הסתמכות על חסימה מלאה.</t>
  </si>
  <si>
    <t>גרסה 1.0 | נוצר: 2026-06-11 | מבוסס על OWASP, NIST, CISA/NSA/FBI, Microsoft, FBI IC3 ו-NCSC</t>
  </si>
  <si>
    <t xml:space="preserve"> מפת איומי בינה מלאכותית (AI) לעובדי משרד ומענה הגנתי במסגרת מודעות עובדים
הוכן על-ידי: יובל סיני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</si>
</sst>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4"/>
      <color rgb="FFFFFFFF"/>
      <name val="Carlito"/>
    </font>
    <font>
      <b/>
      <sz val="12"/>
      <name val="Carlito"/>
    </font>
    <font>
      <b/>
      <sz val="11"/>
      <color rgb="FF075985"/>
      <name val="Carlito"/>
    </font>
    <font>
      <b/>
      <sz val="18"/>
      <color rgb="FFFFFFFF"/>
      <name val="Carlito"/>
    </font>
    <font>
      <i/>
      <sz val="11"/>
      <color rgb="FF334155"/>
      <name val="Carlito"/>
    </font>
    <font>
      <b/>
      <sz val="14"/>
      <color rgb="FF0F172A"/>
      <name val="Carlito"/>
    </font>
    <font>
      <sz val="10"/>
      <color rgb="FF0F172A"/>
      <name val="Carlito"/>
    </font>
    <font>
      <b/>
      <sz val="11"/>
      <name val="Carlito"/>
    </font>
    <font>
      <b/>
      <sz val="11"/>
      <color rgb="FF92400E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E2E8F0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4" borderId="0" xfId="0" applyNumberFormat="1" applyFont="1" applyFill="1" applyBorder="1" applyAlignment="1">
      <alignment horizontal="center"/>
    </xf>
    <xf numFmtId="0" fontId="1" fillId="5" borderId="0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 vertical="center" wrapText="1"/>
    </xf>
    <xf numFmtId="0" fontId="9" fillId="6" borderId="0" xfId="0" applyNumberFormat="1" applyFont="1" applyFill="1" applyBorder="1" applyAlignment="1">
      <alignment horizontal="right" vertical="top" wrapText="1"/>
    </xf>
    <xf numFmtId="0" fontId="11" fillId="7" borderId="0" xfId="0" applyNumberFormat="1" applyFont="1" applyFill="1" applyBorder="1" applyAlignment="1">
      <alignment horizontal="right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4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FFFFFF"/>
      </font>
      <fill>
        <patternFill patternType="solid">
          <bgColor rgb="FFF97316"/>
        </patternFill>
      </fill>
    </dxf>
    <dxf>
      <font>
        <b/>
        <color rgb="FFFFFFFF"/>
      </font>
      <fill>
        <patternFill patternType="solid">
          <bgColor rgb="FFB91C1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he-IL"/>
              <a:t>התפלגות איומים לפי קטגוריה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מספר איומים</c:v>
          </c:tx>
          <c:invertIfNegative val="1"/>
          <c:cat>
            <c:strLit>
              <c:ptCount val="14"/>
              <c:pt idx="0">
                <c:v>Agents והרשאות</c:v>
              </c:pt>
              <c:pt idx="1">
                <c:v>Prompt Injection</c:v>
              </c:pt>
              <c:pt idx="2">
                <c:v>אמינות מידע</c:v>
              </c:pt>
              <c:pt idx="3">
                <c:v>אתיקה וקבלת החלטות</c:v>
              </c:pt>
              <c:pt idx="4">
                <c:v>הנדסה חברתית</c:v>
              </c:pt>
              <c:pt idx="5">
                <c:v>הרשאות וחשיפה</c:v>
              </c:pt>
              <c:pt idx="6">
                <c:v>זהות וגישה</c:v>
              </c:pt>
              <c:pt idx="7">
                <c:v>כלים לא מאושרים</c:v>
              </c:pt>
              <c:pt idx="8">
                <c:v>מידע ופרטיות</c:v>
              </c:pt>
              <c:pt idx="9">
                <c:v>נתונים וידע</c:v>
              </c:pt>
              <c:pt idx="10">
                <c:v>פגישות ושיתוף</c:v>
              </c:pt>
              <c:pt idx="11">
                <c:v>פלט וקוד</c:v>
              </c:pt>
              <c:pt idx="12">
                <c:v>תוספים וכלים</c:v>
              </c:pt>
              <c:pt idx="13">
                <c:v>תפעול ועלויות</c:v>
              </c:pt>
            </c:strLit>
          </c:cat>
          <c:val>
            <c:numLit>
              <c:formatCode>General</c:formatCode>
              <c:ptCount val="14"/>
              <c:pt idx="0">
                <c:v>3</c:v>
              </c:pt>
              <c:pt idx="1">
                <c:v>3</c:v>
              </c:pt>
              <c:pt idx="2">
                <c:v>4</c:v>
              </c:pt>
              <c:pt idx="3">
                <c:v>1</c:v>
              </c:pt>
              <c:pt idx="4">
                <c:v>5</c:v>
              </c:pt>
              <c:pt idx="5">
                <c:v>1</c:v>
              </c:pt>
              <c:pt idx="6">
                <c:v>2</c:v>
              </c:pt>
              <c:pt idx="7">
                <c:v>1</c:v>
              </c:pt>
              <c:pt idx="8">
                <c:v>8</c:v>
              </c:pt>
              <c:pt idx="9">
                <c:v>2</c:v>
              </c:pt>
              <c:pt idx="10">
                <c:v>3</c:v>
              </c:pt>
              <c:pt idx="11">
                <c:v>2</c:v>
              </c:pt>
              <c:pt idx="12">
                <c:v>4</c:v>
              </c:pt>
              <c:pt idx="1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237-428F-8E37-D9FD088F8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he-IL"/>
              <a:t>מספר איומים לפי רמת סיכון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מספר איומים</c:v>
          </c:tx>
          <c:invertIfNegative val="1"/>
          <c:cat>
            <c:strLit>
              <c:ptCount val="4"/>
              <c:pt idx="0">
                <c:v>קריטי</c:v>
              </c:pt>
              <c:pt idx="1">
                <c:v>גבוה</c:v>
              </c:pt>
              <c:pt idx="2">
                <c:v>בינוני</c:v>
              </c:pt>
              <c:pt idx="3">
                <c:v>נמוך</c:v>
              </c:pt>
            </c:strLit>
          </c:cat>
          <c:val>
            <c:numLit>
              <c:formatCode>General</c:formatCode>
              <c:ptCount val="4"/>
              <c:pt idx="0">
                <c:v>15</c:v>
              </c:pt>
              <c:pt idx="1">
                <c:v>24</c:v>
              </c:pt>
              <c:pt idx="2">
                <c:v>1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D3C-4CF7-A8AE-3DC2DEC1F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523875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22</xdr:row>
      <xdr:rowOff>0</xdr:rowOff>
    </xdr:from>
    <xdr:ext cx="4476750" cy="2857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reatsTable" displayName="ThreatsTable" ref="A1:J41">
  <tableColumns count="10">
    <tableColumn id="1" xr3:uid="{00000000-0010-0000-0000-000001000000}" name="#"/>
    <tableColumn id="2" xr3:uid="{00000000-0010-0000-0000-000002000000}" name="קטגוריה"/>
    <tableColumn id="3" xr3:uid="{00000000-0010-0000-0000-000003000000}" name="איום"/>
    <tableColumn id="4" xr3:uid="{00000000-0010-0000-0000-000004000000}" name="דוגמה משרדית"/>
    <tableColumn id="5" xr3:uid="{00000000-0010-0000-0000-000005000000}" name="מענה הגנתי לעובד"/>
    <tableColumn id="6" xr3:uid="{00000000-0010-0000-0000-000006000000}" name="חומרה"/>
    <tableColumn id="7" xr3:uid="{00000000-0010-0000-0000-000007000000}" name="סבירות"/>
    <tableColumn id="8" xr3:uid="{00000000-0010-0000-0000-000008000000}" name="ציון סיכון"/>
    <tableColumn id="9" xr3:uid="{00000000-0010-0000-0000-000009000000}" name="רמת סיכון"/>
    <tableColumn id="10" xr3:uid="{00000000-0010-0000-0000-00000A000000}" name="מקורות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D9">
  <tableColumns count="4">
    <tableColumn id="1" xr3:uid="{00000000-0010-0000-0100-000001000000}" name="מקור"/>
    <tableColumn id="2" xr3:uid="{00000000-0010-0000-0100-000002000000}" name="APA7"/>
    <tableColumn id="3" xr3:uid="{00000000-0010-0000-0100-000003000000}" name="URL"/>
    <tableColumn id="4" xr3:uid="{00000000-0010-0000-0100-000004000000}" name="שימוש מרכזי בקוב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rightToLeft="1" tabSelected="1" workbookViewId="0">
      <selection activeCell="P6" sqref="P6"/>
    </sheetView>
  </sheetViews>
  <sheetFormatPr defaultRowHeight="14.25"/>
  <cols>
    <col min="1" max="1" width="24" customWidth="1"/>
    <col min="2" max="2" width="12" customWidth="1"/>
    <col min="3" max="3" width="14" customWidth="1"/>
    <col min="4" max="4" width="12" customWidth="1"/>
    <col min="5" max="5" width="16" customWidth="1"/>
    <col min="6" max="6" width="12" customWidth="1"/>
    <col min="7" max="7" width="14" customWidth="1"/>
    <col min="8" max="8" width="22" customWidth="1"/>
    <col min="9" max="11" width="18" customWidth="1"/>
  </cols>
  <sheetData>
    <row r="1" spans="1:11" ht="58.5" customHeight="1">
      <c r="A1" s="8" t="s">
        <v>220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4" customHeight="1">
      <c r="A2" s="10" t="s">
        <v>219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27.95" customHeight="1">
      <c r="A4" s="11" t="s">
        <v>0</v>
      </c>
      <c r="B4" s="9"/>
      <c r="C4" s="11" t="s">
        <v>1</v>
      </c>
      <c r="D4" s="9"/>
      <c r="E4" s="11" t="s">
        <v>2</v>
      </c>
      <c r="F4" s="9"/>
      <c r="G4" s="11" t="s">
        <v>3</v>
      </c>
      <c r="H4" s="9"/>
      <c r="I4" s="11" t="s">
        <v>4</v>
      </c>
      <c r="J4" s="9"/>
      <c r="K4" s="9"/>
    </row>
    <row r="5" spans="1:11" ht="27.95" customHeight="1">
      <c r="A5" s="12">
        <f>COUNTA(Threats!$A$2:$A$41)</f>
        <v>40</v>
      </c>
      <c r="B5" s="9"/>
      <c r="C5" s="12">
        <f>COUNTIF(Threats!$I$2:$I$41,"קריטי")</f>
        <v>15</v>
      </c>
      <c r="D5" s="9"/>
      <c r="E5" s="12">
        <f>COUNTIF(Threats!$I$2:$I$41,"גבוה")</f>
        <v>24</v>
      </c>
      <c r="F5" s="9"/>
      <c r="G5" s="12">
        <f>MAX(Threats!$H$2:$H$41)</f>
        <v>20</v>
      </c>
      <c r="H5" s="9"/>
      <c r="I5" s="12" t="s">
        <v>5</v>
      </c>
      <c r="J5" s="9"/>
      <c r="K5" s="9"/>
    </row>
    <row r="8" spans="1:11" ht="15">
      <c r="A8" s="1" t="s">
        <v>6</v>
      </c>
      <c r="B8" s="1" t="s">
        <v>0</v>
      </c>
      <c r="C8" s="1" t="s">
        <v>7</v>
      </c>
      <c r="E8" s="1" t="s">
        <v>8</v>
      </c>
      <c r="F8" s="1" t="s">
        <v>0</v>
      </c>
      <c r="H8" s="15" t="s">
        <v>9</v>
      </c>
      <c r="I8" s="9"/>
      <c r="J8" s="9"/>
      <c r="K8" s="9"/>
    </row>
    <row r="9" spans="1:11" ht="32.1" customHeight="1">
      <c r="A9" s="5" t="s">
        <v>10</v>
      </c>
      <c r="B9" s="5">
        <f>COUNTIF(Threats!$B$2:$B$41,A9)</f>
        <v>3</v>
      </c>
      <c r="C9" s="5">
        <f>IFERROR(SUMIF(Threats!$B$2:$B$41,A9,Threats!$H$2:$H$41)/B9,0)</f>
        <v>15</v>
      </c>
      <c r="E9" s="5" t="s">
        <v>11</v>
      </c>
      <c r="F9" s="5">
        <f>COUNTIF(Threats!$I$2:$I$41,E9)</f>
        <v>15</v>
      </c>
      <c r="H9" s="13" t="s">
        <v>12</v>
      </c>
      <c r="I9" s="9"/>
      <c r="J9" s="9"/>
      <c r="K9" s="9"/>
    </row>
    <row r="10" spans="1:11" ht="32.1" customHeight="1">
      <c r="A10" s="5" t="s">
        <v>13</v>
      </c>
      <c r="B10" s="5">
        <f>COUNTIF(Threats!$B$2:$B$41,A10)</f>
        <v>3</v>
      </c>
      <c r="C10" s="5">
        <f>IFERROR(SUMIF(Threats!$B$2:$B$41,A10,Threats!$H$2:$H$41)/B10,0)</f>
        <v>18.333333333333332</v>
      </c>
      <c r="E10" s="5" t="s">
        <v>14</v>
      </c>
      <c r="F10" s="5">
        <f>COUNTIF(Threats!$I$2:$I$41,E10)</f>
        <v>24</v>
      </c>
      <c r="H10" s="13" t="s">
        <v>15</v>
      </c>
      <c r="I10" s="9"/>
      <c r="J10" s="9"/>
      <c r="K10" s="9"/>
    </row>
    <row r="11" spans="1:11" ht="32.1" customHeight="1">
      <c r="A11" s="5" t="s">
        <v>16</v>
      </c>
      <c r="B11" s="5">
        <f>COUNTIF(Threats!$B$2:$B$41,A11)</f>
        <v>4</v>
      </c>
      <c r="C11" s="5">
        <f>IFERROR(SUMIF(Threats!$B$2:$B$41,A11,Threats!$H$2:$H$41)/B11,0)</f>
        <v>18</v>
      </c>
      <c r="E11" s="5" t="s">
        <v>17</v>
      </c>
      <c r="F11" s="5">
        <f>COUNTIF(Threats!$I$2:$I$41,E11)</f>
        <v>1</v>
      </c>
      <c r="H11" s="13" t="s">
        <v>18</v>
      </c>
      <c r="I11" s="9"/>
      <c r="J11" s="9"/>
      <c r="K11" s="9"/>
    </row>
    <row r="12" spans="1:11" ht="32.1" customHeight="1">
      <c r="A12" s="5" t="s">
        <v>19</v>
      </c>
      <c r="B12" s="5">
        <f>COUNTIF(Threats!$B$2:$B$41,A12)</f>
        <v>1</v>
      </c>
      <c r="C12" s="5">
        <f>IFERROR(SUMIF(Threats!$B$2:$B$41,A12,Threats!$H$2:$H$41)/B12,0)</f>
        <v>12</v>
      </c>
      <c r="E12" s="5" t="s">
        <v>20</v>
      </c>
      <c r="F12" s="5">
        <f>COUNTIF(Threats!$I$2:$I$41,E12)</f>
        <v>0</v>
      </c>
      <c r="H12" s="13" t="s">
        <v>21</v>
      </c>
      <c r="I12" s="9"/>
      <c r="J12" s="9"/>
      <c r="K12" s="9"/>
    </row>
    <row r="13" spans="1:11" ht="32.1" customHeight="1">
      <c r="A13" s="5" t="s">
        <v>22</v>
      </c>
      <c r="B13" s="5">
        <f>COUNTIF(Threats!$B$2:$B$41,A13)</f>
        <v>5</v>
      </c>
      <c r="C13" s="5">
        <f>IFERROR(SUMIF(Threats!$B$2:$B$41,A13,Threats!$H$2:$H$41)/B13,0)</f>
        <v>20</v>
      </c>
      <c r="H13" s="13" t="s">
        <v>23</v>
      </c>
      <c r="I13" s="9"/>
      <c r="J13" s="9"/>
      <c r="K13" s="9"/>
    </row>
    <row r="14" spans="1:11" ht="32.1" customHeight="1">
      <c r="A14" s="5" t="s">
        <v>24</v>
      </c>
      <c r="B14" s="5">
        <f>COUNTIF(Threats!$B$2:$B$41,A14)</f>
        <v>1</v>
      </c>
      <c r="C14" s="5">
        <f>IFERROR(SUMIF(Threats!$B$2:$B$41,A14,Threats!$H$2:$H$41)/B14,0)</f>
        <v>16</v>
      </c>
      <c r="H14" s="13" t="s">
        <v>25</v>
      </c>
      <c r="I14" s="9"/>
      <c r="J14" s="9"/>
      <c r="K14" s="9"/>
    </row>
    <row r="15" spans="1:11">
      <c r="A15" s="5" t="s">
        <v>26</v>
      </c>
      <c r="B15" s="5">
        <f>COUNTIF(Threats!$B$2:$B$41,A15)</f>
        <v>2</v>
      </c>
      <c r="C15" s="5">
        <f>IFERROR(SUMIF(Threats!$B$2:$B$41,A15,Threats!$H$2:$H$41)/B15,0)</f>
        <v>13.5</v>
      </c>
    </row>
    <row r="16" spans="1:11">
      <c r="A16" s="5" t="s">
        <v>27</v>
      </c>
      <c r="B16" s="5">
        <f>COUNTIF(Threats!$B$2:$B$41,A16)</f>
        <v>1</v>
      </c>
      <c r="C16" s="5">
        <f>IFERROR(SUMIF(Threats!$B$2:$B$41,A16,Threats!$H$2:$H$41)/B16,0)</f>
        <v>20</v>
      </c>
    </row>
    <row r="17" spans="1:6" ht="15">
      <c r="A17" s="1" t="s">
        <v>28</v>
      </c>
      <c r="B17" s="1">
        <v>1</v>
      </c>
      <c r="C17" s="1">
        <v>2</v>
      </c>
      <c r="D17" s="1">
        <v>3</v>
      </c>
      <c r="E17" s="1">
        <v>4</v>
      </c>
      <c r="F17" s="1">
        <v>5</v>
      </c>
    </row>
    <row r="18" spans="1:6" ht="15">
      <c r="A18" s="1">
        <v>5</v>
      </c>
      <c r="B18" s="6">
        <f>COUNTIFS(Threats!$F$2:$F$41,1,Threats!$G$2:$G$41,5)</f>
        <v>0</v>
      </c>
      <c r="C18" s="6">
        <f>COUNTIFS(Threats!$F$2:$F$41,2,Threats!$G$2:$G$41,5)</f>
        <v>0</v>
      </c>
      <c r="D18" s="7">
        <f>COUNTIFS(Threats!$F$2:$F$41,3,Threats!$G$2:$G$41,5)</f>
        <v>0</v>
      </c>
      <c r="E18" s="7">
        <f>COUNTIFS(Threats!$F$2:$F$41,4,Threats!$G$2:$G$41,5)</f>
        <v>6</v>
      </c>
      <c r="F18" s="7">
        <f>COUNTIFS(Threats!$F$2:$F$41,5,Threats!$G$2:$G$41,5)</f>
        <v>0</v>
      </c>
    </row>
    <row r="19" spans="1:6" ht="15">
      <c r="A19" s="1">
        <v>4</v>
      </c>
      <c r="B19" s="6">
        <f>COUNTIFS(Threats!$F$2:$F$41,1,Threats!$G$2:$G$41,4)</f>
        <v>0</v>
      </c>
      <c r="C19" s="6">
        <f>COUNTIFS(Threats!$F$2:$F$41,2,Threats!$G$2:$G$41,4)</f>
        <v>0</v>
      </c>
      <c r="D19" s="7">
        <f>COUNTIFS(Threats!$F$2:$F$41,3,Threats!$G$2:$G$41,4)</f>
        <v>0</v>
      </c>
      <c r="E19" s="7">
        <f>COUNTIFS(Threats!$F$2:$F$41,4,Threats!$G$2:$G$41,4)</f>
        <v>7</v>
      </c>
      <c r="F19" s="7">
        <f>COUNTIFS(Threats!$F$2:$F$41,5,Threats!$G$2:$G$41,4)</f>
        <v>9</v>
      </c>
    </row>
    <row r="20" spans="1:6" ht="15">
      <c r="A20" s="1">
        <v>3</v>
      </c>
      <c r="B20" s="6">
        <f>COUNTIFS(Threats!$F$2:$F$41,1,Threats!$G$2:$G$41,3)</f>
        <v>0</v>
      </c>
      <c r="C20" s="6">
        <f>COUNTIFS(Threats!$F$2:$F$41,2,Threats!$G$2:$G$41,3)</f>
        <v>0</v>
      </c>
      <c r="D20" s="7">
        <f>COUNTIFS(Threats!$F$2:$F$41,3,Threats!$G$2:$G$41,3)</f>
        <v>1</v>
      </c>
      <c r="E20" s="7">
        <f>COUNTIFS(Threats!$F$2:$F$41,4,Threats!$G$2:$G$41,3)</f>
        <v>6</v>
      </c>
      <c r="F20" s="7">
        <f>COUNTIFS(Threats!$F$2:$F$41,5,Threats!$G$2:$G$41,3)</f>
        <v>11</v>
      </c>
    </row>
    <row r="21" spans="1:6" ht="15">
      <c r="A21" s="1">
        <v>2</v>
      </c>
      <c r="B21" s="6">
        <f>COUNTIFS(Threats!$F$2:$F$41,1,Threats!$G$2:$G$41,2)</f>
        <v>0</v>
      </c>
      <c r="C21" s="6">
        <f>COUNTIFS(Threats!$F$2:$F$41,2,Threats!$G$2:$G$41,2)</f>
        <v>0</v>
      </c>
      <c r="D21" s="7">
        <f>COUNTIFS(Threats!$F$2:$F$41,3,Threats!$G$2:$G$41,2)</f>
        <v>0</v>
      </c>
      <c r="E21" s="7">
        <f>COUNTIFS(Threats!$F$2:$F$41,4,Threats!$G$2:$G$41,2)</f>
        <v>0</v>
      </c>
      <c r="F21" s="7">
        <f>COUNTIFS(Threats!$F$2:$F$41,5,Threats!$G$2:$G$41,2)</f>
        <v>0</v>
      </c>
    </row>
    <row r="22" spans="1:6" ht="15">
      <c r="A22" s="1">
        <v>1</v>
      </c>
      <c r="B22" s="6">
        <f>COUNTIFS(Threats!$F$2:$F$41,1,Threats!$G$2:$G$41,1)</f>
        <v>0</v>
      </c>
      <c r="C22" s="6">
        <f>COUNTIFS(Threats!$F$2:$F$41,2,Threats!$G$2:$G$41,1)</f>
        <v>0</v>
      </c>
      <c r="D22" s="7">
        <f>COUNTIFS(Threats!$F$2:$F$41,3,Threats!$G$2:$G$41,1)</f>
        <v>0</v>
      </c>
      <c r="E22" s="7">
        <f>COUNTIFS(Threats!$F$2:$F$41,4,Threats!$G$2:$G$41,1)</f>
        <v>0</v>
      </c>
      <c r="F22" s="7">
        <f>COUNTIFS(Threats!$F$2:$F$41,5,Threats!$G$2:$G$41,1)</f>
        <v>0</v>
      </c>
    </row>
    <row r="40" spans="1:11" ht="15">
      <c r="A40" s="14" t="s">
        <v>29</v>
      </c>
      <c r="B40" s="9"/>
      <c r="C40" s="9"/>
      <c r="D40" s="9"/>
      <c r="E40" s="9"/>
      <c r="F40" s="9"/>
      <c r="G40" s="9"/>
      <c r="H40" s="9"/>
      <c r="I40" s="9"/>
      <c r="J40" s="9"/>
      <c r="K40" s="9"/>
    </row>
  </sheetData>
  <mergeCells count="20">
    <mergeCell ref="H13:K13"/>
    <mergeCell ref="H14:K14"/>
    <mergeCell ref="A40:K40"/>
    <mergeCell ref="H8:K8"/>
    <mergeCell ref="H9:K9"/>
    <mergeCell ref="H10:K10"/>
    <mergeCell ref="H11:K11"/>
    <mergeCell ref="H12:K12"/>
    <mergeCell ref="A1:K1"/>
    <mergeCell ref="A2:K2"/>
    <mergeCell ref="A4:B4"/>
    <mergeCell ref="A5:B5"/>
    <mergeCell ref="C4:D4"/>
    <mergeCell ref="C5:D5"/>
    <mergeCell ref="E4:F4"/>
    <mergeCell ref="E5:F5"/>
    <mergeCell ref="G4:H4"/>
    <mergeCell ref="G5:H5"/>
    <mergeCell ref="I4:K4"/>
    <mergeCell ref="I5:K5"/>
  </mergeCells>
  <conditionalFormatting sqref="B18:F22">
    <cfRule type="colorScale" priority="1">
      <colorScale>
        <cfvo type="min"/>
        <cfvo type="percentile" val="50"/>
        <cfvo type="max"/>
        <color rgb="FFFFFFFF"/>
        <color rgb="FFFEF3C7"/>
        <color rgb="FFFCA5A5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rightToLeft="1" workbookViewId="0"/>
  </sheetViews>
  <sheetFormatPr defaultRowHeight="14.25"/>
  <cols>
    <col min="1" max="1" width="5" customWidth="1"/>
    <col min="2" max="2" width="18" customWidth="1"/>
    <col min="3" max="3" width="30" customWidth="1"/>
    <col min="4" max="4" width="44" customWidth="1"/>
    <col min="5" max="5" width="48" customWidth="1"/>
    <col min="6" max="7" width="9" customWidth="1"/>
    <col min="8" max="8" width="11" customWidth="1"/>
    <col min="9" max="9" width="12" customWidth="1"/>
    <col min="10" max="10" width="52" customWidth="1"/>
  </cols>
  <sheetData>
    <row r="1" spans="1:10" ht="33.950000000000003" customHeight="1">
      <c r="A1" s="1" t="s">
        <v>30</v>
      </c>
      <c r="B1" s="1" t="s">
        <v>6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37</v>
      </c>
    </row>
    <row r="2" spans="1:10" ht="44.1" customHeight="1">
      <c r="A2" s="3">
        <v>1</v>
      </c>
      <c r="B2" s="2" t="s">
        <v>38</v>
      </c>
      <c r="C2" s="2" t="s">
        <v>39</v>
      </c>
      <c r="D2" s="2" t="s">
        <v>40</v>
      </c>
      <c r="E2" s="2" t="s">
        <v>41</v>
      </c>
      <c r="F2" s="3">
        <v>5</v>
      </c>
      <c r="G2" s="3">
        <v>4</v>
      </c>
      <c r="H2" s="3">
        <f t="shared" ref="H2:H41" si="0">F2*G2</f>
        <v>20</v>
      </c>
      <c r="I2" s="3" t="str">
        <f t="shared" ref="I2:I41" si="1">IF(H2&gt;=20,"קריטי",IF(H2&gt;=12,"גבוה",IF(H2&gt;=6,"בינוני","נמוך")))</f>
        <v>קריטי</v>
      </c>
      <c r="J2" s="2" t="s">
        <v>42</v>
      </c>
    </row>
    <row r="3" spans="1:10" ht="44.1" customHeight="1">
      <c r="A3" s="3">
        <v>2</v>
      </c>
      <c r="B3" s="2" t="s">
        <v>13</v>
      </c>
      <c r="C3" s="2" t="s">
        <v>43</v>
      </c>
      <c r="D3" s="2" t="s">
        <v>44</v>
      </c>
      <c r="E3" s="2" t="s">
        <v>45</v>
      </c>
      <c r="F3" s="3">
        <v>5</v>
      </c>
      <c r="G3" s="3">
        <v>4</v>
      </c>
      <c r="H3" s="3">
        <f t="shared" si="0"/>
        <v>20</v>
      </c>
      <c r="I3" s="3" t="str">
        <f t="shared" si="1"/>
        <v>קריטי</v>
      </c>
      <c r="J3" s="2" t="s">
        <v>46</v>
      </c>
    </row>
    <row r="4" spans="1:10" ht="44.1" customHeight="1">
      <c r="A4" s="3">
        <v>3</v>
      </c>
      <c r="B4" s="2" t="s">
        <v>13</v>
      </c>
      <c r="C4" s="2" t="s">
        <v>47</v>
      </c>
      <c r="D4" s="2" t="s">
        <v>48</v>
      </c>
      <c r="E4" s="2" t="s">
        <v>49</v>
      </c>
      <c r="F4" s="3">
        <v>5</v>
      </c>
      <c r="G4" s="3">
        <v>4</v>
      </c>
      <c r="H4" s="3">
        <f t="shared" si="0"/>
        <v>20</v>
      </c>
      <c r="I4" s="3" t="str">
        <f t="shared" si="1"/>
        <v>קריטי</v>
      </c>
      <c r="J4" s="2" t="s">
        <v>50</v>
      </c>
    </row>
    <row r="5" spans="1:10" ht="44.1" customHeight="1">
      <c r="A5" s="3">
        <v>4</v>
      </c>
      <c r="B5" s="2" t="s">
        <v>51</v>
      </c>
      <c r="C5" s="2" t="s">
        <v>52</v>
      </c>
      <c r="D5" s="2" t="s">
        <v>53</v>
      </c>
      <c r="E5" s="2" t="s">
        <v>54</v>
      </c>
      <c r="F5" s="3">
        <v>5</v>
      </c>
      <c r="G5" s="3">
        <v>4</v>
      </c>
      <c r="H5" s="3">
        <f t="shared" si="0"/>
        <v>20</v>
      </c>
      <c r="I5" s="3" t="str">
        <f t="shared" si="1"/>
        <v>קריטי</v>
      </c>
      <c r="J5" s="2" t="s">
        <v>55</v>
      </c>
    </row>
    <row r="6" spans="1:10" ht="44.1" customHeight="1">
      <c r="A6" s="3">
        <v>5</v>
      </c>
      <c r="B6" s="2" t="s">
        <v>51</v>
      </c>
      <c r="C6" s="2" t="s">
        <v>56</v>
      </c>
      <c r="D6" s="2" t="s">
        <v>57</v>
      </c>
      <c r="E6" s="2" t="s">
        <v>58</v>
      </c>
      <c r="F6" s="3">
        <v>5</v>
      </c>
      <c r="G6" s="3">
        <v>4</v>
      </c>
      <c r="H6" s="3">
        <f t="shared" si="0"/>
        <v>20</v>
      </c>
      <c r="I6" s="3" t="str">
        <f t="shared" si="1"/>
        <v>קריטי</v>
      </c>
      <c r="J6" s="2" t="s">
        <v>55</v>
      </c>
    </row>
    <row r="7" spans="1:10" ht="44.1" customHeight="1">
      <c r="A7" s="3">
        <v>6</v>
      </c>
      <c r="B7" s="2" t="s">
        <v>24</v>
      </c>
      <c r="C7" s="2" t="s">
        <v>59</v>
      </c>
      <c r="D7" s="2" t="s">
        <v>60</v>
      </c>
      <c r="E7" s="2" t="s">
        <v>61</v>
      </c>
      <c r="F7" s="3">
        <v>4</v>
      </c>
      <c r="G7" s="3">
        <v>4</v>
      </c>
      <c r="H7" s="3">
        <f t="shared" si="0"/>
        <v>16</v>
      </c>
      <c r="I7" s="3" t="str">
        <f t="shared" si="1"/>
        <v>גבוה</v>
      </c>
      <c r="J7" s="2" t="s">
        <v>62</v>
      </c>
    </row>
    <row r="8" spans="1:10" ht="44.1" customHeight="1">
      <c r="A8" s="3">
        <v>7</v>
      </c>
      <c r="B8" s="2" t="s">
        <v>27</v>
      </c>
      <c r="C8" s="2" t="s">
        <v>63</v>
      </c>
      <c r="D8" s="2" t="s">
        <v>64</v>
      </c>
      <c r="E8" s="2" t="s">
        <v>65</v>
      </c>
      <c r="F8" s="3">
        <v>4</v>
      </c>
      <c r="G8" s="3">
        <v>5</v>
      </c>
      <c r="H8" s="3">
        <f t="shared" si="0"/>
        <v>20</v>
      </c>
      <c r="I8" s="3" t="str">
        <f t="shared" si="1"/>
        <v>קריטי</v>
      </c>
      <c r="J8" s="2" t="s">
        <v>66</v>
      </c>
    </row>
    <row r="9" spans="1:10" ht="44.1" customHeight="1">
      <c r="A9" s="3">
        <v>8</v>
      </c>
      <c r="B9" s="2" t="s">
        <v>16</v>
      </c>
      <c r="C9" s="2" t="s">
        <v>67</v>
      </c>
      <c r="D9" s="2" t="s">
        <v>68</v>
      </c>
      <c r="E9" s="2" t="s">
        <v>69</v>
      </c>
      <c r="F9" s="3">
        <v>4</v>
      </c>
      <c r="G9" s="3">
        <v>5</v>
      </c>
      <c r="H9" s="3">
        <f t="shared" si="0"/>
        <v>20</v>
      </c>
      <c r="I9" s="3" t="str">
        <f t="shared" si="1"/>
        <v>קריטי</v>
      </c>
      <c r="J9" s="2" t="s">
        <v>70</v>
      </c>
    </row>
    <row r="10" spans="1:10" ht="44.1" customHeight="1">
      <c r="A10" s="3">
        <v>9</v>
      </c>
      <c r="B10" s="2" t="s">
        <v>38</v>
      </c>
      <c r="C10" s="2" t="s">
        <v>71</v>
      </c>
      <c r="D10" s="2" t="s">
        <v>72</v>
      </c>
      <c r="E10" s="2" t="s">
        <v>73</v>
      </c>
      <c r="F10" s="3">
        <v>5</v>
      </c>
      <c r="G10" s="3">
        <v>3</v>
      </c>
      <c r="H10" s="3">
        <f t="shared" si="0"/>
        <v>15</v>
      </c>
      <c r="I10" s="3" t="str">
        <f t="shared" si="1"/>
        <v>גבוה</v>
      </c>
      <c r="J10" s="2" t="s">
        <v>42</v>
      </c>
    </row>
    <row r="11" spans="1:10" ht="44.1" customHeight="1">
      <c r="A11" s="3">
        <v>10</v>
      </c>
      <c r="B11" s="2" t="s">
        <v>22</v>
      </c>
      <c r="C11" s="2" t="s">
        <v>74</v>
      </c>
      <c r="D11" s="2" t="s">
        <v>75</v>
      </c>
      <c r="E11" s="2" t="s">
        <v>76</v>
      </c>
      <c r="F11" s="3">
        <v>4</v>
      </c>
      <c r="G11" s="3">
        <v>5</v>
      </c>
      <c r="H11" s="3">
        <f t="shared" si="0"/>
        <v>20</v>
      </c>
      <c r="I11" s="3" t="str">
        <f t="shared" si="1"/>
        <v>קריטי</v>
      </c>
      <c r="J11" s="2" t="s">
        <v>77</v>
      </c>
    </row>
    <row r="12" spans="1:10" ht="44.1" customHeight="1">
      <c r="A12" s="3">
        <v>11</v>
      </c>
      <c r="B12" s="2" t="s">
        <v>22</v>
      </c>
      <c r="C12" s="2" t="s">
        <v>78</v>
      </c>
      <c r="D12" s="2" t="s">
        <v>79</v>
      </c>
      <c r="E12" s="2" t="s">
        <v>80</v>
      </c>
      <c r="F12" s="3">
        <v>5</v>
      </c>
      <c r="G12" s="3">
        <v>4</v>
      </c>
      <c r="H12" s="3">
        <f t="shared" si="0"/>
        <v>20</v>
      </c>
      <c r="I12" s="3" t="str">
        <f t="shared" si="1"/>
        <v>קריטי</v>
      </c>
      <c r="J12" s="2" t="s">
        <v>81</v>
      </c>
    </row>
    <row r="13" spans="1:10" ht="44.1" customHeight="1">
      <c r="A13" s="3">
        <v>12</v>
      </c>
      <c r="B13" s="2" t="s">
        <v>22</v>
      </c>
      <c r="C13" s="2" t="s">
        <v>82</v>
      </c>
      <c r="D13" s="2" t="s">
        <v>83</v>
      </c>
      <c r="E13" s="2" t="s">
        <v>84</v>
      </c>
      <c r="F13" s="3">
        <v>5</v>
      </c>
      <c r="G13" s="3">
        <v>4</v>
      </c>
      <c r="H13" s="3">
        <f t="shared" si="0"/>
        <v>20</v>
      </c>
      <c r="I13" s="3" t="str">
        <f t="shared" si="1"/>
        <v>קריטי</v>
      </c>
      <c r="J13" s="2" t="s">
        <v>77</v>
      </c>
    </row>
    <row r="14" spans="1:10" ht="44.1" customHeight="1">
      <c r="A14" s="3">
        <v>13</v>
      </c>
      <c r="B14" s="2" t="s">
        <v>22</v>
      </c>
      <c r="C14" s="2" t="s">
        <v>85</v>
      </c>
      <c r="D14" s="2" t="s">
        <v>86</v>
      </c>
      <c r="E14" s="2" t="s">
        <v>87</v>
      </c>
      <c r="F14" s="3">
        <v>4</v>
      </c>
      <c r="G14" s="3">
        <v>5</v>
      </c>
      <c r="H14" s="3">
        <f t="shared" si="0"/>
        <v>20</v>
      </c>
      <c r="I14" s="3" t="str">
        <f t="shared" si="1"/>
        <v>קריטי</v>
      </c>
      <c r="J14" s="2" t="s">
        <v>81</v>
      </c>
    </row>
    <row r="15" spans="1:10" ht="44.1" customHeight="1">
      <c r="A15" s="3">
        <v>14</v>
      </c>
      <c r="B15" s="2" t="s">
        <v>10</v>
      </c>
      <c r="C15" s="2" t="s">
        <v>88</v>
      </c>
      <c r="D15" s="2" t="s">
        <v>89</v>
      </c>
      <c r="E15" s="2" t="s">
        <v>90</v>
      </c>
      <c r="F15" s="3">
        <v>5</v>
      </c>
      <c r="G15" s="3">
        <v>3</v>
      </c>
      <c r="H15" s="3">
        <f t="shared" si="0"/>
        <v>15</v>
      </c>
      <c r="I15" s="3" t="str">
        <f t="shared" si="1"/>
        <v>גבוה</v>
      </c>
      <c r="J15" s="2" t="s">
        <v>91</v>
      </c>
    </row>
    <row r="16" spans="1:10" ht="44.1" customHeight="1">
      <c r="A16" s="3">
        <v>15</v>
      </c>
      <c r="B16" s="2" t="s">
        <v>38</v>
      </c>
      <c r="C16" s="2" t="s">
        <v>92</v>
      </c>
      <c r="D16" s="2" t="s">
        <v>93</v>
      </c>
      <c r="E16" s="2" t="s">
        <v>94</v>
      </c>
      <c r="F16" s="3">
        <v>5</v>
      </c>
      <c r="G16" s="3">
        <v>3</v>
      </c>
      <c r="H16" s="3">
        <f t="shared" si="0"/>
        <v>15</v>
      </c>
      <c r="I16" s="3" t="str">
        <f t="shared" si="1"/>
        <v>גבוה</v>
      </c>
      <c r="J16" s="2" t="s">
        <v>66</v>
      </c>
    </row>
    <row r="17" spans="1:10" ht="44.1" customHeight="1">
      <c r="A17" s="3">
        <v>16</v>
      </c>
      <c r="B17" s="2" t="s">
        <v>19</v>
      </c>
      <c r="C17" s="2" t="s">
        <v>95</v>
      </c>
      <c r="D17" s="2" t="s">
        <v>96</v>
      </c>
      <c r="E17" s="2" t="s">
        <v>97</v>
      </c>
      <c r="F17" s="3">
        <v>4</v>
      </c>
      <c r="G17" s="3">
        <v>3</v>
      </c>
      <c r="H17" s="3">
        <f t="shared" si="0"/>
        <v>12</v>
      </c>
      <c r="I17" s="3" t="str">
        <f t="shared" si="1"/>
        <v>גבוה</v>
      </c>
      <c r="J17" s="2" t="s">
        <v>70</v>
      </c>
    </row>
    <row r="18" spans="1:10" ht="44.1" customHeight="1">
      <c r="A18" s="3">
        <v>17</v>
      </c>
      <c r="B18" s="2" t="s">
        <v>98</v>
      </c>
      <c r="C18" s="2" t="s">
        <v>99</v>
      </c>
      <c r="D18" s="2" t="s">
        <v>100</v>
      </c>
      <c r="E18" s="2" t="s">
        <v>101</v>
      </c>
      <c r="F18" s="3">
        <v>5</v>
      </c>
      <c r="G18" s="3">
        <v>3</v>
      </c>
      <c r="H18" s="3">
        <f t="shared" si="0"/>
        <v>15</v>
      </c>
      <c r="I18" s="3" t="str">
        <f t="shared" si="1"/>
        <v>גבוה</v>
      </c>
      <c r="J18" s="2" t="s">
        <v>102</v>
      </c>
    </row>
    <row r="19" spans="1:10" ht="44.1" customHeight="1">
      <c r="A19" s="3">
        <v>18</v>
      </c>
      <c r="B19" s="2" t="s">
        <v>38</v>
      </c>
      <c r="C19" s="2" t="s">
        <v>103</v>
      </c>
      <c r="D19" s="2" t="s">
        <v>104</v>
      </c>
      <c r="E19" s="2" t="s">
        <v>105</v>
      </c>
      <c r="F19" s="3">
        <v>4</v>
      </c>
      <c r="G19" s="3">
        <v>4</v>
      </c>
      <c r="H19" s="3">
        <f t="shared" si="0"/>
        <v>16</v>
      </c>
      <c r="I19" s="3" t="str">
        <f t="shared" si="1"/>
        <v>גבוה</v>
      </c>
      <c r="J19" s="2" t="s">
        <v>66</v>
      </c>
    </row>
    <row r="20" spans="1:10" ht="44.1" customHeight="1">
      <c r="A20" s="3">
        <v>19</v>
      </c>
      <c r="B20" s="2" t="s">
        <v>106</v>
      </c>
      <c r="C20" s="2" t="s">
        <v>107</v>
      </c>
      <c r="D20" s="2" t="s">
        <v>108</v>
      </c>
      <c r="E20" s="2" t="s">
        <v>109</v>
      </c>
      <c r="F20" s="3">
        <v>4</v>
      </c>
      <c r="G20" s="3">
        <v>4</v>
      </c>
      <c r="H20" s="3">
        <f t="shared" si="0"/>
        <v>16</v>
      </c>
      <c r="I20" s="3" t="str">
        <f t="shared" si="1"/>
        <v>גבוה</v>
      </c>
      <c r="J20" s="2" t="s">
        <v>110</v>
      </c>
    </row>
    <row r="21" spans="1:10" ht="44.1" customHeight="1">
      <c r="A21" s="3">
        <v>20</v>
      </c>
      <c r="B21" s="2" t="s">
        <v>106</v>
      </c>
      <c r="C21" s="2" t="s">
        <v>111</v>
      </c>
      <c r="D21" s="2" t="s">
        <v>112</v>
      </c>
      <c r="E21" s="2" t="s">
        <v>113</v>
      </c>
      <c r="F21" s="3">
        <v>4</v>
      </c>
      <c r="G21" s="3">
        <v>4</v>
      </c>
      <c r="H21" s="3">
        <f t="shared" si="0"/>
        <v>16</v>
      </c>
      <c r="I21" s="3" t="str">
        <f t="shared" si="1"/>
        <v>גבוה</v>
      </c>
      <c r="J21" s="2" t="s">
        <v>114</v>
      </c>
    </row>
    <row r="22" spans="1:10" ht="44.1" customHeight="1">
      <c r="A22" s="3">
        <v>21</v>
      </c>
      <c r="B22" s="2" t="s">
        <v>115</v>
      </c>
      <c r="C22" s="2" t="s">
        <v>116</v>
      </c>
      <c r="D22" s="2" t="s">
        <v>117</v>
      </c>
      <c r="E22" s="2" t="s">
        <v>118</v>
      </c>
      <c r="F22" s="3">
        <v>5</v>
      </c>
      <c r="G22" s="3">
        <v>3</v>
      </c>
      <c r="H22" s="3">
        <f t="shared" si="0"/>
        <v>15</v>
      </c>
      <c r="I22" s="3" t="str">
        <f t="shared" si="1"/>
        <v>גבוה</v>
      </c>
      <c r="J22" s="2" t="s">
        <v>119</v>
      </c>
    </row>
    <row r="23" spans="1:10" ht="44.1" customHeight="1">
      <c r="A23" s="3">
        <v>22</v>
      </c>
      <c r="B23" s="2" t="s">
        <v>115</v>
      </c>
      <c r="C23" s="2" t="s">
        <v>120</v>
      </c>
      <c r="D23" s="2" t="s">
        <v>121</v>
      </c>
      <c r="E23" s="2" t="s">
        <v>122</v>
      </c>
      <c r="F23" s="3">
        <v>4</v>
      </c>
      <c r="G23" s="3">
        <v>3</v>
      </c>
      <c r="H23" s="3">
        <f t="shared" si="0"/>
        <v>12</v>
      </c>
      <c r="I23" s="3" t="str">
        <f t="shared" si="1"/>
        <v>גבוה</v>
      </c>
      <c r="J23" s="2" t="s">
        <v>123</v>
      </c>
    </row>
    <row r="24" spans="1:10" ht="44.1" customHeight="1">
      <c r="A24" s="3">
        <v>23</v>
      </c>
      <c r="B24" s="2" t="s">
        <v>10</v>
      </c>
      <c r="C24" s="2" t="s">
        <v>124</v>
      </c>
      <c r="D24" s="2" t="s">
        <v>125</v>
      </c>
      <c r="E24" s="2" t="s">
        <v>126</v>
      </c>
      <c r="F24" s="3">
        <v>5</v>
      </c>
      <c r="G24" s="3">
        <v>3</v>
      </c>
      <c r="H24" s="3">
        <f t="shared" si="0"/>
        <v>15</v>
      </c>
      <c r="I24" s="3" t="str">
        <f t="shared" si="1"/>
        <v>גבוה</v>
      </c>
      <c r="J24" s="2" t="s">
        <v>91</v>
      </c>
    </row>
    <row r="25" spans="1:10" ht="44.1" customHeight="1">
      <c r="A25" s="3">
        <v>24</v>
      </c>
      <c r="B25" s="2" t="s">
        <v>10</v>
      </c>
      <c r="C25" s="2" t="s">
        <v>127</v>
      </c>
      <c r="D25" s="2" t="s">
        <v>128</v>
      </c>
      <c r="E25" s="2" t="s">
        <v>129</v>
      </c>
      <c r="F25" s="3">
        <v>5</v>
      </c>
      <c r="G25" s="3">
        <v>3</v>
      </c>
      <c r="H25" s="3">
        <f t="shared" si="0"/>
        <v>15</v>
      </c>
      <c r="I25" s="3" t="str">
        <f t="shared" si="1"/>
        <v>גבוה</v>
      </c>
      <c r="J25" s="2" t="s">
        <v>130</v>
      </c>
    </row>
    <row r="26" spans="1:10" ht="44.1" customHeight="1">
      <c r="A26" s="3">
        <v>25</v>
      </c>
      <c r="B26" s="2" t="s">
        <v>51</v>
      </c>
      <c r="C26" s="2" t="s">
        <v>131</v>
      </c>
      <c r="D26" s="2" t="s">
        <v>132</v>
      </c>
      <c r="E26" s="2" t="s">
        <v>133</v>
      </c>
      <c r="F26" s="3">
        <v>5</v>
      </c>
      <c r="G26" s="3">
        <v>3</v>
      </c>
      <c r="H26" s="3">
        <f t="shared" si="0"/>
        <v>15</v>
      </c>
      <c r="I26" s="3" t="str">
        <f t="shared" si="1"/>
        <v>גבוה</v>
      </c>
      <c r="J26" s="2" t="s">
        <v>91</v>
      </c>
    </row>
    <row r="27" spans="1:10" ht="44.1" customHeight="1">
      <c r="A27" s="3">
        <v>26</v>
      </c>
      <c r="B27" s="2" t="s">
        <v>26</v>
      </c>
      <c r="C27" s="2" t="s">
        <v>134</v>
      </c>
      <c r="D27" s="2" t="s">
        <v>135</v>
      </c>
      <c r="E27" s="2" t="s">
        <v>136</v>
      </c>
      <c r="F27" s="3">
        <v>5</v>
      </c>
      <c r="G27" s="3">
        <v>3</v>
      </c>
      <c r="H27" s="3">
        <f t="shared" si="0"/>
        <v>15</v>
      </c>
      <c r="I27" s="3" t="str">
        <f t="shared" si="1"/>
        <v>גבוה</v>
      </c>
      <c r="J27" s="2" t="s">
        <v>137</v>
      </c>
    </row>
    <row r="28" spans="1:10" ht="44.1" customHeight="1">
      <c r="A28" s="3">
        <v>27</v>
      </c>
      <c r="B28" s="2" t="s">
        <v>38</v>
      </c>
      <c r="C28" s="2" t="s">
        <v>138</v>
      </c>
      <c r="D28" s="2" t="s">
        <v>139</v>
      </c>
      <c r="E28" s="2" t="s">
        <v>140</v>
      </c>
      <c r="F28" s="3">
        <v>4</v>
      </c>
      <c r="G28" s="3">
        <v>4</v>
      </c>
      <c r="H28" s="3">
        <f t="shared" si="0"/>
        <v>16</v>
      </c>
      <c r="I28" s="3" t="str">
        <f t="shared" si="1"/>
        <v>גבוה</v>
      </c>
      <c r="J28" s="2" t="s">
        <v>66</v>
      </c>
    </row>
    <row r="29" spans="1:10" ht="44.1" customHeight="1">
      <c r="A29" s="3">
        <v>28</v>
      </c>
      <c r="B29" s="2" t="s">
        <v>51</v>
      </c>
      <c r="C29" s="2" t="s">
        <v>141</v>
      </c>
      <c r="D29" s="2" t="s">
        <v>142</v>
      </c>
      <c r="E29" s="2" t="s">
        <v>143</v>
      </c>
      <c r="F29" s="3">
        <v>5</v>
      </c>
      <c r="G29" s="3">
        <v>4</v>
      </c>
      <c r="H29" s="3">
        <f t="shared" si="0"/>
        <v>20</v>
      </c>
      <c r="I29" s="3" t="str">
        <f t="shared" si="1"/>
        <v>קריטי</v>
      </c>
      <c r="J29" s="2" t="s">
        <v>55</v>
      </c>
    </row>
    <row r="30" spans="1:10" ht="44.1" customHeight="1">
      <c r="A30" s="3">
        <v>29</v>
      </c>
      <c r="B30" s="2" t="s">
        <v>16</v>
      </c>
      <c r="C30" s="2" t="s">
        <v>144</v>
      </c>
      <c r="D30" s="2" t="s">
        <v>145</v>
      </c>
      <c r="E30" s="2" t="s">
        <v>146</v>
      </c>
      <c r="F30" s="3">
        <v>4</v>
      </c>
      <c r="G30" s="3">
        <v>5</v>
      </c>
      <c r="H30" s="3">
        <f t="shared" si="0"/>
        <v>20</v>
      </c>
      <c r="I30" s="3" t="str">
        <f t="shared" si="1"/>
        <v>קריטי</v>
      </c>
      <c r="J30" s="2" t="s">
        <v>70</v>
      </c>
    </row>
    <row r="31" spans="1:10" ht="44.1" customHeight="1">
      <c r="A31" s="3">
        <v>30</v>
      </c>
      <c r="B31" s="2" t="s">
        <v>22</v>
      </c>
      <c r="C31" s="2" t="s">
        <v>147</v>
      </c>
      <c r="D31" s="2" t="s">
        <v>148</v>
      </c>
      <c r="E31" s="2" t="s">
        <v>149</v>
      </c>
      <c r="F31" s="3">
        <v>5</v>
      </c>
      <c r="G31" s="3">
        <v>4</v>
      </c>
      <c r="H31" s="3">
        <f t="shared" si="0"/>
        <v>20</v>
      </c>
      <c r="I31" s="3" t="str">
        <f t="shared" si="1"/>
        <v>קריטי</v>
      </c>
      <c r="J31" s="2" t="s">
        <v>81</v>
      </c>
    </row>
    <row r="32" spans="1:10" ht="44.1" customHeight="1">
      <c r="A32" s="3">
        <v>31</v>
      </c>
      <c r="B32" s="2" t="s">
        <v>26</v>
      </c>
      <c r="C32" s="2" t="s">
        <v>150</v>
      </c>
      <c r="D32" s="2" t="s">
        <v>151</v>
      </c>
      <c r="E32" s="2" t="s">
        <v>152</v>
      </c>
      <c r="F32" s="3">
        <v>4</v>
      </c>
      <c r="G32" s="3">
        <v>3</v>
      </c>
      <c r="H32" s="3">
        <f t="shared" si="0"/>
        <v>12</v>
      </c>
      <c r="I32" s="3" t="str">
        <f t="shared" si="1"/>
        <v>גבוה</v>
      </c>
      <c r="J32" s="2" t="s">
        <v>77</v>
      </c>
    </row>
    <row r="33" spans="1:10" ht="44.1" customHeight="1">
      <c r="A33" s="3">
        <v>32</v>
      </c>
      <c r="B33" s="2" t="s">
        <v>98</v>
      </c>
      <c r="C33" s="2" t="s">
        <v>153</v>
      </c>
      <c r="D33" s="2" t="s">
        <v>154</v>
      </c>
      <c r="E33" s="2" t="s">
        <v>155</v>
      </c>
      <c r="F33" s="3">
        <v>5</v>
      </c>
      <c r="G33" s="3">
        <v>3</v>
      </c>
      <c r="H33" s="3">
        <f t="shared" si="0"/>
        <v>15</v>
      </c>
      <c r="I33" s="3" t="str">
        <f t="shared" si="1"/>
        <v>גבוה</v>
      </c>
      <c r="J33" s="2" t="s">
        <v>156</v>
      </c>
    </row>
    <row r="34" spans="1:10" ht="44.1" customHeight="1">
      <c r="A34" s="3">
        <v>33</v>
      </c>
      <c r="B34" s="2" t="s">
        <v>38</v>
      </c>
      <c r="C34" s="2" t="s">
        <v>157</v>
      </c>
      <c r="D34" s="2" t="s">
        <v>158</v>
      </c>
      <c r="E34" s="2" t="s">
        <v>159</v>
      </c>
      <c r="F34" s="3">
        <v>4</v>
      </c>
      <c r="G34" s="3">
        <v>3</v>
      </c>
      <c r="H34" s="3">
        <f t="shared" si="0"/>
        <v>12</v>
      </c>
      <c r="I34" s="3" t="str">
        <f t="shared" si="1"/>
        <v>גבוה</v>
      </c>
      <c r="J34" s="2" t="s">
        <v>66</v>
      </c>
    </row>
    <row r="35" spans="1:10" ht="44.1" customHeight="1">
      <c r="A35" s="3">
        <v>34</v>
      </c>
      <c r="B35" s="2" t="s">
        <v>16</v>
      </c>
      <c r="C35" s="2" t="s">
        <v>160</v>
      </c>
      <c r="D35" s="2" t="s">
        <v>161</v>
      </c>
      <c r="E35" s="2" t="s">
        <v>162</v>
      </c>
      <c r="F35" s="3">
        <v>4</v>
      </c>
      <c r="G35" s="3">
        <v>3</v>
      </c>
      <c r="H35" s="3">
        <f t="shared" si="0"/>
        <v>12</v>
      </c>
      <c r="I35" s="3" t="str">
        <f t="shared" si="1"/>
        <v>גבוה</v>
      </c>
      <c r="J35" s="2" t="s">
        <v>70</v>
      </c>
    </row>
    <row r="36" spans="1:10" ht="44.1" customHeight="1">
      <c r="A36" s="3">
        <v>35</v>
      </c>
      <c r="B36" s="2" t="s">
        <v>16</v>
      </c>
      <c r="C36" s="2" t="s">
        <v>163</v>
      </c>
      <c r="D36" s="2" t="s">
        <v>164</v>
      </c>
      <c r="E36" s="2" t="s">
        <v>165</v>
      </c>
      <c r="F36" s="3">
        <v>4</v>
      </c>
      <c r="G36" s="3">
        <v>5</v>
      </c>
      <c r="H36" s="3">
        <f t="shared" si="0"/>
        <v>20</v>
      </c>
      <c r="I36" s="3" t="str">
        <f t="shared" si="1"/>
        <v>קריטי</v>
      </c>
      <c r="J36" s="2" t="s">
        <v>70</v>
      </c>
    </row>
    <row r="37" spans="1:10" ht="44.1" customHeight="1">
      <c r="A37" s="3">
        <v>36</v>
      </c>
      <c r="B37" s="2" t="s">
        <v>38</v>
      </c>
      <c r="C37" s="2" t="s">
        <v>166</v>
      </c>
      <c r="D37" s="2" t="s">
        <v>167</v>
      </c>
      <c r="E37" s="2" t="s">
        <v>168</v>
      </c>
      <c r="F37" s="3">
        <v>4</v>
      </c>
      <c r="G37" s="3">
        <v>4</v>
      </c>
      <c r="H37" s="3">
        <f t="shared" si="0"/>
        <v>16</v>
      </c>
      <c r="I37" s="3" t="str">
        <f t="shared" si="1"/>
        <v>גבוה</v>
      </c>
      <c r="J37" s="2" t="s">
        <v>70</v>
      </c>
    </row>
    <row r="38" spans="1:10" ht="44.1" customHeight="1">
      <c r="A38" s="3">
        <v>37</v>
      </c>
      <c r="B38" s="2" t="s">
        <v>106</v>
      </c>
      <c r="C38" s="2" t="s">
        <v>169</v>
      </c>
      <c r="D38" s="2" t="s">
        <v>170</v>
      </c>
      <c r="E38" s="2" t="s">
        <v>171</v>
      </c>
      <c r="F38" s="3">
        <v>4</v>
      </c>
      <c r="G38" s="3">
        <v>4</v>
      </c>
      <c r="H38" s="3">
        <f t="shared" si="0"/>
        <v>16</v>
      </c>
      <c r="I38" s="3" t="str">
        <f t="shared" si="1"/>
        <v>גבוה</v>
      </c>
      <c r="J38" s="2" t="s">
        <v>110</v>
      </c>
    </row>
    <row r="39" spans="1:10" ht="44.1" customHeight="1">
      <c r="A39" s="3">
        <v>38</v>
      </c>
      <c r="B39" s="2" t="s">
        <v>172</v>
      </c>
      <c r="C39" s="2" t="s">
        <v>173</v>
      </c>
      <c r="D39" s="2" t="s">
        <v>174</v>
      </c>
      <c r="E39" s="2" t="s">
        <v>175</v>
      </c>
      <c r="F39" s="3">
        <v>3</v>
      </c>
      <c r="G39" s="3">
        <v>3</v>
      </c>
      <c r="H39" s="3">
        <f t="shared" si="0"/>
        <v>9</v>
      </c>
      <c r="I39" s="3" t="str">
        <f t="shared" si="1"/>
        <v>בינוני</v>
      </c>
      <c r="J39" s="2" t="s">
        <v>55</v>
      </c>
    </row>
    <row r="40" spans="1:10" ht="44.1" customHeight="1">
      <c r="A40" s="3">
        <v>39</v>
      </c>
      <c r="B40" s="2" t="s">
        <v>38</v>
      </c>
      <c r="C40" s="2" t="s">
        <v>176</v>
      </c>
      <c r="D40" s="2" t="s">
        <v>177</v>
      </c>
      <c r="E40" s="2" t="s">
        <v>178</v>
      </c>
      <c r="F40" s="3">
        <v>4</v>
      </c>
      <c r="G40" s="3">
        <v>3</v>
      </c>
      <c r="H40" s="3">
        <f t="shared" si="0"/>
        <v>12</v>
      </c>
      <c r="I40" s="3" t="str">
        <f t="shared" si="1"/>
        <v>גבוה</v>
      </c>
      <c r="J40" s="2" t="s">
        <v>179</v>
      </c>
    </row>
    <row r="41" spans="1:10" ht="44.1" customHeight="1">
      <c r="A41" s="3">
        <v>40</v>
      </c>
      <c r="B41" s="2" t="s">
        <v>13</v>
      </c>
      <c r="C41" s="2" t="s">
        <v>180</v>
      </c>
      <c r="D41" s="2" t="s">
        <v>181</v>
      </c>
      <c r="E41" s="2" t="s">
        <v>182</v>
      </c>
      <c r="F41" s="3">
        <v>5</v>
      </c>
      <c r="G41" s="3">
        <v>3</v>
      </c>
      <c r="H41" s="3">
        <f t="shared" si="0"/>
        <v>15</v>
      </c>
      <c r="I41" s="3" t="str">
        <f t="shared" si="1"/>
        <v>גבוה</v>
      </c>
      <c r="J41" s="2" t="s">
        <v>183</v>
      </c>
    </row>
  </sheetData>
  <conditionalFormatting sqref="H2:H41">
    <cfRule type="colorScale" priority="1">
      <colorScale>
        <cfvo type="min"/>
        <cfvo type="percentile" val="50"/>
        <cfvo type="max"/>
        <color rgb="FFDCFCE7"/>
        <color rgb="FFFEF3C7"/>
        <color rgb="FFFCA5A5"/>
      </colorScale>
    </cfRule>
  </conditionalFormatting>
  <conditionalFormatting sqref="I2:I41">
    <cfRule type="expression" dxfId="3" priority="2">
      <formula>I2="קריטי"</formula>
    </cfRule>
    <cfRule type="expression" dxfId="2" priority="3">
      <formula>I2="גבוה"</formula>
    </cfRule>
    <cfRule type="expression" dxfId="1" priority="4">
      <formula>I2="בינוני"</formula>
    </cfRule>
    <cfRule type="expression" dxfId="0" priority="5">
      <formula>I2="נמוך"</formula>
    </cfRule>
  </conditionalFormatting>
  <dataValidations count="1">
    <dataValidation type="list" sqref="F2:G41" xr:uid="{00000000-0002-0000-01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rightToLeft="1" topLeftCell="A5" workbookViewId="0">
      <selection sqref="A1:G1"/>
    </sheetView>
  </sheetViews>
  <sheetFormatPr defaultRowHeight="14.25"/>
  <cols>
    <col min="1" max="6" width="14" customWidth="1"/>
  </cols>
  <sheetData>
    <row r="1" spans="1:7" ht="27.95" customHeight="1">
      <c r="A1" s="16" t="s">
        <v>184</v>
      </c>
      <c r="B1" s="9"/>
      <c r="C1" s="9"/>
      <c r="D1" s="9"/>
      <c r="E1" s="9"/>
      <c r="F1" s="9"/>
      <c r="G1" s="9"/>
    </row>
    <row r="3" spans="1:7" ht="15">
      <c r="A3" s="1" t="s">
        <v>185</v>
      </c>
      <c r="B3" s="1">
        <v>1</v>
      </c>
      <c r="C3" s="1">
        <v>2</v>
      </c>
      <c r="D3" s="1">
        <v>3</v>
      </c>
      <c r="E3" s="1">
        <v>4</v>
      </c>
      <c r="F3" s="1">
        <v>5</v>
      </c>
    </row>
    <row r="4" spans="1:7" ht="15.75">
      <c r="A4" s="1">
        <v>5</v>
      </c>
      <c r="B4" s="4">
        <f>COUNTIFS(Threats!$F$2:$F$41,1,Threats!$G$2:$G$41,5)</f>
        <v>0</v>
      </c>
      <c r="C4" s="4">
        <f>COUNTIFS(Threats!$F$2:$F$41,2,Threats!$G$2:$G$41,5)</f>
        <v>0</v>
      </c>
      <c r="D4" s="4">
        <f>COUNTIFS(Threats!$F$2:$F$41,3,Threats!$G$2:$G$41,5)</f>
        <v>0</v>
      </c>
      <c r="E4" s="4">
        <f>COUNTIFS(Threats!$F$2:$F$41,4,Threats!$G$2:$G$41,5)</f>
        <v>6</v>
      </c>
      <c r="F4" s="4">
        <f>COUNTIFS(Threats!$F$2:$F$41,5,Threats!$G$2:$G$41,5)</f>
        <v>0</v>
      </c>
    </row>
    <row r="5" spans="1:7" ht="15.75">
      <c r="A5" s="1">
        <v>4</v>
      </c>
      <c r="B5" s="4">
        <f>COUNTIFS(Threats!$F$2:$F$41,1,Threats!$G$2:$G$41,4)</f>
        <v>0</v>
      </c>
      <c r="C5" s="4">
        <f>COUNTIFS(Threats!$F$2:$F$41,2,Threats!$G$2:$G$41,4)</f>
        <v>0</v>
      </c>
      <c r="D5" s="4">
        <f>COUNTIFS(Threats!$F$2:$F$41,3,Threats!$G$2:$G$41,4)</f>
        <v>0</v>
      </c>
      <c r="E5" s="4">
        <f>COUNTIFS(Threats!$F$2:$F$41,4,Threats!$G$2:$G$41,4)</f>
        <v>7</v>
      </c>
      <c r="F5" s="4">
        <f>COUNTIFS(Threats!$F$2:$F$41,5,Threats!$G$2:$G$41,4)</f>
        <v>9</v>
      </c>
    </row>
    <row r="6" spans="1:7" ht="15.75">
      <c r="A6" s="1">
        <v>3</v>
      </c>
      <c r="B6" s="4">
        <f>COUNTIFS(Threats!$F$2:$F$41,1,Threats!$G$2:$G$41,3)</f>
        <v>0</v>
      </c>
      <c r="C6" s="4">
        <f>COUNTIFS(Threats!$F$2:$F$41,2,Threats!$G$2:$G$41,3)</f>
        <v>0</v>
      </c>
      <c r="D6" s="4">
        <f>COUNTIFS(Threats!$F$2:$F$41,3,Threats!$G$2:$G$41,3)</f>
        <v>1</v>
      </c>
      <c r="E6" s="4">
        <f>COUNTIFS(Threats!$F$2:$F$41,4,Threats!$G$2:$G$41,3)</f>
        <v>6</v>
      </c>
      <c r="F6" s="4">
        <f>COUNTIFS(Threats!$F$2:$F$41,5,Threats!$G$2:$G$41,3)</f>
        <v>11</v>
      </c>
    </row>
    <row r="7" spans="1:7" ht="15.75">
      <c r="A7" s="1">
        <v>2</v>
      </c>
      <c r="B7" s="4">
        <f>COUNTIFS(Threats!$F$2:$F$41,1,Threats!$G$2:$G$41,2)</f>
        <v>0</v>
      </c>
      <c r="C7" s="4">
        <f>COUNTIFS(Threats!$F$2:$F$41,2,Threats!$G$2:$G$41,2)</f>
        <v>0</v>
      </c>
      <c r="D7" s="4">
        <f>COUNTIFS(Threats!$F$2:$F$41,3,Threats!$G$2:$G$41,2)</f>
        <v>0</v>
      </c>
      <c r="E7" s="4">
        <f>COUNTIFS(Threats!$F$2:$F$41,4,Threats!$G$2:$G$41,2)</f>
        <v>0</v>
      </c>
      <c r="F7" s="4">
        <f>COUNTIFS(Threats!$F$2:$F$41,5,Threats!$G$2:$G$41,2)</f>
        <v>0</v>
      </c>
    </row>
    <row r="8" spans="1:7" ht="15.75">
      <c r="A8" s="1">
        <v>1</v>
      </c>
      <c r="B8" s="4">
        <f>COUNTIFS(Threats!$F$2:$F$41,1,Threats!$G$2:$G$41,1)</f>
        <v>0</v>
      </c>
      <c r="C8" s="4">
        <f>COUNTIFS(Threats!$F$2:$F$41,2,Threats!$G$2:$G$41,1)</f>
        <v>0</v>
      </c>
      <c r="D8" s="4">
        <f>COUNTIFS(Threats!$F$2:$F$41,3,Threats!$G$2:$G$41,1)</f>
        <v>0</v>
      </c>
      <c r="E8" s="4">
        <f>COUNTIFS(Threats!$F$2:$F$41,4,Threats!$G$2:$G$41,1)</f>
        <v>0</v>
      </c>
      <c r="F8" s="4">
        <f>COUNTIFS(Threats!$F$2:$F$41,5,Threats!$G$2:$G$41,1)</f>
        <v>0</v>
      </c>
    </row>
    <row r="10" spans="1:7" ht="48" customHeight="1">
      <c r="A10" s="17" t="s">
        <v>186</v>
      </c>
      <c r="B10" s="9"/>
      <c r="C10" s="9"/>
      <c r="D10" s="9"/>
      <c r="E10" s="9"/>
      <c r="F10" s="9"/>
    </row>
  </sheetData>
  <mergeCells count="2">
    <mergeCell ref="A1:G1"/>
    <mergeCell ref="A10:F10"/>
  </mergeCells>
  <conditionalFormatting sqref="B4:F8">
    <cfRule type="colorScale" priority="1">
      <colorScale>
        <cfvo type="min"/>
        <cfvo type="percentile" val="50"/>
        <cfvo type="max"/>
        <color rgb="FFFFFFFF"/>
        <color rgb="FFFEF3C7"/>
        <color rgb="FFFCA5A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rightToLeft="1" workbookViewId="0">
      <selection activeCell="C16" sqref="C16"/>
    </sheetView>
  </sheetViews>
  <sheetFormatPr defaultRowHeight="14.25"/>
  <cols>
    <col min="1" max="1" width="24" customWidth="1"/>
    <col min="2" max="3" width="70" customWidth="1"/>
    <col min="4" max="4" width="52" customWidth="1"/>
  </cols>
  <sheetData>
    <row r="1" spans="1:4" ht="56.1" customHeight="1">
      <c r="A1" s="1" t="s">
        <v>187</v>
      </c>
      <c r="B1" s="1" t="s">
        <v>188</v>
      </c>
      <c r="C1" s="1" t="s">
        <v>189</v>
      </c>
      <c r="D1" s="1" t="s">
        <v>190</v>
      </c>
    </row>
    <row r="2" spans="1:4" ht="56.1" customHeight="1">
      <c r="A2" s="2" t="s">
        <v>191</v>
      </c>
      <c r="B2" s="2" t="s">
        <v>192</v>
      </c>
      <c r="C2" s="2" t="s">
        <v>102</v>
      </c>
      <c r="D2" s="2" t="s">
        <v>193</v>
      </c>
    </row>
    <row r="3" spans="1:4" ht="56.1" customHeight="1">
      <c r="A3" s="2" t="s">
        <v>194</v>
      </c>
      <c r="B3" s="2" t="s">
        <v>195</v>
      </c>
      <c r="C3" s="2" t="s">
        <v>130</v>
      </c>
      <c r="D3" s="2" t="s">
        <v>196</v>
      </c>
    </row>
    <row r="4" spans="1:4" ht="56.1" customHeight="1">
      <c r="A4" s="2" t="s">
        <v>197</v>
      </c>
      <c r="B4" s="2" t="s">
        <v>198</v>
      </c>
      <c r="C4" s="2" t="s">
        <v>70</v>
      </c>
      <c r="D4" s="2" t="s">
        <v>199</v>
      </c>
    </row>
    <row r="5" spans="1:4" ht="56.1" customHeight="1">
      <c r="A5" s="2" t="s">
        <v>200</v>
      </c>
      <c r="B5" s="2" t="s">
        <v>201</v>
      </c>
      <c r="C5" s="2" t="s">
        <v>202</v>
      </c>
      <c r="D5" s="2" t="s">
        <v>203</v>
      </c>
    </row>
    <row r="6" spans="1:4" ht="56.1" customHeight="1">
      <c r="A6" s="2" t="s">
        <v>204</v>
      </c>
      <c r="B6" s="2" t="s">
        <v>205</v>
      </c>
      <c r="C6" s="2" t="s">
        <v>62</v>
      </c>
      <c r="D6" s="2" t="s">
        <v>206</v>
      </c>
    </row>
    <row r="7" spans="1:4" ht="56.1" customHeight="1">
      <c r="A7" s="2" t="s">
        <v>207</v>
      </c>
      <c r="B7" s="2" t="s">
        <v>208</v>
      </c>
      <c r="C7" s="2" t="s">
        <v>209</v>
      </c>
      <c r="D7" s="2" t="s">
        <v>210</v>
      </c>
    </row>
    <row r="8" spans="1:4" ht="56.1" customHeight="1">
      <c r="A8" s="2" t="s">
        <v>211</v>
      </c>
      <c r="B8" s="2" t="s">
        <v>212</v>
      </c>
      <c r="C8" s="2" t="s">
        <v>213</v>
      </c>
      <c r="D8" s="2" t="s">
        <v>214</v>
      </c>
    </row>
    <row r="9" spans="1:4" ht="56.1" customHeight="1">
      <c r="A9" s="2" t="s">
        <v>215</v>
      </c>
      <c r="B9" s="2" t="s">
        <v>216</v>
      </c>
      <c r="C9" s="2" t="s">
        <v>217</v>
      </c>
      <c r="D9" s="2" t="s">
        <v>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Threats</vt:lpstr>
      <vt:lpstr>Risk Matrix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Sinay</dc:creator>
  <cp:lastModifiedBy>Yuval Sinay</cp:lastModifiedBy>
  <dcterms:modified xsi:type="dcterms:W3CDTF">2026-06-11T16:45:05Z</dcterms:modified>
</cp:coreProperties>
</file>