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עבודה\מצגות\מדוע פרויקטי AI כושלים, ואיך זה קשור לסייבר\מסמכים ישימים\"/>
    </mc:Choice>
  </mc:AlternateContent>
  <xr:revisionPtr revIDLastSave="0" documentId="13_ncr:1_{C5F57529-287F-4ADC-BE0F-7E5F0AA50D26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Dashboard" sheetId="1" r:id="rId1"/>
    <sheet name="Requirements" sheetId="2" r:id="rId2"/>
    <sheet name="Source &amp; Metho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5" i="2" l="1"/>
  <c r="I24" i="2"/>
  <c r="I23" i="2"/>
  <c r="I22" i="2"/>
  <c r="I21" i="2"/>
  <c r="I20" i="2"/>
  <c r="I19" i="2"/>
  <c r="I18" i="2"/>
  <c r="I17" i="2"/>
  <c r="I16" i="2"/>
  <c r="I15" i="2"/>
  <c r="I14" i="2"/>
  <c r="P13" i="2"/>
  <c r="I13" i="2"/>
  <c r="P12" i="2"/>
  <c r="I12" i="2"/>
  <c r="P11" i="2"/>
  <c r="I11" i="2"/>
  <c r="P10" i="2"/>
  <c r="I10" i="2"/>
  <c r="P9" i="2"/>
  <c r="I9" i="2"/>
  <c r="P8" i="2"/>
  <c r="I8" i="2"/>
  <c r="P7" i="2"/>
  <c r="I7" i="2"/>
  <c r="P6" i="2"/>
  <c r="I6" i="2"/>
  <c r="G6" i="1" s="1"/>
  <c r="J6" i="1"/>
  <c r="D6" i="1"/>
  <c r="A6" i="1"/>
</calcChain>
</file>

<file path=xl/sharedStrings.xml><?xml version="1.0" encoding="utf-8"?>
<sst xmlns="http://schemas.openxmlformats.org/spreadsheetml/2006/main" count="311" uniqueCount="248">
  <si>
    <t>Security Requirements for AI-Assisted Software Development</t>
  </si>
  <si>
    <t>A production agent must operate inside a governed harness: formal rules, least privilege, isolation, deterministic gates, verification, human oversight, and complete observability.</t>
  </si>
  <si>
    <t>Total Controls</t>
  </si>
  <si>
    <t>Critical Controls</t>
  </si>
  <si>
    <t>Average Completion</t>
  </si>
  <si>
    <t>Verified</t>
  </si>
  <si>
    <t>SECURE AGENT HARNESS — DEFENSE IN DEPTH</t>
  </si>
  <si>
    <t>SECURE PRODUCTION OUTCOME</t>
  </si>
  <si>
    <t>1  Governance, Ownership &amp; Human Oversight
Clear accountability, human approvals, prototype/production separation, skills and escalation.</t>
  </si>
  <si>
    <t>Reliable, reviewable and auditable software
• Controlled agent autonomy
• Reduced supply-chain and logic risk
• Reproducible decisions
• Fast detection and safe recovery</t>
  </si>
  <si>
    <t>2  Context, Rules &amp; Architecture
Version-controlled instructions, hard constraints, approved prompts, memory and skill assets.</t>
  </si>
  <si>
    <t>3  Tools, Identity &amp; Scoped Permissions
Allow-listed tools and APIs, unique service identity, least privilege and controlled integrations.</t>
  </si>
  <si>
    <t>4  Sandboxes, Orchestration &amp; Guardrails
Isolated execution, governed delegation, stop conditions and deterministic pre/post-action hooks.</t>
  </si>
  <si>
    <t>CONTROL COVERAGE BY DOMAIN</t>
  </si>
  <si>
    <t>5  Tests, Evals, Review &amp; CI/CD Gates
Test-first contracts, output and trajectory evaluation, human review and AI-specific security checks.</t>
  </si>
  <si>
    <t>6  Observability, Monitoring &amp; Safe Deployment
Complete traces, drift and cost monitoring, production feedback, approvals, health checks and rollback.</t>
  </si>
  <si>
    <t>SECURITY THROUGHOUT THE AI-DRIVEN SDLC</t>
  </si>
  <si>
    <t>REQUIREMENTS
Define rules &amp; risk</t>
  </si>
  <si>
    <t>IMPLEMENTATION
Sandbox &amp; least privilege</t>
  </si>
  <si>
    <t>TESTING
Tests, evals &amp; trajectories</t>
  </si>
  <si>
    <t>REVIEW / DEPLOY
Human gates &amp; rollback</t>
  </si>
  <si>
    <t>OPERATE
Observe &amp; improve</t>
  </si>
  <si>
    <t>Controls are derived from the security-relevant practices in the uploaded document. Priority and suggested ownership are implementation-planning recommendations.</t>
  </si>
  <si>
    <t>ID</t>
  </si>
  <si>
    <t>Security Domain</t>
  </si>
  <si>
    <t>Security Requirement</t>
  </si>
  <si>
    <t>Minimum Implementation</t>
  </si>
  <si>
    <t>SDLC Phase</t>
  </si>
  <si>
    <t>Suggested Priority</t>
  </si>
  <si>
    <t>Suggested Owner</t>
  </si>
  <si>
    <t>Status</t>
  </si>
  <si>
    <t>Completion</t>
  </si>
  <si>
    <t>Verification Evidence</t>
  </si>
  <si>
    <t>Document Page(s)</t>
  </si>
  <si>
    <t>Source Rationale</t>
  </si>
  <si>
    <t>Organization Notes</t>
  </si>
  <si>
    <t>Domain</t>
  </si>
  <si>
    <t>Control Count</t>
  </si>
  <si>
    <t>C-01</t>
  </si>
  <si>
    <t>Governance &amp; Architecture</t>
  </si>
  <si>
    <t>Define formal agent instructions, prohibited actions, and architectural constraints.</t>
  </si>
  <si>
    <t>Create and maintain AGENTS.md or equivalent rule files; state stack, conventions, hard rules, allowed workflows, and prohibited actions.</t>
  </si>
  <si>
    <t>Requirements / Architecture</t>
  </si>
  <si>
    <t>Critical</t>
  </si>
  <si>
    <t>AI Platform / Architecture</t>
  </si>
  <si>
    <t>Not Started</t>
  </si>
  <si>
    <t>Approved, version-controlled rule files; named owner; PR review history.</t>
  </si>
  <si>
    <t>pp. 28–29, 43–44</t>
  </si>
  <si>
    <t>The harness must load instructions and rules before production code is generated.</t>
  </si>
  <si>
    <t>C-02</t>
  </si>
  <si>
    <t>Treat context-engineering assets as controlled code.</t>
  </si>
  <si>
    <t>Version system prompts, memory files, skill libraries, tool definitions, and evaluation suites; require pull-request review and named ownership.</t>
  </si>
  <si>
    <t>High</t>
  </si>
  <si>
    <t>Engineering Governance</t>
  </si>
  <si>
    <t>Repository history, CODEOWNERS, review records, change approvals.</t>
  </si>
  <si>
    <t>p. 44</t>
  </si>
  <si>
    <t>Prevents harness drift and irreproducible agent behavior.</t>
  </si>
  <si>
    <t>Identity &amp; Access</t>
  </si>
  <si>
    <t>C-03</t>
  </si>
  <si>
    <t>Allow-list the tools, APIs, MCP servers, and data sources each agent may use.</t>
  </si>
  <si>
    <t>Expose only required tools; document when and how each tool may be invoked; deny unapproved tools and external connections by default.</t>
  </si>
  <si>
    <t>Architecture / Implementation</t>
  </si>
  <si>
    <t>AI Platform / IAM</t>
  </si>
  <si>
    <t>Approved tool inventory, policy-as-code rules, denied-call logs.</t>
  </si>
  <si>
    <t>pp. 28–29</t>
  </si>
  <si>
    <t>The document emphasizes explicitly defining accessible tools and APIs.</t>
  </si>
  <si>
    <t>Execution Security</t>
  </si>
  <si>
    <t>C-04</t>
  </si>
  <si>
    <t>Use scoped permissions and a distinct identity for every production agent.</t>
  </si>
  <si>
    <t>Assign least-privilege service identities; scope permissions by environment, repository, dataset, action, and duration.</t>
  </si>
  <si>
    <t>Architecture / Operations</t>
  </si>
  <si>
    <t>IAM / Cloud Security</t>
  </si>
  <si>
    <t>IAM policies, access reviews, short-lived credentials, permission-boundary tests.</t>
  </si>
  <si>
    <t>p. 45</t>
  </si>
  <si>
    <t>Scoped permissions per agent are part of the required production substrate.</t>
  </si>
  <si>
    <t>Verification &amp; Quality</t>
  </si>
  <si>
    <t>C-05</t>
  </si>
  <si>
    <t>Run generated code and agent tool actions in isolated sandboxes.</t>
  </si>
  <si>
    <t>Restrict filesystem, network, process, secrets, package installation, and production access; use disposable execution environments.</t>
  </si>
  <si>
    <t>Implementation / Testing</t>
  </si>
  <si>
    <t>Platform Security</t>
  </si>
  <si>
    <t>Sandbox configuration, egress rules, isolation tests, ephemeral workspace evidence.</t>
  </si>
  <si>
    <t>pp. 28–30</t>
  </si>
  <si>
    <t>The harness should define what the agent can and cannot reach.</t>
  </si>
  <si>
    <t>Code &amp; Supply Chain</t>
  </si>
  <si>
    <t>C-06</t>
  </si>
  <si>
    <t>Control orchestration, delegation, model routing, and agent handoffs.</t>
  </si>
  <si>
    <t>Define permitted sub-agents, stop conditions, task boundaries, escalation paths, and handoff contracts; prohibit uncontrolled agent spawning.</t>
  </si>
  <si>
    <t>AI Platform Engineering</t>
  </si>
  <si>
    <t>Orchestration policies, workflow diagrams, delegation logs, stop-condition tests.</t>
  </si>
  <si>
    <t>pp. 28, 30</t>
  </si>
  <si>
    <t>Orchestration logic governs specialist handoffs and autonomous correction loops.</t>
  </si>
  <si>
    <t>Observability &amp; Operations</t>
  </si>
  <si>
    <t>C-07</t>
  </si>
  <si>
    <t>Implement deterministic guardrails and lifecycle hooks.</t>
  </si>
  <si>
    <t>Run policy checks before tool calls, after file edits, before commits, and before deployment; block secrets, unsafe commands, and forbidden changes.</t>
  </si>
  <si>
    <t>Implementation / Review / Deploy</t>
  </si>
  <si>
    <t>DevSecOps</t>
  </si>
  <si>
    <t>Hook configurations, blocked-action logs, commit-gate results, policy tests.</t>
  </si>
  <si>
    <t>The document gives blocking a hard-coded password before commit as an example.</t>
  </si>
  <si>
    <t>Standards &amp; Integration</t>
  </si>
  <si>
    <t>C-08</t>
  </si>
  <si>
    <t>Separate prototype and production modes, branches, projects, and environments.</t>
  </si>
  <si>
    <t>Define explicit promotion criteria; prevent prototype artifacts from reaching production without production-grade controls and approval.</t>
  </si>
  <si>
    <t>Requirements / Release</t>
  </si>
  <si>
    <t>Engineering Leadership</t>
  </si>
  <si>
    <t>Environment separation, branch protections, release policy, promotion approvals.</t>
  </si>
  <si>
    <t>The document warns that blurred boundaries cause prototypes to ship accidentally.</t>
  </si>
  <si>
    <t>People &amp; Process</t>
  </si>
  <si>
    <t>C-09</t>
  </si>
  <si>
    <t>Write tests and evaluations before generating production code.</t>
  </si>
  <si>
    <t>Define expected behavior, edge cases, security properties, and failure handling as executable tests and evaluation rubrics.</t>
  </si>
  <si>
    <t>Requirements / Testing</t>
  </si>
  <si>
    <t>QA / Product Engineering</t>
  </si>
  <si>
    <t>Pre-implementation test commits, eval rubrics, coverage targets, acceptance criteria.</t>
  </si>
  <si>
    <t>pp. 43–44</t>
  </si>
  <si>
    <t>Tests and evals are described as the contract with the AI.</t>
  </si>
  <si>
    <t>C-10</t>
  </si>
  <si>
    <t>Gate releases on final-output evaluation and deterministic tests in CI.</t>
  </si>
  <si>
    <t>Require compilation, unit/integration/security tests, final-response quality checks, and explicit pass thresholds before merge or deployment.</t>
  </si>
  <si>
    <t>Testing / CI/CD</t>
  </si>
  <si>
    <t>QA / DevSecOps</t>
  </si>
  <si>
    <t>CI gate results, test reports, evaluation scorecards, deployment-block evidence.</t>
  </si>
  <si>
    <t>pp. 22–23, 44–45</t>
  </si>
  <si>
    <t>A passing eval suite, not a demo, should be the shipping bar.</t>
  </si>
  <si>
    <t>C-11</t>
  </si>
  <si>
    <t>Evaluate the agent trajectory, not only the final artifact.</t>
  </si>
  <si>
    <t>Capture and score tool choices, intermediate actions, policy compliance, skipped verification steps, and escalation behavior.</t>
  </si>
  <si>
    <t>Testing / Operations</t>
  </si>
  <si>
    <t>AI Assurance</t>
  </si>
  <si>
    <t>Trajectory traces, compliance rubric, failed-path analysis, audit samples.</t>
  </si>
  <si>
    <t>pp. 22–23, 45</t>
  </si>
  <si>
    <t>The document states that fluent output may still be dangerous when verification steps were skipped.</t>
  </si>
  <si>
    <t>C-12</t>
  </si>
  <si>
    <t>Require human review of every AI-generated change that will ship.</t>
  </si>
  <si>
    <t>Review code for correctness, architecture, maintainability, real package imports, realistic error handling, and understandable logic.</t>
  </si>
  <si>
    <t>Code Review</t>
  </si>
  <si>
    <t>Engineering / AppSec</t>
  </si>
  <si>
    <t>Protected-branch approvals, review checklist, reviewer identity, resolved comments.</t>
  </si>
  <si>
    <t>pp. 23, 43–45</t>
  </si>
  <si>
    <t>AI review may assist, but does not replace human judgment.</t>
  </si>
  <si>
    <t>C-13</t>
  </si>
  <si>
    <t>Tune security review for AI-generated-code failure modes.</t>
  </si>
  <si>
    <t>Check hallucinated dependencies, dependency confusion, unsafe defaults, missing edge cases, subtle logic flaws, and inadequate error handling.</t>
  </si>
  <si>
    <t>Code Review / Testing</t>
  </si>
  <si>
    <t>Application Security</t>
  </si>
  <si>
    <t>AI-specific review checklist, SCA/SAST results, package verification, threat-model updates.</t>
  </si>
  <si>
    <t>pp. 44–45</t>
  </si>
  <si>
    <t>Generated code requires the same or greater scrutiny than human-written code.</t>
  </si>
  <si>
    <t>C-14</t>
  </si>
  <si>
    <t>Maintain complete observability and auditability of agent activity.</t>
  </si>
  <si>
    <t>Log every run, tool call, file change, decision, evaluation, cost, latency, and drift signal; retain traces for investigation and assurance.</t>
  </si>
  <si>
    <t>All SDLC Phases / Operations</t>
  </si>
  <si>
    <t>SOC / SRE / AI Platform</t>
  </si>
  <si>
    <t>Central logs, trace IDs, retention policy, dashboards, audit queries, drift alerts.</t>
  </si>
  <si>
    <t>pp. 28, 30, 45</t>
  </si>
  <si>
    <t>Without observability, teams cannot detect quiet degradation or explain decisions.</t>
  </si>
  <si>
    <t>C-15</t>
  </si>
  <si>
    <t>Operate a continuous quality and security feedback loop.</t>
  </si>
  <si>
    <t>Benchmark the agent, cluster root causes, correct prompts/tools/policies, run regression suites, and monitor production for new failure modes.</t>
  </si>
  <si>
    <t>AI Assurance / SRE</t>
  </si>
  <si>
    <t>Regression trends, failure taxonomy, corrective-action records, production monitors.</t>
  </si>
  <si>
    <t>p. 23</t>
  </si>
  <si>
    <t>The document describes a continuous evaluate–diagnose–optimize–verify–monitor flywheel.</t>
  </si>
  <si>
    <t>C-16</t>
  </si>
  <si>
    <t>Implement safe deployment, health monitoring, and rollback.</t>
  </si>
  <si>
    <t>Monitor deployment health, enforce approvals for high-risk changes, predict deployment risk where possible, and automatically roll back failed releases.</t>
  </si>
  <si>
    <t>Deployment / Operations</t>
  </si>
  <si>
    <t>SRE / Release Engineering</t>
  </si>
  <si>
    <t>Deployment health checks, rollback tests, change approvals, incident records.</t>
  </si>
  <si>
    <t>pp. 23–24</t>
  </si>
  <si>
    <t>AI-aware deployment pipelines should connect production behavior to development decisions.</t>
  </si>
  <si>
    <t>C-17</t>
  </si>
  <si>
    <t>Govern MCP and A2A integrations as security-sensitive interfaces.</t>
  </si>
  <si>
    <t>Approve servers/peers, authenticate and authorize connections, validate schemas, version policies, monitor calls, and maintain vendor portability.</t>
  </si>
  <si>
    <t>Architecture / Integration</t>
  </si>
  <si>
    <t>Enterprise Architecture / Security</t>
  </si>
  <si>
    <t>Approved integration registry, protocol policies, authentication evidence, call logs.</t>
  </si>
  <si>
    <t>pp. 38–39, 45</t>
  </si>
  <si>
    <t>The document recommends open standards for tool access and cross-agent delegation.</t>
  </si>
  <si>
    <t>C-18</t>
  </si>
  <si>
    <t>Define a human–agent operating model with clear accountability.</t>
  </si>
  <si>
    <t>Document who sets direction, who approves output, how handoffs work, who is on call, and when the agent must escalate or stop.</t>
  </si>
  <si>
    <t>All SDLC Phases</t>
  </si>
  <si>
    <t>Engineering Leadership / Risk</t>
  </si>
  <si>
    <t>RACI, handoff procedures, escalation matrix, on-call playbooks, approval records.</t>
  </si>
  <si>
    <t>pp. 45–46</t>
  </si>
  <si>
    <t>Humans direct and review; agents implement within governed boundaries.</t>
  </si>
  <si>
    <t>C-19</t>
  </si>
  <si>
    <t>Train engineers and reviewers on AI-specific failure modes and preserve core engineering skills.</t>
  </si>
  <si>
    <t>Provide training on generated-code review, debugging, system design, evaluation, security, and architecture; periodically exercise these skills.</t>
  </si>
  <si>
    <t>Workforce / Governance</t>
  </si>
  <si>
    <t>Engineering Enablement / Security</t>
  </si>
  <si>
    <t>Training records, exercises, reviewer qualification, lessons learned.</t>
  </si>
  <si>
    <t>pp. 43–46</t>
  </si>
  <si>
    <t>The document stresses judgment, review, debugging, and architecture skills.</t>
  </si>
  <si>
    <t>C-20</t>
  </si>
  <si>
    <t>Build the production security substrate before the first production agent ships.</t>
  </si>
  <si>
    <t>Make CI evaluations, complete traces, scoped permissions, AI-specific security review, observability, and architectural standards mandatory launch criteria.</t>
  </si>
  <si>
    <t>Pre-Production / Scale</t>
  </si>
  <si>
    <t>CISO / CTO / Engineering</t>
  </si>
  <si>
    <t>Production-readiness checklist, risk acceptance, launch approval, control verification.</t>
  </si>
  <si>
    <t>The document explicitly says to build this substrate before scale, not after.</t>
  </si>
  <si>
    <t>Source, Method and Interpretation Notes</t>
  </si>
  <si>
    <t>Field</t>
  </si>
  <si>
    <t>Details</t>
  </si>
  <si>
    <t>Uploaded source</t>
  </si>
  <si>
    <t>1783583117717.pdf</t>
  </si>
  <si>
    <t>Document title</t>
  </si>
  <si>
    <t>The New SDLC With Vibe Coding: From ad-hoc prompting to Agentic Engineering</t>
  </si>
  <si>
    <t>Authors</t>
  </si>
  <si>
    <t>Addy Osmani, Shubham Saboo, and Sokratis Kartakis</t>
  </si>
  <si>
    <t>Publication date</t>
  </si>
  <si>
    <t>May 2026</t>
  </si>
  <si>
    <t>APA 7 reference</t>
  </si>
  <si>
    <t>Osmani, A., Saboo, S., &amp; Kartakis, S. (2026, May). The new SDLC with vibe coding: From ad-hoc prompting to agentic engineering. Google.</t>
  </si>
  <si>
    <t>Method</t>
  </si>
  <si>
    <t>Security-relevant requirements were extracted from the document's harness, testing, code review, observability, deployment, engineering-leader, and organizational recommendations.</t>
  </si>
  <si>
    <t>Important limitation</t>
  </si>
  <si>
    <t>The source is an AI-driven SDLC guidance paper, not a dedicated cybersecurity standard. The workbook converts its security-relevant practices into an actionable control register.</t>
  </si>
  <si>
    <t>Analyst additions</t>
  </si>
  <si>
    <t>Suggested priority, control owner, evidence, and implementation wording are planning recommendations added to make the document operational.</t>
  </si>
  <si>
    <t>Key Extracted Source Passages</t>
  </si>
  <si>
    <t>Page(s)</t>
  </si>
  <si>
    <t>Topic</t>
  </si>
  <si>
    <t>Document Guidance</t>
  </si>
  <si>
    <t>Controls Supported</t>
  </si>
  <si>
    <t>28–30</t>
  </si>
  <si>
    <t>Harness security components</t>
  </si>
  <si>
    <t>Instructions and rule files, tools, sandboxes, orchestration, deterministic guardrails/hooks, and observability must surround the model across the SDLC.</t>
  </si>
  <si>
    <t>C-01, C-03, C-05, C-06, C-07, C-14</t>
  </si>
  <si>
    <t>22–23</t>
  </si>
  <si>
    <t>Verification</t>
  </si>
  <si>
    <t>Evaluate both the final output and the trajectory of tool calls; connect benchmarks, regression tests, root-cause analysis, and production monitoring.</t>
  </si>
  <si>
    <t>C-09, C-10, C-11, C-15</t>
  </si>
  <si>
    <t>23–24</t>
  </si>
  <si>
    <t>Review and deployment</t>
  </si>
  <si>
    <t>AI may augment review but not replace human judgment; deployment should monitor health, support rollback, and use production feedback.</t>
  </si>
  <si>
    <t>C-12, C-16</t>
  </si>
  <si>
    <t>43–45</t>
  </si>
  <si>
    <t>Developer and leader practices</t>
  </si>
  <si>
    <t>Write tests and evals first, review every line that ships, version context assets, gate on evals, strengthen code review, and separate prototypes from production.</t>
  </si>
  <si>
    <t>C-02, C-08, C-09, C-10, C-12, C-13</t>
  </si>
  <si>
    <t>45–46</t>
  </si>
  <si>
    <t>Organizational practices</t>
  </si>
  <si>
    <t>Build the production substrate before scale: CI evals, complete traces, scoped permissions, AI-specific security review, open standards, and governed human-agent handoffs.</t>
  </si>
  <si>
    <t>C-04, C-17, C-18, C-20</t>
  </si>
  <si>
    <t>AI Coding Agent Security Requirements Register | Based on the Document "The New SDLC With Vibe Coding" | Author: Yuval Sinay | Version 1.0 | 19.07.2026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</si>
</sst>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20"/>
      <color rgb="FFFFFFFF"/>
      <name val="Carlito"/>
    </font>
    <font>
      <i/>
      <sz val="10"/>
      <color rgb="FF1F2933"/>
      <name val="Carlito"/>
    </font>
    <font>
      <b/>
      <sz val="10"/>
      <color rgb="FFFFFFFF"/>
      <name val="Carlito"/>
    </font>
    <font>
      <b/>
      <sz val="22"/>
      <color rgb="FF102A43"/>
      <name val="Carlito"/>
    </font>
    <font>
      <b/>
      <sz val="22"/>
      <color rgb="FFB42318"/>
      <name val="Carlito"/>
    </font>
    <font>
      <b/>
      <sz val="22"/>
      <color rgb="FF0F766E"/>
      <name val="Carlito"/>
    </font>
    <font>
      <b/>
      <sz val="22"/>
      <color rgb="FF247A4D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color rgb="FF1F2933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EAF3FA"/>
      </patternFill>
    </fill>
    <fill>
      <patternFill patternType="solid">
        <fgColor rgb="FFFFFFFF"/>
      </patternFill>
    </fill>
    <fill>
      <patternFill patternType="solid">
        <fgColor rgb="FFB42318"/>
      </patternFill>
    </fill>
    <fill>
      <patternFill patternType="solid">
        <fgColor rgb="FF0F766E"/>
      </patternFill>
    </fill>
    <fill>
      <patternFill patternType="solid">
        <fgColor rgb="FF247A4D"/>
      </patternFill>
    </fill>
    <fill>
      <patternFill patternType="solid">
        <fgColor rgb="FF1F5D8F"/>
      </patternFill>
    </fill>
    <fill>
      <patternFill patternType="solid">
        <fgColor rgb="FF6D4C9C"/>
      </patternFill>
    </fill>
    <fill>
      <patternFill patternType="solid">
        <fgColor rgb="FF0E7490"/>
      </patternFill>
    </fill>
    <fill>
      <patternFill patternType="solid">
        <fgColor rgb="FFC56A1A"/>
      </patternFill>
    </fill>
    <fill>
      <patternFill patternType="solid">
        <fgColor rgb="FFE8F5F2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 wrapText="1"/>
    </xf>
    <xf numFmtId="9" fontId="0" fillId="0" borderId="0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9" fontId="0" fillId="0" borderId="7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vertical="center" wrapText="1"/>
    </xf>
    <xf numFmtId="0" fontId="3" fillId="2" borderId="0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0" fontId="4" fillId="4" borderId="0" xfId="0" applyNumberFormat="1" applyFont="1" applyFill="1" applyBorder="1" applyAlignment="1">
      <alignment horizontal="center" vertical="center"/>
    </xf>
    <xf numFmtId="0" fontId="4" fillId="4" borderId="5" xfId="0" applyNumberFormat="1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/>
    </xf>
    <xf numFmtId="0" fontId="4" fillId="4" borderId="7" xfId="0" applyNumberFormat="1" applyFont="1" applyFill="1" applyBorder="1" applyAlignment="1">
      <alignment horizontal="center" vertical="center"/>
    </xf>
    <xf numFmtId="0" fontId="4" fillId="4" borderId="8" xfId="0" applyNumberFormat="1" applyFont="1" applyFill="1" applyBorder="1" applyAlignment="1">
      <alignment horizontal="center" vertical="center"/>
    </xf>
    <xf numFmtId="0" fontId="3" fillId="5" borderId="0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/>
    </xf>
    <xf numFmtId="0" fontId="5" fillId="4" borderId="3" xfId="0" applyNumberFormat="1" applyFont="1" applyFill="1" applyBorder="1" applyAlignment="1">
      <alignment horizontal="center" vertical="center"/>
    </xf>
    <xf numFmtId="0" fontId="5" fillId="4" borderId="4" xfId="0" applyNumberFormat="1" applyFont="1" applyFill="1" applyBorder="1" applyAlignment="1">
      <alignment horizontal="center" vertical="center"/>
    </xf>
    <xf numFmtId="0" fontId="5" fillId="4" borderId="0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3" fillId="6" borderId="0" xfId="0" applyNumberFormat="1" applyFont="1" applyFill="1" applyBorder="1" applyAlignment="1">
      <alignment horizontal="center" vertical="center"/>
    </xf>
    <xf numFmtId="9" fontId="6" fillId="4" borderId="1" xfId="0" applyNumberFormat="1" applyFont="1" applyFill="1" applyBorder="1" applyAlignment="1">
      <alignment horizontal="center" vertical="center"/>
    </xf>
    <xf numFmtId="9" fontId="6" fillId="4" borderId="2" xfId="0" applyNumberFormat="1" applyFont="1" applyFill="1" applyBorder="1" applyAlignment="1">
      <alignment horizontal="center" vertical="center"/>
    </xf>
    <xf numFmtId="9" fontId="6" fillId="4" borderId="3" xfId="0" applyNumberFormat="1" applyFont="1" applyFill="1" applyBorder="1" applyAlignment="1">
      <alignment horizontal="center" vertical="center"/>
    </xf>
    <xf numFmtId="9" fontId="6" fillId="4" borderId="4" xfId="0" applyNumberFormat="1" applyFont="1" applyFill="1" applyBorder="1" applyAlignment="1">
      <alignment horizontal="center" vertical="center"/>
    </xf>
    <xf numFmtId="9" fontId="6" fillId="4" borderId="0" xfId="0" applyNumberFormat="1" applyFont="1" applyFill="1" applyBorder="1" applyAlignment="1">
      <alignment horizontal="center" vertical="center"/>
    </xf>
    <xf numFmtId="9" fontId="6" fillId="4" borderId="5" xfId="0" applyNumberFormat="1" applyFont="1" applyFill="1" applyBorder="1" applyAlignment="1">
      <alignment horizontal="center" vertical="center"/>
    </xf>
    <xf numFmtId="9" fontId="6" fillId="4" borderId="6" xfId="0" applyNumberFormat="1" applyFont="1" applyFill="1" applyBorder="1" applyAlignment="1">
      <alignment horizontal="center" vertical="center"/>
    </xf>
    <xf numFmtId="9" fontId="6" fillId="4" borderId="7" xfId="0" applyNumberFormat="1" applyFont="1" applyFill="1" applyBorder="1" applyAlignment="1">
      <alignment horizontal="center" vertical="center"/>
    </xf>
    <xf numFmtId="9" fontId="6" fillId="4" borderId="8" xfId="0" applyNumberFormat="1" applyFont="1" applyFill="1" applyBorder="1" applyAlignment="1">
      <alignment horizontal="center" vertical="center"/>
    </xf>
    <xf numFmtId="0" fontId="3" fillId="7" borderId="0" xfId="0" applyNumberFormat="1" applyFont="1" applyFill="1" applyBorder="1" applyAlignment="1">
      <alignment horizontal="center" vertical="center"/>
    </xf>
    <xf numFmtId="0" fontId="7" fillId="4" borderId="1" xfId="0" applyNumberFormat="1" applyFont="1" applyFill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/>
    </xf>
    <xf numFmtId="0" fontId="7" fillId="4" borderId="3" xfId="0" applyNumberFormat="1" applyFont="1" applyFill="1" applyBorder="1" applyAlignment="1">
      <alignment horizontal="center" vertical="center"/>
    </xf>
    <xf numFmtId="0" fontId="7" fillId="4" borderId="4" xfId="0" applyNumberFormat="1" applyFont="1" applyFill="1" applyBorder="1" applyAlignment="1">
      <alignment horizontal="center" vertical="center"/>
    </xf>
    <xf numFmtId="0" fontId="7" fillId="4" borderId="0" xfId="0" applyNumberFormat="1" applyFont="1" applyFill="1" applyBorder="1" applyAlignment="1">
      <alignment horizontal="center" vertical="center"/>
    </xf>
    <xf numFmtId="0" fontId="7" fillId="4" borderId="5" xfId="0" applyNumberFormat="1" applyFont="1" applyFill="1" applyBorder="1" applyAlignment="1">
      <alignment horizontal="center" vertical="center"/>
    </xf>
    <xf numFmtId="0" fontId="7" fillId="4" borderId="6" xfId="0" applyNumberFormat="1" applyFont="1" applyFill="1" applyBorder="1" applyAlignment="1">
      <alignment horizontal="center" vertical="center"/>
    </xf>
    <xf numFmtId="0" fontId="7" fillId="4" borderId="7" xfId="0" applyNumberFormat="1" applyFont="1" applyFill="1" applyBorder="1" applyAlignment="1">
      <alignment horizontal="center" vertical="center"/>
    </xf>
    <xf numFmtId="0" fontId="7" fillId="4" borderId="8" xfId="0" applyNumberFormat="1" applyFont="1" applyFill="1" applyBorder="1" applyAlignment="1">
      <alignment horizontal="center" vertical="center"/>
    </xf>
    <xf numFmtId="0" fontId="9" fillId="11" borderId="0" xfId="0" applyNumberFormat="1" applyFont="1" applyFill="1" applyBorder="1" applyAlignment="1">
      <alignment horizontal="left" vertical="center" wrapText="1"/>
    </xf>
    <xf numFmtId="0" fontId="9" fillId="11" borderId="9" xfId="0" applyNumberFormat="1" applyFont="1" applyFill="1" applyBorder="1" applyAlignment="1">
      <alignment horizontal="left" vertical="center" wrapText="1"/>
    </xf>
    <xf numFmtId="0" fontId="9" fillId="6" borderId="0" xfId="0" applyNumberFormat="1" applyFont="1" applyFill="1" applyBorder="1" applyAlignment="1">
      <alignment horizontal="left" vertical="center" wrapText="1"/>
    </xf>
    <xf numFmtId="0" fontId="9" fillId="6" borderId="9" xfId="0" applyNumberFormat="1" applyFont="1" applyFill="1" applyBorder="1" applyAlignment="1">
      <alignment horizontal="left" vertical="center" wrapText="1"/>
    </xf>
    <xf numFmtId="0" fontId="10" fillId="7" borderId="1" xfId="0" applyNumberFormat="1" applyFont="1" applyFill="1" applyBorder="1" applyAlignment="1">
      <alignment horizontal="center" vertical="center"/>
    </xf>
    <xf numFmtId="0" fontId="10" fillId="7" borderId="2" xfId="0" applyNumberFormat="1" applyFont="1" applyFill="1" applyBorder="1" applyAlignment="1">
      <alignment horizontal="center" vertical="center"/>
    </xf>
    <xf numFmtId="0" fontId="10" fillId="7" borderId="3" xfId="0" applyNumberFormat="1" applyFont="1" applyFill="1" applyBorder="1" applyAlignment="1">
      <alignment horizontal="center" vertical="center"/>
    </xf>
    <xf numFmtId="0" fontId="10" fillId="7" borderId="4" xfId="0" applyNumberFormat="1" applyFont="1" applyFill="1" applyBorder="1" applyAlignment="1">
      <alignment horizontal="center" vertical="center"/>
    </xf>
    <xf numFmtId="0" fontId="10" fillId="7" borderId="0" xfId="0" applyNumberFormat="1" applyFont="1" applyFill="1" applyBorder="1" applyAlignment="1">
      <alignment horizontal="center" vertical="center"/>
    </xf>
    <xf numFmtId="0" fontId="10" fillId="7" borderId="5" xfId="0" applyNumberFormat="1" applyFont="1" applyFill="1" applyBorder="1" applyAlignment="1">
      <alignment horizontal="center" vertical="center"/>
    </xf>
    <xf numFmtId="0" fontId="10" fillId="7" borderId="6" xfId="0" applyNumberFormat="1" applyFont="1" applyFill="1" applyBorder="1" applyAlignment="1">
      <alignment horizontal="center" vertical="center"/>
    </xf>
    <xf numFmtId="0" fontId="10" fillId="7" borderId="7" xfId="0" applyNumberFormat="1" applyFont="1" applyFill="1" applyBorder="1" applyAlignment="1">
      <alignment horizontal="center" vertical="center"/>
    </xf>
    <xf numFmtId="0" fontId="10" fillId="7" borderId="8" xfId="0" applyNumberFormat="1" applyFont="1" applyFill="1" applyBorder="1" applyAlignment="1">
      <alignment horizontal="center" vertical="center"/>
    </xf>
    <xf numFmtId="0" fontId="11" fillId="12" borderId="1" xfId="0" applyNumberFormat="1" applyFont="1" applyFill="1" applyBorder="1" applyAlignment="1">
      <alignment horizontal="left" vertical="center" wrapText="1"/>
    </xf>
    <xf numFmtId="0" fontId="11" fillId="12" borderId="2" xfId="0" applyNumberFormat="1" applyFont="1" applyFill="1" applyBorder="1" applyAlignment="1">
      <alignment horizontal="left" vertical="center" wrapText="1"/>
    </xf>
    <xf numFmtId="0" fontId="11" fillId="12" borderId="3" xfId="0" applyNumberFormat="1" applyFont="1" applyFill="1" applyBorder="1" applyAlignment="1">
      <alignment horizontal="left" vertical="center" wrapText="1"/>
    </xf>
    <xf numFmtId="0" fontId="11" fillId="12" borderId="4" xfId="0" applyNumberFormat="1" applyFont="1" applyFill="1" applyBorder="1" applyAlignment="1">
      <alignment horizontal="left" vertical="center" wrapText="1"/>
    </xf>
    <xf numFmtId="0" fontId="11" fillId="12" borderId="0" xfId="0" applyNumberFormat="1" applyFont="1" applyFill="1" applyBorder="1" applyAlignment="1">
      <alignment horizontal="left" vertical="center" wrapText="1"/>
    </xf>
    <xf numFmtId="0" fontId="11" fillId="12" borderId="5" xfId="0" applyNumberFormat="1" applyFont="1" applyFill="1" applyBorder="1" applyAlignment="1">
      <alignment horizontal="left" vertical="center" wrapText="1"/>
    </xf>
    <xf numFmtId="0" fontId="11" fillId="12" borderId="6" xfId="0" applyNumberFormat="1" applyFont="1" applyFill="1" applyBorder="1" applyAlignment="1">
      <alignment horizontal="left" vertical="center" wrapText="1"/>
    </xf>
    <xf numFmtId="0" fontId="11" fillId="12" borderId="7" xfId="0" applyNumberFormat="1" applyFont="1" applyFill="1" applyBorder="1" applyAlignment="1">
      <alignment horizontal="left" vertical="center" wrapText="1"/>
    </xf>
    <xf numFmtId="0" fontId="11" fillId="12" borderId="8" xfId="0" applyNumberFormat="1" applyFont="1" applyFill="1" applyBorder="1" applyAlignment="1">
      <alignment horizontal="left" vertical="center" wrapText="1"/>
    </xf>
    <xf numFmtId="0" fontId="8" fillId="8" borderId="0" xfId="0" applyNumberFormat="1" applyFont="1" applyFill="1" applyBorder="1" applyAlignment="1">
      <alignment horizontal="left" vertical="center"/>
    </xf>
    <xf numFmtId="0" fontId="9" fillId="2" borderId="0" xfId="0" applyNumberFormat="1" applyFont="1" applyFill="1" applyBorder="1" applyAlignment="1">
      <alignment horizontal="left" vertical="center" wrapText="1"/>
    </xf>
    <xf numFmtId="0" fontId="9" fillId="2" borderId="9" xfId="0" applyNumberFormat="1" applyFont="1" applyFill="1" applyBorder="1" applyAlignment="1">
      <alignment horizontal="left" vertical="center" wrapText="1"/>
    </xf>
    <xf numFmtId="0" fontId="9" fillId="9" borderId="0" xfId="0" applyNumberFormat="1" applyFont="1" applyFill="1" applyBorder="1" applyAlignment="1">
      <alignment horizontal="left" vertical="center" wrapText="1"/>
    </xf>
    <xf numFmtId="0" fontId="9" fillId="9" borderId="9" xfId="0" applyNumberFormat="1" applyFont="1" applyFill="1" applyBorder="1" applyAlignment="1">
      <alignment horizontal="left" vertical="center" wrapText="1"/>
    </xf>
    <xf numFmtId="0" fontId="9" fillId="8" borderId="0" xfId="0" applyNumberFormat="1" applyFont="1" applyFill="1" applyBorder="1" applyAlignment="1">
      <alignment horizontal="left" vertical="center" wrapText="1"/>
    </xf>
    <xf numFmtId="0" fontId="9" fillId="8" borderId="9" xfId="0" applyNumberFormat="1" applyFont="1" applyFill="1" applyBorder="1" applyAlignment="1">
      <alignment horizontal="left" vertical="center" wrapText="1"/>
    </xf>
    <xf numFmtId="0" fontId="9" fillId="10" borderId="0" xfId="0" applyNumberFormat="1" applyFont="1" applyFill="1" applyBorder="1" applyAlignment="1">
      <alignment horizontal="left" vertical="center" wrapText="1"/>
    </xf>
    <xf numFmtId="0" fontId="9" fillId="10" borderId="9" xfId="0" applyNumberFormat="1" applyFont="1" applyFill="1" applyBorder="1" applyAlignment="1">
      <alignment horizontal="left" vertical="center" wrapText="1"/>
    </xf>
    <xf numFmtId="0" fontId="3" fillId="9" borderId="1" xfId="0" applyNumberFormat="1" applyFont="1" applyFill="1" applyBorder="1" applyAlignment="1">
      <alignment horizontal="center" vertical="center" wrapText="1"/>
    </xf>
    <xf numFmtId="0" fontId="3" fillId="9" borderId="2" xfId="0" applyNumberFormat="1" applyFont="1" applyFill="1" applyBorder="1" applyAlignment="1">
      <alignment horizontal="center" vertical="center" wrapText="1"/>
    </xf>
    <xf numFmtId="0" fontId="3" fillId="9" borderId="3" xfId="0" applyNumberFormat="1" applyFont="1" applyFill="1" applyBorder="1" applyAlignment="1">
      <alignment horizontal="center" vertical="center" wrapText="1"/>
    </xf>
    <xf numFmtId="0" fontId="3" fillId="9" borderId="4" xfId="0" applyNumberFormat="1" applyFont="1" applyFill="1" applyBorder="1" applyAlignment="1">
      <alignment horizontal="center" vertical="center" wrapText="1"/>
    </xf>
    <xf numFmtId="0" fontId="3" fillId="9" borderId="0" xfId="0" applyNumberFormat="1" applyFont="1" applyFill="1" applyBorder="1" applyAlignment="1">
      <alignment horizontal="center" vertical="center" wrapText="1"/>
    </xf>
    <xf numFmtId="0" fontId="3" fillId="9" borderId="5" xfId="0" applyNumberFormat="1" applyFont="1" applyFill="1" applyBorder="1" applyAlignment="1">
      <alignment horizontal="center" vertical="center" wrapText="1"/>
    </xf>
    <xf numFmtId="0" fontId="3" fillId="9" borderId="6" xfId="0" applyNumberFormat="1" applyFont="1" applyFill="1" applyBorder="1" applyAlignment="1">
      <alignment horizontal="center" vertical="center" wrapText="1"/>
    </xf>
    <xf numFmtId="0" fontId="3" fillId="9" borderId="7" xfId="0" applyNumberFormat="1" applyFont="1" applyFill="1" applyBorder="1" applyAlignment="1">
      <alignment horizontal="center" vertical="center" wrapText="1"/>
    </xf>
    <xf numFmtId="0" fontId="3" fillId="9" borderId="8" xfId="0" applyNumberFormat="1" applyFont="1" applyFill="1" applyBorder="1" applyAlignment="1">
      <alignment horizontal="center" vertical="center" wrapText="1"/>
    </xf>
    <xf numFmtId="0" fontId="3" fillId="8" borderId="1" xfId="0" applyNumberFormat="1" applyFont="1" applyFill="1" applyBorder="1" applyAlignment="1">
      <alignment horizontal="center" vertical="center" wrapText="1"/>
    </xf>
    <xf numFmtId="0" fontId="3" fillId="8" borderId="2" xfId="0" applyNumberFormat="1" applyFont="1" applyFill="1" applyBorder="1" applyAlignment="1">
      <alignment horizontal="center" vertical="center" wrapText="1"/>
    </xf>
    <xf numFmtId="0" fontId="3" fillId="8" borderId="3" xfId="0" applyNumberFormat="1" applyFont="1" applyFill="1" applyBorder="1" applyAlignment="1">
      <alignment horizontal="center" vertical="center" wrapText="1"/>
    </xf>
    <xf numFmtId="0" fontId="3" fillId="8" borderId="4" xfId="0" applyNumberFormat="1" applyFont="1" applyFill="1" applyBorder="1" applyAlignment="1">
      <alignment horizontal="center" vertical="center" wrapText="1"/>
    </xf>
    <xf numFmtId="0" fontId="3" fillId="8" borderId="0" xfId="0" applyNumberFormat="1" applyFont="1" applyFill="1" applyBorder="1" applyAlignment="1">
      <alignment horizontal="center" vertical="center" wrapText="1"/>
    </xf>
    <xf numFmtId="0" fontId="3" fillId="8" borderId="5" xfId="0" applyNumberFormat="1" applyFont="1" applyFill="1" applyBorder="1" applyAlignment="1">
      <alignment horizontal="center" vertical="center" wrapText="1"/>
    </xf>
    <xf numFmtId="0" fontId="3" fillId="8" borderId="6" xfId="0" applyNumberFormat="1" applyFont="1" applyFill="1" applyBorder="1" applyAlignment="1">
      <alignment horizontal="center" vertical="center" wrapText="1"/>
    </xf>
    <xf numFmtId="0" fontId="3" fillId="8" borderId="7" xfId="0" applyNumberFormat="1" applyFont="1" applyFill="1" applyBorder="1" applyAlignment="1">
      <alignment horizontal="center" vertical="center" wrapText="1"/>
    </xf>
    <xf numFmtId="0" fontId="3" fillId="8" borderId="8" xfId="0" applyNumberFormat="1" applyFont="1" applyFill="1" applyBorder="1" applyAlignment="1">
      <alignment horizontal="center" vertical="center" wrapText="1"/>
    </xf>
    <xf numFmtId="0" fontId="3" fillId="10" borderId="1" xfId="0" applyNumberFormat="1" applyFont="1" applyFill="1" applyBorder="1" applyAlignment="1">
      <alignment horizontal="center" vertical="center" wrapText="1"/>
    </xf>
    <xf numFmtId="0" fontId="3" fillId="10" borderId="2" xfId="0" applyNumberFormat="1" applyFont="1" applyFill="1" applyBorder="1" applyAlignment="1">
      <alignment horizontal="center" vertical="center" wrapText="1"/>
    </xf>
    <xf numFmtId="0" fontId="3" fillId="10" borderId="3" xfId="0" applyNumberFormat="1" applyFont="1" applyFill="1" applyBorder="1" applyAlignment="1">
      <alignment horizontal="center" vertical="center" wrapText="1"/>
    </xf>
    <xf numFmtId="0" fontId="3" fillId="10" borderId="4" xfId="0" applyNumberFormat="1" applyFont="1" applyFill="1" applyBorder="1" applyAlignment="1">
      <alignment horizontal="center" vertical="center" wrapText="1"/>
    </xf>
    <xf numFmtId="0" fontId="3" fillId="10" borderId="0" xfId="0" applyNumberFormat="1" applyFont="1" applyFill="1" applyBorder="1" applyAlignment="1">
      <alignment horizontal="center" vertical="center" wrapText="1"/>
    </xf>
    <xf numFmtId="0" fontId="3" fillId="10" borderId="5" xfId="0" applyNumberFormat="1" applyFont="1" applyFill="1" applyBorder="1" applyAlignment="1">
      <alignment horizontal="center" vertical="center" wrapText="1"/>
    </xf>
    <xf numFmtId="0" fontId="3" fillId="10" borderId="6" xfId="0" applyNumberFormat="1" applyFont="1" applyFill="1" applyBorder="1" applyAlignment="1">
      <alignment horizontal="center" vertical="center" wrapText="1"/>
    </xf>
    <xf numFmtId="0" fontId="3" fillId="10" borderId="7" xfId="0" applyNumberFormat="1" applyFont="1" applyFill="1" applyBorder="1" applyAlignment="1">
      <alignment horizontal="center" vertical="center" wrapText="1"/>
    </xf>
    <xf numFmtId="0" fontId="3" fillId="10" borderId="8" xfId="0" applyNumberFormat="1" applyFont="1" applyFill="1" applyBorder="1" applyAlignment="1">
      <alignment horizontal="center" vertical="center" wrapText="1"/>
    </xf>
    <xf numFmtId="0" fontId="3" fillId="11" borderId="1" xfId="0" applyNumberFormat="1" applyFont="1" applyFill="1" applyBorder="1" applyAlignment="1">
      <alignment horizontal="center" vertical="center" wrapText="1"/>
    </xf>
    <xf numFmtId="0" fontId="3" fillId="11" borderId="2" xfId="0" applyNumberFormat="1" applyFont="1" applyFill="1" applyBorder="1" applyAlignment="1">
      <alignment horizontal="center" vertical="center" wrapText="1"/>
    </xf>
    <xf numFmtId="0" fontId="3" fillId="11" borderId="3" xfId="0" applyNumberFormat="1" applyFont="1" applyFill="1" applyBorder="1" applyAlignment="1">
      <alignment horizontal="center" vertical="center" wrapText="1"/>
    </xf>
    <xf numFmtId="0" fontId="3" fillId="11" borderId="4" xfId="0" applyNumberFormat="1" applyFont="1" applyFill="1" applyBorder="1" applyAlignment="1">
      <alignment horizontal="center" vertical="center" wrapText="1"/>
    </xf>
    <xf numFmtId="0" fontId="3" fillId="11" borderId="0" xfId="0" applyNumberFormat="1" applyFont="1" applyFill="1" applyBorder="1" applyAlignment="1">
      <alignment horizontal="center" vertical="center" wrapText="1"/>
    </xf>
    <xf numFmtId="0" fontId="3" fillId="11" borderId="5" xfId="0" applyNumberFormat="1" applyFont="1" applyFill="1" applyBorder="1" applyAlignment="1">
      <alignment horizontal="center" vertical="center" wrapText="1"/>
    </xf>
    <xf numFmtId="0" fontId="3" fillId="11" borderId="6" xfId="0" applyNumberFormat="1" applyFont="1" applyFill="1" applyBorder="1" applyAlignment="1">
      <alignment horizontal="center" vertical="center" wrapText="1"/>
    </xf>
    <xf numFmtId="0" fontId="3" fillId="11" borderId="7" xfId="0" applyNumberFormat="1" applyFont="1" applyFill="1" applyBorder="1" applyAlignment="1">
      <alignment horizontal="center" vertical="center" wrapText="1"/>
    </xf>
    <xf numFmtId="0" fontId="3" fillId="11" borderId="8" xfId="0" applyNumberFormat="1" applyFont="1" applyFill="1" applyBorder="1" applyAlignment="1">
      <alignment horizontal="center" vertical="center" wrapText="1"/>
    </xf>
    <xf numFmtId="0" fontId="3" fillId="6" borderId="1" xfId="0" applyNumberFormat="1" applyFont="1" applyFill="1" applyBorder="1" applyAlignment="1">
      <alignment horizontal="center" vertical="center" wrapText="1"/>
    </xf>
    <xf numFmtId="0" fontId="3" fillId="6" borderId="3" xfId="0" applyNumberFormat="1" applyFont="1" applyFill="1" applyBorder="1" applyAlignment="1">
      <alignment horizontal="center" vertical="center" wrapText="1"/>
    </xf>
    <xf numFmtId="0" fontId="3" fillId="6" borderId="4" xfId="0" applyNumberFormat="1" applyFont="1" applyFill="1" applyBorder="1" applyAlignment="1">
      <alignment horizontal="center" vertical="center" wrapText="1"/>
    </xf>
    <xf numFmtId="0" fontId="3" fillId="6" borderId="5" xfId="0" applyNumberFormat="1" applyFont="1" applyFill="1" applyBorder="1" applyAlignment="1">
      <alignment horizontal="center" vertical="center" wrapText="1"/>
    </xf>
    <xf numFmtId="0" fontId="3" fillId="6" borderId="6" xfId="0" applyNumberFormat="1" applyFont="1" applyFill="1" applyBorder="1" applyAlignment="1">
      <alignment horizontal="center" vertical="center" wrapText="1"/>
    </xf>
    <xf numFmtId="0" fontId="3" fillId="6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color rgb="FF1F5D8F"/>
      </font>
      <fill>
        <patternFill patternType="solid">
          <bgColor rgb="FFEAF3FA"/>
        </patternFill>
      </fill>
    </dxf>
    <dxf>
      <font>
        <b/>
        <color rgb="FF0F766E"/>
      </font>
      <fill>
        <patternFill patternType="solid">
          <bgColor rgb="FFE8F5F2"/>
        </patternFill>
      </fill>
    </dxf>
    <dxf>
      <font>
        <b/>
        <color rgb="FF247A4D"/>
      </font>
      <fill>
        <patternFill patternType="solid">
          <bgColor rgb="FFDDF3E5"/>
        </patternFill>
      </fill>
    </dxf>
    <dxf>
      <font>
        <b/>
        <color rgb="FFC56A1A"/>
      </font>
      <fill>
        <patternFill patternType="solid">
          <bgColor rgb="FFFFF1DD"/>
        </patternFill>
      </fill>
    </dxf>
    <dxf>
      <font>
        <b/>
        <color rgb="FFB42318"/>
      </font>
      <fill>
        <patternFill patternType="solid">
          <bgColor rgb="FFFDE8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Number of Controls by Security Domain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Control Count</c:v>
          </c:tx>
          <c:invertIfNegative val="1"/>
          <c:cat>
            <c:strRef>
              <c:f>Requirements!$O$6:$O$13</c:f>
              <c:strCache>
                <c:ptCount val="8"/>
                <c:pt idx="0">
                  <c:v>Governance &amp; Architecture</c:v>
                </c:pt>
                <c:pt idx="1">
                  <c:v>Identity &amp; Access</c:v>
                </c:pt>
                <c:pt idx="2">
                  <c:v>Execution Security</c:v>
                </c:pt>
                <c:pt idx="3">
                  <c:v>Verification &amp; Quality</c:v>
                </c:pt>
                <c:pt idx="4">
                  <c:v>Code &amp; Supply Chain</c:v>
                </c:pt>
                <c:pt idx="5">
                  <c:v>Observability &amp; Operations</c:v>
                </c:pt>
                <c:pt idx="6">
                  <c:v>Standards &amp; Integration</c:v>
                </c:pt>
                <c:pt idx="7">
                  <c:v>People &amp; Process</c:v>
                </c:pt>
              </c:strCache>
            </c:strRef>
          </c:cat>
          <c:val>
            <c:numRef>
              <c:f>Requirements!$P$6:$P$13</c:f>
              <c:numCache>
                <c:formatCode>General</c:formatCode>
                <c:ptCount val="8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3-4214-A10C-44483B6D3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20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curityRequirementsTable" displayName="SecurityRequirementsTable" ref="A5:M25">
  <tableColumns count="13">
    <tableColumn id="1" xr3:uid="{00000000-0010-0000-0000-000001000000}" name="ID"/>
    <tableColumn id="2" xr3:uid="{00000000-0010-0000-0000-000002000000}" name="Security Domain"/>
    <tableColumn id="3" xr3:uid="{00000000-0010-0000-0000-000003000000}" name="Security Requirement"/>
    <tableColumn id="4" xr3:uid="{00000000-0010-0000-0000-000004000000}" name="Minimum Implementation"/>
    <tableColumn id="5" xr3:uid="{00000000-0010-0000-0000-000005000000}" name="SDLC Phase"/>
    <tableColumn id="6" xr3:uid="{00000000-0010-0000-0000-000006000000}" name="Suggested Priority"/>
    <tableColumn id="7" xr3:uid="{00000000-0010-0000-0000-000007000000}" name="Suggested Owner"/>
    <tableColumn id="8" xr3:uid="{00000000-0010-0000-0000-000008000000}" name="Status"/>
    <tableColumn id="9" xr3:uid="{00000000-0010-0000-0000-000009000000}" name="Completion"/>
    <tableColumn id="10" xr3:uid="{00000000-0010-0000-0000-00000A000000}" name="Verification Evidence"/>
    <tableColumn id="11" xr3:uid="{00000000-0010-0000-0000-00000B000000}" name="Document Page(s)"/>
    <tableColumn id="12" xr3:uid="{00000000-0010-0000-0000-00000C000000}" name="Source Rationale"/>
    <tableColumn id="13" xr3:uid="{00000000-0010-0000-0000-00000D000000}" name="Organization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workbookViewId="0"/>
  </sheetViews>
  <sheetFormatPr defaultRowHeight="14.25"/>
  <cols>
    <col min="1" max="14" width="12" customWidth="1"/>
  </cols>
  <sheetData>
    <row r="1" spans="1:14" ht="27.9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27.9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33.950000000000003" customHeight="1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24" customHeight="1"/>
    <row r="5" spans="1:14" ht="24" customHeight="1">
      <c r="A5" s="21" t="s">
        <v>2</v>
      </c>
      <c r="B5" s="21"/>
      <c r="C5" s="21"/>
      <c r="D5" s="31" t="s">
        <v>3</v>
      </c>
      <c r="E5" s="31"/>
      <c r="F5" s="31"/>
      <c r="G5" s="41" t="s">
        <v>4</v>
      </c>
      <c r="H5" s="41"/>
      <c r="I5" s="41"/>
      <c r="J5" s="51" t="s">
        <v>5</v>
      </c>
      <c r="K5" s="51"/>
      <c r="L5" s="51"/>
    </row>
    <row r="6" spans="1:14" ht="24" customHeight="1">
      <c r="A6" s="22">
        <f>COUNTA(Requirements!A6:A25)</f>
        <v>20</v>
      </c>
      <c r="B6" s="23"/>
      <c r="C6" s="24"/>
      <c r="D6" s="32">
        <f>COUNTIF(Requirements!F6:F25,"Critical")</f>
        <v>13</v>
      </c>
      <c r="E6" s="33"/>
      <c r="F6" s="34"/>
      <c r="G6" s="42">
        <f>AVERAGE(Requirements!I6:I25)</f>
        <v>0</v>
      </c>
      <c r="H6" s="43"/>
      <c r="I6" s="44"/>
      <c r="J6" s="52">
        <f>COUNTIF(Requirements!H6:H25,"Verified")</f>
        <v>0</v>
      </c>
      <c r="K6" s="53"/>
      <c r="L6" s="54"/>
    </row>
    <row r="7" spans="1:14" ht="24" customHeight="1">
      <c r="A7" s="25"/>
      <c r="B7" s="26"/>
      <c r="C7" s="27"/>
      <c r="D7" s="35"/>
      <c r="E7" s="36"/>
      <c r="F7" s="37"/>
      <c r="G7" s="45"/>
      <c r="H7" s="46"/>
      <c r="I7" s="47"/>
      <c r="J7" s="55"/>
      <c r="K7" s="56"/>
      <c r="L7" s="57"/>
    </row>
    <row r="8" spans="1:14" ht="24" customHeight="1">
      <c r="A8" s="28"/>
      <c r="B8" s="29"/>
      <c r="C8" s="30"/>
      <c r="D8" s="38"/>
      <c r="E8" s="39"/>
      <c r="F8" s="40"/>
      <c r="G8" s="48"/>
      <c r="H8" s="49"/>
      <c r="I8" s="50"/>
      <c r="J8" s="58"/>
      <c r="K8" s="59"/>
      <c r="L8" s="60"/>
    </row>
    <row r="9" spans="1:14" ht="24" customHeight="1"/>
    <row r="10" spans="1:14" ht="26.1" customHeight="1">
      <c r="A10" s="83" t="s">
        <v>6</v>
      </c>
      <c r="B10" s="83"/>
      <c r="C10" s="83"/>
      <c r="D10" s="83"/>
      <c r="E10" s="83"/>
      <c r="F10" s="83"/>
      <c r="G10" s="83"/>
      <c r="H10" s="83"/>
      <c r="I10" s="83"/>
      <c r="J10" s="65" t="s">
        <v>7</v>
      </c>
      <c r="K10" s="66"/>
      <c r="L10" s="66"/>
      <c r="M10" s="66"/>
      <c r="N10" s="67"/>
    </row>
    <row r="11" spans="1:14" ht="24" customHeight="1">
      <c r="A11" s="84" t="s">
        <v>8</v>
      </c>
      <c r="B11" s="84"/>
      <c r="C11" s="84"/>
      <c r="D11" s="84"/>
      <c r="E11" s="84"/>
      <c r="F11" s="84"/>
      <c r="G11" s="84"/>
      <c r="H11" s="84"/>
      <c r="I11" s="84"/>
      <c r="J11" s="68"/>
      <c r="K11" s="69"/>
      <c r="L11" s="69"/>
      <c r="M11" s="69"/>
      <c r="N11" s="70"/>
    </row>
    <row r="12" spans="1:14" ht="24" customHeight="1">
      <c r="A12" s="84"/>
      <c r="B12" s="84"/>
      <c r="C12" s="84"/>
      <c r="D12" s="84"/>
      <c r="E12" s="84"/>
      <c r="F12" s="84"/>
      <c r="G12" s="84"/>
      <c r="H12" s="84"/>
      <c r="I12" s="84"/>
      <c r="J12" s="71"/>
      <c r="K12" s="72"/>
      <c r="L12" s="72"/>
      <c r="M12" s="72"/>
      <c r="N12" s="73"/>
    </row>
    <row r="13" spans="1:14" ht="24" customHeight="1">
      <c r="A13" s="85"/>
      <c r="B13" s="85"/>
      <c r="C13" s="85"/>
      <c r="D13" s="85"/>
      <c r="E13" s="85"/>
      <c r="F13" s="85"/>
      <c r="G13" s="85"/>
      <c r="H13" s="85"/>
      <c r="I13" s="85"/>
      <c r="J13" s="74" t="s">
        <v>9</v>
      </c>
      <c r="K13" s="75"/>
      <c r="L13" s="75"/>
      <c r="M13" s="75"/>
      <c r="N13" s="76"/>
    </row>
    <row r="14" spans="1:14" ht="24" customHeight="1">
      <c r="A14" s="86" t="s">
        <v>10</v>
      </c>
      <c r="B14" s="86"/>
      <c r="C14" s="86"/>
      <c r="D14" s="86"/>
      <c r="E14" s="86"/>
      <c r="F14" s="86"/>
      <c r="G14" s="86"/>
      <c r="H14" s="86"/>
      <c r="I14" s="86"/>
      <c r="J14" s="77"/>
      <c r="K14" s="78"/>
      <c r="L14" s="78"/>
      <c r="M14" s="78"/>
      <c r="N14" s="79"/>
    </row>
    <row r="15" spans="1:14" ht="24" customHeight="1">
      <c r="A15" s="86"/>
      <c r="B15" s="86"/>
      <c r="C15" s="86"/>
      <c r="D15" s="86"/>
      <c r="E15" s="86"/>
      <c r="F15" s="86"/>
      <c r="G15" s="86"/>
      <c r="H15" s="86"/>
      <c r="I15" s="86"/>
      <c r="J15" s="77"/>
      <c r="K15" s="78"/>
      <c r="L15" s="78"/>
      <c r="M15" s="78"/>
      <c r="N15" s="79"/>
    </row>
    <row r="16" spans="1:14" ht="24" customHeight="1">
      <c r="A16" s="87"/>
      <c r="B16" s="87"/>
      <c r="C16" s="87"/>
      <c r="D16" s="87"/>
      <c r="E16" s="87"/>
      <c r="F16" s="87"/>
      <c r="G16" s="87"/>
      <c r="H16" s="87"/>
      <c r="I16" s="87"/>
      <c r="J16" s="77"/>
      <c r="K16" s="78"/>
      <c r="L16" s="78"/>
      <c r="M16" s="78"/>
      <c r="N16" s="79"/>
    </row>
    <row r="17" spans="1:14" ht="24" customHeight="1">
      <c r="A17" s="88" t="s">
        <v>11</v>
      </c>
      <c r="B17" s="88"/>
      <c r="C17" s="88"/>
      <c r="D17" s="88"/>
      <c r="E17" s="88"/>
      <c r="F17" s="88"/>
      <c r="G17" s="88"/>
      <c r="H17" s="88"/>
      <c r="I17" s="88"/>
      <c r="J17" s="77"/>
      <c r="K17" s="78"/>
      <c r="L17" s="78"/>
      <c r="M17" s="78"/>
      <c r="N17" s="79"/>
    </row>
    <row r="18" spans="1:14" ht="24" customHeight="1">
      <c r="A18" s="88"/>
      <c r="B18" s="88"/>
      <c r="C18" s="88"/>
      <c r="D18" s="88"/>
      <c r="E18" s="88"/>
      <c r="F18" s="88"/>
      <c r="G18" s="88"/>
      <c r="H18" s="88"/>
      <c r="I18" s="88"/>
      <c r="J18" s="80"/>
      <c r="K18" s="81"/>
      <c r="L18" s="81"/>
      <c r="M18" s="81"/>
      <c r="N18" s="82"/>
    </row>
    <row r="19" spans="1:14" ht="24" customHeight="1">
      <c r="A19" s="89"/>
      <c r="B19" s="89"/>
      <c r="C19" s="89"/>
      <c r="D19" s="89"/>
      <c r="E19" s="89"/>
      <c r="F19" s="89"/>
      <c r="G19" s="89"/>
      <c r="H19" s="89"/>
      <c r="I19" s="89"/>
    </row>
    <row r="20" spans="1:14" ht="24" customHeight="1">
      <c r="A20" s="90" t="s">
        <v>12</v>
      </c>
      <c r="B20" s="90"/>
      <c r="C20" s="90"/>
      <c r="D20" s="90"/>
      <c r="E20" s="90"/>
      <c r="F20" s="90"/>
      <c r="G20" s="90"/>
      <c r="H20" s="90"/>
      <c r="I20" s="90"/>
      <c r="J20" s="83" t="s">
        <v>13</v>
      </c>
      <c r="K20" s="83"/>
      <c r="L20" s="83"/>
      <c r="M20" s="83"/>
      <c r="N20" s="83"/>
    </row>
    <row r="21" spans="1:14" ht="24" customHeight="1">
      <c r="A21" s="90"/>
      <c r="B21" s="90"/>
      <c r="C21" s="90"/>
      <c r="D21" s="90"/>
      <c r="E21" s="90"/>
      <c r="F21" s="90"/>
      <c r="G21" s="90"/>
      <c r="H21" s="90"/>
      <c r="I21" s="90"/>
    </row>
    <row r="22" spans="1:14" ht="24" customHeight="1">
      <c r="A22" s="91"/>
      <c r="B22" s="91"/>
      <c r="C22" s="91"/>
      <c r="D22" s="91"/>
      <c r="E22" s="91"/>
      <c r="F22" s="91"/>
      <c r="G22" s="91"/>
      <c r="H22" s="91"/>
      <c r="I22" s="91"/>
    </row>
    <row r="23" spans="1:14" ht="24" customHeight="1">
      <c r="A23" s="61" t="s">
        <v>14</v>
      </c>
      <c r="B23" s="61"/>
      <c r="C23" s="61"/>
      <c r="D23" s="61"/>
      <c r="E23" s="61"/>
      <c r="F23" s="61"/>
      <c r="G23" s="61"/>
      <c r="H23" s="61"/>
      <c r="I23" s="61"/>
    </row>
    <row r="24" spans="1:14" ht="24" customHeight="1">
      <c r="A24" s="61"/>
      <c r="B24" s="61"/>
      <c r="C24" s="61"/>
      <c r="D24" s="61"/>
      <c r="E24" s="61"/>
      <c r="F24" s="61"/>
      <c r="G24" s="61"/>
      <c r="H24" s="61"/>
      <c r="I24" s="61"/>
    </row>
    <row r="25" spans="1:14" ht="24" customHeight="1">
      <c r="A25" s="62"/>
      <c r="B25" s="62"/>
      <c r="C25" s="62"/>
      <c r="D25" s="62"/>
      <c r="E25" s="62"/>
      <c r="F25" s="62"/>
      <c r="G25" s="62"/>
      <c r="H25" s="62"/>
      <c r="I25" s="62"/>
    </row>
    <row r="26" spans="1:14" ht="24" customHeight="1">
      <c r="A26" s="63" t="s">
        <v>15</v>
      </c>
      <c r="B26" s="63"/>
      <c r="C26" s="63"/>
      <c r="D26" s="63"/>
      <c r="E26" s="63"/>
      <c r="F26" s="63"/>
      <c r="G26" s="63"/>
      <c r="H26" s="63"/>
      <c r="I26" s="63"/>
    </row>
    <row r="27" spans="1:14" ht="24" customHeight="1">
      <c r="A27" s="63"/>
      <c r="B27" s="63"/>
      <c r="C27" s="63"/>
      <c r="D27" s="63"/>
      <c r="E27" s="63"/>
      <c r="F27" s="63"/>
      <c r="G27" s="63"/>
      <c r="H27" s="63"/>
      <c r="I27" s="63"/>
    </row>
    <row r="28" spans="1:14" ht="24" customHeight="1">
      <c r="A28" s="64"/>
      <c r="B28" s="64"/>
      <c r="C28" s="64"/>
      <c r="D28" s="64"/>
      <c r="E28" s="64"/>
      <c r="F28" s="64"/>
      <c r="G28" s="64"/>
      <c r="H28" s="64"/>
      <c r="I28" s="64"/>
    </row>
    <row r="29" spans="1:14" ht="24" customHeight="1"/>
    <row r="30" spans="1:14" ht="26.1" customHeight="1">
      <c r="A30" s="83" t="s">
        <v>16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</row>
    <row r="31" spans="1:14" ht="24" customHeight="1">
      <c r="A31" s="92" t="s">
        <v>17</v>
      </c>
      <c r="B31" s="93"/>
      <c r="C31" s="94"/>
      <c r="D31" s="101" t="s">
        <v>18</v>
      </c>
      <c r="E31" s="102"/>
      <c r="F31" s="103"/>
      <c r="G31" s="110" t="s">
        <v>19</v>
      </c>
      <c r="H31" s="111"/>
      <c r="I31" s="112"/>
      <c r="J31" s="119" t="s">
        <v>20</v>
      </c>
      <c r="K31" s="120"/>
      <c r="L31" s="121"/>
      <c r="M31" s="128" t="s">
        <v>21</v>
      </c>
      <c r="N31" s="129"/>
    </row>
    <row r="32" spans="1:14" ht="24" customHeight="1">
      <c r="A32" s="95"/>
      <c r="B32" s="96"/>
      <c r="C32" s="97"/>
      <c r="D32" s="104"/>
      <c r="E32" s="105"/>
      <c r="F32" s="106"/>
      <c r="G32" s="113"/>
      <c r="H32" s="114"/>
      <c r="I32" s="115"/>
      <c r="J32" s="122"/>
      <c r="K32" s="123"/>
      <c r="L32" s="124"/>
      <c r="M32" s="130"/>
      <c r="N32" s="131"/>
    </row>
    <row r="33" spans="1:14" ht="24" customHeight="1">
      <c r="A33" s="98"/>
      <c r="B33" s="99"/>
      <c r="C33" s="100"/>
      <c r="D33" s="107"/>
      <c r="E33" s="108"/>
      <c r="F33" s="109"/>
      <c r="G33" s="116"/>
      <c r="H33" s="117"/>
      <c r="I33" s="118"/>
      <c r="J33" s="125"/>
      <c r="K33" s="126"/>
      <c r="L33" s="127"/>
      <c r="M33" s="132"/>
      <c r="N33" s="133"/>
    </row>
  </sheetData>
  <mergeCells count="26">
    <mergeCell ref="A30:N30"/>
    <mergeCell ref="A31:C33"/>
    <mergeCell ref="D31:F33"/>
    <mergeCell ref="G31:I33"/>
    <mergeCell ref="J31:L33"/>
    <mergeCell ref="M31:N33"/>
    <mergeCell ref="A23:I25"/>
    <mergeCell ref="A26:I28"/>
    <mergeCell ref="J10:N12"/>
    <mergeCell ref="J13:N18"/>
    <mergeCell ref="J20:N20"/>
    <mergeCell ref="A10:I10"/>
    <mergeCell ref="A11:I13"/>
    <mergeCell ref="A14:I16"/>
    <mergeCell ref="A17:I19"/>
    <mergeCell ref="A20:I22"/>
    <mergeCell ref="A1:N2"/>
    <mergeCell ref="A3:N3"/>
    <mergeCell ref="A5:C5"/>
    <mergeCell ref="A6:C8"/>
    <mergeCell ref="D5:F5"/>
    <mergeCell ref="D6:F8"/>
    <mergeCell ref="G5:I5"/>
    <mergeCell ref="G6:I8"/>
    <mergeCell ref="J5:L5"/>
    <mergeCell ref="J6:L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tabSelected="1" workbookViewId="0">
      <selection activeCell="D7" sqref="D7"/>
    </sheetView>
  </sheetViews>
  <sheetFormatPr defaultRowHeight="14.25"/>
  <cols>
    <col min="1" max="1" width="9" customWidth="1"/>
    <col min="2" max="2" width="21" customWidth="1"/>
    <col min="3" max="3" width="34" customWidth="1"/>
    <col min="4" max="4" width="48" customWidth="1"/>
    <col min="5" max="5" width="22" customWidth="1"/>
    <col min="6" max="6" width="15" customWidth="1"/>
    <col min="7" max="7" width="25" customWidth="1"/>
    <col min="8" max="8" width="15" customWidth="1"/>
    <col min="9" max="9" width="12" customWidth="1"/>
    <col min="10" max="10" width="38" customWidth="1"/>
    <col min="11" max="11" width="15" customWidth="1"/>
    <col min="12" max="12" width="36" customWidth="1"/>
    <col min="13" max="13" width="28" customWidth="1"/>
    <col min="15" max="15" width="25" customWidth="1"/>
    <col min="16" max="16" width="14" customWidth="1"/>
  </cols>
  <sheetData>
    <row r="1" spans="1:16">
      <c r="A1" s="19" t="s">
        <v>247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6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6">
      <c r="A3" s="20" t="s">
        <v>22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5" spans="1:16" ht="42" customHeight="1">
      <c r="A5" s="2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4" t="s">
        <v>35</v>
      </c>
      <c r="O5" s="1" t="s">
        <v>36</v>
      </c>
      <c r="P5" s="1" t="s">
        <v>37</v>
      </c>
    </row>
    <row r="6" spans="1:16" ht="42.75">
      <c r="A6" s="5" t="s">
        <v>38</v>
      </c>
      <c r="B6" s="7" t="s">
        <v>39</v>
      </c>
      <c r="C6" s="7" t="s">
        <v>40</v>
      </c>
      <c r="D6" s="7" t="s">
        <v>41</v>
      </c>
      <c r="E6" s="7" t="s">
        <v>42</v>
      </c>
      <c r="F6" s="7" t="s">
        <v>43</v>
      </c>
      <c r="G6" s="7" t="s">
        <v>44</v>
      </c>
      <c r="H6" s="7" t="s">
        <v>45</v>
      </c>
      <c r="I6" s="8">
        <f t="shared" ref="I6:I25" si="0">IF(H6="Verified",1,IF(H6="Implemented",0.8,IF(H6="In Progress",0.5,IF(H6="Planned",0.25,0))))</f>
        <v>0</v>
      </c>
      <c r="J6" s="7" t="s">
        <v>46</v>
      </c>
      <c r="K6" s="7" t="s">
        <v>47</v>
      </c>
      <c r="L6" s="7" t="s">
        <v>48</v>
      </c>
      <c r="M6" s="9"/>
      <c r="O6" t="s">
        <v>39</v>
      </c>
      <c r="P6">
        <f t="shared" ref="P6:P13" si="1">COUNTIF($B$6:$B$25,O6)</f>
        <v>4</v>
      </c>
    </row>
    <row r="7" spans="1:16" ht="42.75">
      <c r="A7" s="5" t="s">
        <v>49</v>
      </c>
      <c r="B7" s="7" t="s">
        <v>39</v>
      </c>
      <c r="C7" s="7" t="s">
        <v>50</v>
      </c>
      <c r="D7" s="7" t="s">
        <v>51</v>
      </c>
      <c r="E7" s="7" t="s">
        <v>42</v>
      </c>
      <c r="F7" s="7" t="s">
        <v>52</v>
      </c>
      <c r="G7" s="7" t="s">
        <v>53</v>
      </c>
      <c r="H7" s="7" t="s">
        <v>45</v>
      </c>
      <c r="I7" s="8">
        <f t="shared" si="0"/>
        <v>0</v>
      </c>
      <c r="J7" s="7" t="s">
        <v>54</v>
      </c>
      <c r="K7" s="7" t="s">
        <v>55</v>
      </c>
      <c r="L7" s="7" t="s">
        <v>56</v>
      </c>
      <c r="M7" s="9"/>
      <c r="O7" t="s">
        <v>57</v>
      </c>
      <c r="P7">
        <f t="shared" si="1"/>
        <v>2</v>
      </c>
    </row>
    <row r="8" spans="1:16" ht="42.75">
      <c r="A8" s="5" t="s">
        <v>58</v>
      </c>
      <c r="B8" s="7" t="s">
        <v>57</v>
      </c>
      <c r="C8" s="7" t="s">
        <v>59</v>
      </c>
      <c r="D8" s="7" t="s">
        <v>60</v>
      </c>
      <c r="E8" s="7" t="s">
        <v>61</v>
      </c>
      <c r="F8" s="7" t="s">
        <v>43</v>
      </c>
      <c r="G8" s="7" t="s">
        <v>62</v>
      </c>
      <c r="H8" s="7" t="s">
        <v>45</v>
      </c>
      <c r="I8" s="8">
        <f t="shared" si="0"/>
        <v>0</v>
      </c>
      <c r="J8" s="7" t="s">
        <v>63</v>
      </c>
      <c r="K8" s="7" t="s">
        <v>64</v>
      </c>
      <c r="L8" s="7" t="s">
        <v>65</v>
      </c>
      <c r="M8" s="9"/>
      <c r="O8" t="s">
        <v>66</v>
      </c>
      <c r="P8">
        <f t="shared" si="1"/>
        <v>3</v>
      </c>
    </row>
    <row r="9" spans="1:16" ht="42.75">
      <c r="A9" s="5" t="s">
        <v>67</v>
      </c>
      <c r="B9" s="7" t="s">
        <v>57</v>
      </c>
      <c r="C9" s="7" t="s">
        <v>68</v>
      </c>
      <c r="D9" s="7" t="s">
        <v>69</v>
      </c>
      <c r="E9" s="7" t="s">
        <v>70</v>
      </c>
      <c r="F9" s="7" t="s">
        <v>43</v>
      </c>
      <c r="G9" s="7" t="s">
        <v>71</v>
      </c>
      <c r="H9" s="7" t="s">
        <v>45</v>
      </c>
      <c r="I9" s="8">
        <f t="shared" si="0"/>
        <v>0</v>
      </c>
      <c r="J9" s="7" t="s">
        <v>72</v>
      </c>
      <c r="K9" s="7" t="s">
        <v>73</v>
      </c>
      <c r="L9" s="7" t="s">
        <v>74</v>
      </c>
      <c r="M9" s="9"/>
      <c r="O9" t="s">
        <v>75</v>
      </c>
      <c r="P9">
        <f t="shared" si="1"/>
        <v>3</v>
      </c>
    </row>
    <row r="10" spans="1:16" ht="42.75">
      <c r="A10" s="5" t="s">
        <v>76</v>
      </c>
      <c r="B10" s="7" t="s">
        <v>66</v>
      </c>
      <c r="C10" s="7" t="s">
        <v>77</v>
      </c>
      <c r="D10" s="7" t="s">
        <v>78</v>
      </c>
      <c r="E10" s="7" t="s">
        <v>79</v>
      </c>
      <c r="F10" s="7" t="s">
        <v>43</v>
      </c>
      <c r="G10" s="7" t="s">
        <v>80</v>
      </c>
      <c r="H10" s="7" t="s">
        <v>45</v>
      </c>
      <c r="I10" s="8">
        <f t="shared" si="0"/>
        <v>0</v>
      </c>
      <c r="J10" s="7" t="s">
        <v>81</v>
      </c>
      <c r="K10" s="7" t="s">
        <v>82</v>
      </c>
      <c r="L10" s="7" t="s">
        <v>83</v>
      </c>
      <c r="M10" s="9"/>
      <c r="O10" t="s">
        <v>84</v>
      </c>
      <c r="P10">
        <f t="shared" si="1"/>
        <v>2</v>
      </c>
    </row>
    <row r="11" spans="1:16" ht="42.75">
      <c r="A11" s="5" t="s">
        <v>85</v>
      </c>
      <c r="B11" s="7" t="s">
        <v>66</v>
      </c>
      <c r="C11" s="7" t="s">
        <v>86</v>
      </c>
      <c r="D11" s="7" t="s">
        <v>87</v>
      </c>
      <c r="E11" s="7" t="s">
        <v>61</v>
      </c>
      <c r="F11" s="7" t="s">
        <v>52</v>
      </c>
      <c r="G11" s="7" t="s">
        <v>88</v>
      </c>
      <c r="H11" s="7" t="s">
        <v>45</v>
      </c>
      <c r="I11" s="8">
        <f t="shared" si="0"/>
        <v>0</v>
      </c>
      <c r="J11" s="7" t="s">
        <v>89</v>
      </c>
      <c r="K11" s="7" t="s">
        <v>90</v>
      </c>
      <c r="L11" s="7" t="s">
        <v>91</v>
      </c>
      <c r="M11" s="9"/>
      <c r="O11" t="s">
        <v>92</v>
      </c>
      <c r="P11">
        <f t="shared" si="1"/>
        <v>3</v>
      </c>
    </row>
    <row r="12" spans="1:16" ht="42.75">
      <c r="A12" s="5" t="s">
        <v>93</v>
      </c>
      <c r="B12" s="7" t="s">
        <v>66</v>
      </c>
      <c r="C12" s="7" t="s">
        <v>94</v>
      </c>
      <c r="D12" s="7" t="s">
        <v>95</v>
      </c>
      <c r="E12" s="7" t="s">
        <v>96</v>
      </c>
      <c r="F12" s="7" t="s">
        <v>43</v>
      </c>
      <c r="G12" s="7" t="s">
        <v>97</v>
      </c>
      <c r="H12" s="7" t="s">
        <v>45</v>
      </c>
      <c r="I12" s="8">
        <f t="shared" si="0"/>
        <v>0</v>
      </c>
      <c r="J12" s="7" t="s">
        <v>98</v>
      </c>
      <c r="K12" s="7" t="s">
        <v>90</v>
      </c>
      <c r="L12" s="7" t="s">
        <v>99</v>
      </c>
      <c r="M12" s="9"/>
      <c r="O12" t="s">
        <v>100</v>
      </c>
      <c r="P12">
        <f t="shared" si="1"/>
        <v>1</v>
      </c>
    </row>
    <row r="13" spans="1:16" ht="42.75">
      <c r="A13" s="5" t="s">
        <v>101</v>
      </c>
      <c r="B13" s="7" t="s">
        <v>39</v>
      </c>
      <c r="C13" s="7" t="s">
        <v>102</v>
      </c>
      <c r="D13" s="7" t="s">
        <v>103</v>
      </c>
      <c r="E13" s="7" t="s">
        <v>104</v>
      </c>
      <c r="F13" s="7" t="s">
        <v>43</v>
      </c>
      <c r="G13" s="7" t="s">
        <v>105</v>
      </c>
      <c r="H13" s="7" t="s">
        <v>45</v>
      </c>
      <c r="I13" s="8">
        <f t="shared" si="0"/>
        <v>0</v>
      </c>
      <c r="J13" s="7" t="s">
        <v>106</v>
      </c>
      <c r="K13" s="7" t="s">
        <v>73</v>
      </c>
      <c r="L13" s="7" t="s">
        <v>107</v>
      </c>
      <c r="M13" s="9"/>
      <c r="O13" t="s">
        <v>108</v>
      </c>
      <c r="P13">
        <f t="shared" si="1"/>
        <v>2</v>
      </c>
    </row>
    <row r="14" spans="1:16" ht="42.75">
      <c r="A14" s="5" t="s">
        <v>109</v>
      </c>
      <c r="B14" s="7" t="s">
        <v>75</v>
      </c>
      <c r="C14" s="7" t="s">
        <v>110</v>
      </c>
      <c r="D14" s="7" t="s">
        <v>111</v>
      </c>
      <c r="E14" s="7" t="s">
        <v>112</v>
      </c>
      <c r="F14" s="7" t="s">
        <v>43</v>
      </c>
      <c r="G14" s="7" t="s">
        <v>113</v>
      </c>
      <c r="H14" s="7" t="s">
        <v>45</v>
      </c>
      <c r="I14" s="8">
        <f t="shared" si="0"/>
        <v>0</v>
      </c>
      <c r="J14" s="7" t="s">
        <v>114</v>
      </c>
      <c r="K14" s="7" t="s">
        <v>115</v>
      </c>
      <c r="L14" s="7" t="s">
        <v>116</v>
      </c>
      <c r="M14" s="9"/>
    </row>
    <row r="15" spans="1:16" ht="42.75">
      <c r="A15" s="5" t="s">
        <v>117</v>
      </c>
      <c r="B15" s="7" t="s">
        <v>75</v>
      </c>
      <c r="C15" s="7" t="s">
        <v>118</v>
      </c>
      <c r="D15" s="7" t="s">
        <v>119</v>
      </c>
      <c r="E15" s="7" t="s">
        <v>120</v>
      </c>
      <c r="F15" s="7" t="s">
        <v>43</v>
      </c>
      <c r="G15" s="7" t="s">
        <v>121</v>
      </c>
      <c r="H15" s="7" t="s">
        <v>45</v>
      </c>
      <c r="I15" s="8">
        <f t="shared" si="0"/>
        <v>0</v>
      </c>
      <c r="J15" s="7" t="s">
        <v>122</v>
      </c>
      <c r="K15" s="7" t="s">
        <v>123</v>
      </c>
      <c r="L15" s="7" t="s">
        <v>124</v>
      </c>
      <c r="M15" s="9"/>
    </row>
    <row r="16" spans="1:16" ht="42.75">
      <c r="A16" s="5" t="s">
        <v>125</v>
      </c>
      <c r="B16" s="7" t="s">
        <v>75</v>
      </c>
      <c r="C16" s="7" t="s">
        <v>126</v>
      </c>
      <c r="D16" s="7" t="s">
        <v>127</v>
      </c>
      <c r="E16" s="7" t="s">
        <v>128</v>
      </c>
      <c r="F16" s="7" t="s">
        <v>52</v>
      </c>
      <c r="G16" s="7" t="s">
        <v>129</v>
      </c>
      <c r="H16" s="7" t="s">
        <v>45</v>
      </c>
      <c r="I16" s="8">
        <f t="shared" si="0"/>
        <v>0</v>
      </c>
      <c r="J16" s="7" t="s">
        <v>130</v>
      </c>
      <c r="K16" s="7" t="s">
        <v>131</v>
      </c>
      <c r="L16" s="7" t="s">
        <v>132</v>
      </c>
      <c r="M16" s="9"/>
    </row>
    <row r="17" spans="1:13" ht="42.75">
      <c r="A17" s="5" t="s">
        <v>133</v>
      </c>
      <c r="B17" s="7" t="s">
        <v>84</v>
      </c>
      <c r="C17" s="7" t="s">
        <v>134</v>
      </c>
      <c r="D17" s="7" t="s">
        <v>135</v>
      </c>
      <c r="E17" s="7" t="s">
        <v>136</v>
      </c>
      <c r="F17" s="7" t="s">
        <v>43</v>
      </c>
      <c r="G17" s="7" t="s">
        <v>137</v>
      </c>
      <c r="H17" s="7" t="s">
        <v>45</v>
      </c>
      <c r="I17" s="8">
        <f t="shared" si="0"/>
        <v>0</v>
      </c>
      <c r="J17" s="7" t="s">
        <v>138</v>
      </c>
      <c r="K17" s="7" t="s">
        <v>139</v>
      </c>
      <c r="L17" s="7" t="s">
        <v>140</v>
      </c>
      <c r="M17" s="9"/>
    </row>
    <row r="18" spans="1:13" ht="42.75">
      <c r="A18" s="5" t="s">
        <v>141</v>
      </c>
      <c r="B18" s="7" t="s">
        <v>84</v>
      </c>
      <c r="C18" s="7" t="s">
        <v>142</v>
      </c>
      <c r="D18" s="7" t="s">
        <v>143</v>
      </c>
      <c r="E18" s="7" t="s">
        <v>144</v>
      </c>
      <c r="F18" s="7" t="s">
        <v>43</v>
      </c>
      <c r="G18" s="7" t="s">
        <v>145</v>
      </c>
      <c r="H18" s="7" t="s">
        <v>45</v>
      </c>
      <c r="I18" s="8">
        <f t="shared" si="0"/>
        <v>0</v>
      </c>
      <c r="J18" s="7" t="s">
        <v>146</v>
      </c>
      <c r="K18" s="7" t="s">
        <v>147</v>
      </c>
      <c r="L18" s="7" t="s">
        <v>148</v>
      </c>
      <c r="M18" s="9"/>
    </row>
    <row r="19" spans="1:13" ht="42.75">
      <c r="A19" s="5" t="s">
        <v>149</v>
      </c>
      <c r="B19" s="7" t="s">
        <v>92</v>
      </c>
      <c r="C19" s="7" t="s">
        <v>150</v>
      </c>
      <c r="D19" s="7" t="s">
        <v>151</v>
      </c>
      <c r="E19" s="7" t="s">
        <v>152</v>
      </c>
      <c r="F19" s="7" t="s">
        <v>43</v>
      </c>
      <c r="G19" s="7" t="s">
        <v>153</v>
      </c>
      <c r="H19" s="7" t="s">
        <v>45</v>
      </c>
      <c r="I19" s="8">
        <f t="shared" si="0"/>
        <v>0</v>
      </c>
      <c r="J19" s="7" t="s">
        <v>154</v>
      </c>
      <c r="K19" s="7" t="s">
        <v>155</v>
      </c>
      <c r="L19" s="7" t="s">
        <v>156</v>
      </c>
      <c r="M19" s="9"/>
    </row>
    <row r="20" spans="1:13" ht="42.75">
      <c r="A20" s="5" t="s">
        <v>157</v>
      </c>
      <c r="B20" s="7" t="s">
        <v>92</v>
      </c>
      <c r="C20" s="7" t="s">
        <v>158</v>
      </c>
      <c r="D20" s="7" t="s">
        <v>159</v>
      </c>
      <c r="E20" s="7" t="s">
        <v>128</v>
      </c>
      <c r="F20" s="7" t="s">
        <v>52</v>
      </c>
      <c r="G20" s="7" t="s">
        <v>160</v>
      </c>
      <c r="H20" s="7" t="s">
        <v>45</v>
      </c>
      <c r="I20" s="8">
        <f t="shared" si="0"/>
        <v>0</v>
      </c>
      <c r="J20" s="7" t="s">
        <v>161</v>
      </c>
      <c r="K20" s="7" t="s">
        <v>162</v>
      </c>
      <c r="L20" s="7" t="s">
        <v>163</v>
      </c>
      <c r="M20" s="9"/>
    </row>
    <row r="21" spans="1:13" ht="42.75">
      <c r="A21" s="5" t="s">
        <v>164</v>
      </c>
      <c r="B21" s="7" t="s">
        <v>92</v>
      </c>
      <c r="C21" s="7" t="s">
        <v>165</v>
      </c>
      <c r="D21" s="7" t="s">
        <v>166</v>
      </c>
      <c r="E21" s="7" t="s">
        <v>167</v>
      </c>
      <c r="F21" s="7" t="s">
        <v>43</v>
      </c>
      <c r="G21" s="7" t="s">
        <v>168</v>
      </c>
      <c r="H21" s="7" t="s">
        <v>45</v>
      </c>
      <c r="I21" s="8">
        <f t="shared" si="0"/>
        <v>0</v>
      </c>
      <c r="J21" s="7" t="s">
        <v>169</v>
      </c>
      <c r="K21" s="7" t="s">
        <v>170</v>
      </c>
      <c r="L21" s="7" t="s">
        <v>171</v>
      </c>
      <c r="M21" s="9"/>
    </row>
    <row r="22" spans="1:13" ht="42.75">
      <c r="A22" s="5" t="s">
        <v>172</v>
      </c>
      <c r="B22" s="7" t="s">
        <v>100</v>
      </c>
      <c r="C22" s="7" t="s">
        <v>173</v>
      </c>
      <c r="D22" s="7" t="s">
        <v>174</v>
      </c>
      <c r="E22" s="7" t="s">
        <v>175</v>
      </c>
      <c r="F22" s="7" t="s">
        <v>52</v>
      </c>
      <c r="G22" s="7" t="s">
        <v>176</v>
      </c>
      <c r="H22" s="7" t="s">
        <v>45</v>
      </c>
      <c r="I22" s="8">
        <f t="shared" si="0"/>
        <v>0</v>
      </c>
      <c r="J22" s="7" t="s">
        <v>177</v>
      </c>
      <c r="K22" s="7" t="s">
        <v>178</v>
      </c>
      <c r="L22" s="7" t="s">
        <v>179</v>
      </c>
      <c r="M22" s="9"/>
    </row>
    <row r="23" spans="1:13" ht="42.75">
      <c r="A23" s="5" t="s">
        <v>180</v>
      </c>
      <c r="B23" s="7" t="s">
        <v>108</v>
      </c>
      <c r="C23" s="7" t="s">
        <v>181</v>
      </c>
      <c r="D23" s="7" t="s">
        <v>182</v>
      </c>
      <c r="E23" s="7" t="s">
        <v>183</v>
      </c>
      <c r="F23" s="7" t="s">
        <v>52</v>
      </c>
      <c r="G23" s="7" t="s">
        <v>184</v>
      </c>
      <c r="H23" s="7" t="s">
        <v>45</v>
      </c>
      <c r="I23" s="8">
        <f t="shared" si="0"/>
        <v>0</v>
      </c>
      <c r="J23" s="7" t="s">
        <v>185</v>
      </c>
      <c r="K23" s="7" t="s">
        <v>186</v>
      </c>
      <c r="L23" s="7" t="s">
        <v>187</v>
      </c>
      <c r="M23" s="9"/>
    </row>
    <row r="24" spans="1:13" ht="42.75">
      <c r="A24" s="5" t="s">
        <v>188</v>
      </c>
      <c r="B24" s="7" t="s">
        <v>108</v>
      </c>
      <c r="C24" s="7" t="s">
        <v>189</v>
      </c>
      <c r="D24" s="7" t="s">
        <v>190</v>
      </c>
      <c r="E24" s="7" t="s">
        <v>191</v>
      </c>
      <c r="F24" s="7" t="s">
        <v>52</v>
      </c>
      <c r="G24" s="7" t="s">
        <v>192</v>
      </c>
      <c r="H24" s="7" t="s">
        <v>45</v>
      </c>
      <c r="I24" s="8">
        <f t="shared" si="0"/>
        <v>0</v>
      </c>
      <c r="J24" s="7" t="s">
        <v>193</v>
      </c>
      <c r="K24" s="7" t="s">
        <v>194</v>
      </c>
      <c r="L24" s="7" t="s">
        <v>195</v>
      </c>
      <c r="M24" s="9"/>
    </row>
    <row r="25" spans="1:13" ht="42.75">
      <c r="A25" s="6" t="s">
        <v>196</v>
      </c>
      <c r="B25" s="10" t="s">
        <v>39</v>
      </c>
      <c r="C25" s="10" t="s">
        <v>197</v>
      </c>
      <c r="D25" s="10" t="s">
        <v>198</v>
      </c>
      <c r="E25" s="10" t="s">
        <v>199</v>
      </c>
      <c r="F25" s="10" t="s">
        <v>43</v>
      </c>
      <c r="G25" s="10" t="s">
        <v>200</v>
      </c>
      <c r="H25" s="10" t="s">
        <v>45</v>
      </c>
      <c r="I25" s="11">
        <f t="shared" si="0"/>
        <v>0</v>
      </c>
      <c r="J25" s="10" t="s">
        <v>201</v>
      </c>
      <c r="K25" s="10" t="s">
        <v>73</v>
      </c>
      <c r="L25" s="10" t="s">
        <v>202</v>
      </c>
      <c r="M25" s="12"/>
    </row>
  </sheetData>
  <mergeCells count="2">
    <mergeCell ref="A1:M2"/>
    <mergeCell ref="A3:M3"/>
  </mergeCells>
  <conditionalFormatting sqref="F6:F25">
    <cfRule type="expression" dxfId="4" priority="1">
      <formula>F6="Critical"</formula>
    </cfRule>
    <cfRule type="expression" dxfId="3" priority="2">
      <formula>F6="High"</formula>
    </cfRule>
  </conditionalFormatting>
  <conditionalFormatting sqref="H6:H25">
    <cfRule type="expression" dxfId="2" priority="3">
      <formula>H6="Verified"</formula>
    </cfRule>
    <cfRule type="expression" dxfId="1" priority="4">
      <formula>H6="Implemented"</formula>
    </cfRule>
    <cfRule type="expression" dxfId="0" priority="5">
      <formula>H6="In Progress"</formula>
    </cfRule>
  </conditionalFormatting>
  <conditionalFormatting sqref="I6:I25">
    <cfRule type="dataBar" priority="6">
      <dataBar>
        <cfvo type="min"/>
        <cfvo type="max"/>
        <color rgb="FF0F766E"/>
      </dataBar>
    </cfRule>
    <cfRule type="dataBar" priority="7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{44132F2F-889F-D686-0BCA-8FFA8E49FE5B}</x14:id>
        </ext>
      </extLst>
    </cfRule>
  </conditionalFormatting>
  <dataValidations count="2">
    <dataValidation type="list" sqref="H6:H25" xr:uid="{00000000-0002-0000-0100-000000000000}">
      <formula1>"Not Started,Planned,In Progress,Implemented,Verified"</formula1>
    </dataValidation>
    <dataValidation type="list" sqref="F6:F25" xr:uid="{00000000-0002-0000-0100-000001000000}">
      <formula1>"Critical,High,Medium,Low"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132F2F-889F-D686-0BCA-8FFA8E49FE5B}">
            <x14:dataBar>
              <x14:cfvo type="min"/>
              <x14:cfvo type="max"/>
              <x14:negativeFillColor auto="1"/>
              <x14:axisColor auto="1"/>
            </x14:dataBar>
          </x14:cfRule>
          <xm:sqref>I6:I25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/>
  </sheetViews>
  <sheetFormatPr defaultRowHeight="14.25"/>
  <cols>
    <col min="1" max="1" width="16" customWidth="1"/>
    <col min="2" max="2" width="28" customWidth="1"/>
    <col min="3" max="3" width="75" customWidth="1"/>
    <col min="4" max="4" width="34" customWidth="1"/>
  </cols>
  <sheetData>
    <row r="1" spans="1:8">
      <c r="A1" s="19" t="s">
        <v>203</v>
      </c>
      <c r="B1" s="19"/>
      <c r="C1" s="19"/>
      <c r="D1" s="19"/>
      <c r="E1" s="19"/>
      <c r="F1" s="19"/>
      <c r="G1" s="19"/>
      <c r="H1" s="19"/>
    </row>
    <row r="2" spans="1:8">
      <c r="A2" s="19"/>
      <c r="B2" s="19"/>
      <c r="C2" s="19"/>
      <c r="D2" s="19"/>
      <c r="E2" s="19"/>
      <c r="F2" s="19"/>
      <c r="G2" s="19"/>
      <c r="H2" s="19"/>
    </row>
    <row r="4" spans="1:8">
      <c r="A4" s="2" t="s">
        <v>204</v>
      </c>
      <c r="B4" s="4" t="s">
        <v>205</v>
      </c>
    </row>
    <row r="5" spans="1:8">
      <c r="A5" s="13" t="s">
        <v>206</v>
      </c>
      <c r="B5" s="14" t="s">
        <v>207</v>
      </c>
    </row>
    <row r="6" spans="1:8" ht="42.75">
      <c r="A6" s="13" t="s">
        <v>208</v>
      </c>
      <c r="B6" s="14" t="s">
        <v>209</v>
      </c>
    </row>
    <row r="7" spans="1:8" ht="28.5">
      <c r="A7" s="13" t="s">
        <v>210</v>
      </c>
      <c r="B7" s="14" t="s">
        <v>211</v>
      </c>
    </row>
    <row r="8" spans="1:8">
      <c r="A8" s="13" t="s">
        <v>212</v>
      </c>
      <c r="B8" s="14" t="s">
        <v>213</v>
      </c>
    </row>
    <row r="9" spans="1:8" ht="71.25">
      <c r="A9" s="13" t="s">
        <v>214</v>
      </c>
      <c r="B9" s="14" t="s">
        <v>215</v>
      </c>
    </row>
    <row r="10" spans="1:8" ht="99.75">
      <c r="A10" s="13" t="s">
        <v>216</v>
      </c>
      <c r="B10" s="14" t="s">
        <v>217</v>
      </c>
    </row>
    <row r="11" spans="1:8" ht="85.5">
      <c r="A11" s="13" t="s">
        <v>218</v>
      </c>
      <c r="B11" s="14" t="s">
        <v>219</v>
      </c>
    </row>
    <row r="12" spans="1:8" ht="85.5">
      <c r="A12" s="15" t="s">
        <v>220</v>
      </c>
      <c r="B12" s="16" t="s">
        <v>221</v>
      </c>
    </row>
    <row r="15" spans="1:8" ht="15.75">
      <c r="A15" s="83" t="s">
        <v>222</v>
      </c>
      <c r="B15" s="83"/>
      <c r="C15" s="83"/>
      <c r="D15" s="83"/>
      <c r="E15" s="83"/>
      <c r="F15" s="83"/>
      <c r="G15" s="83"/>
      <c r="H15" s="83"/>
    </row>
    <row r="16" spans="1:8">
      <c r="A16" s="2" t="s">
        <v>223</v>
      </c>
      <c r="B16" s="3" t="s">
        <v>224</v>
      </c>
      <c r="C16" s="3" t="s">
        <v>225</v>
      </c>
      <c r="D16" s="4" t="s">
        <v>226</v>
      </c>
    </row>
    <row r="17" spans="1:4" ht="28.5">
      <c r="A17" s="13" t="s">
        <v>227</v>
      </c>
      <c r="B17" s="17" t="s">
        <v>228</v>
      </c>
      <c r="C17" s="17" t="s">
        <v>229</v>
      </c>
      <c r="D17" s="14" t="s">
        <v>230</v>
      </c>
    </row>
    <row r="18" spans="1:4" ht="28.5">
      <c r="A18" s="13" t="s">
        <v>231</v>
      </c>
      <c r="B18" s="17" t="s">
        <v>232</v>
      </c>
      <c r="C18" s="17" t="s">
        <v>233</v>
      </c>
      <c r="D18" s="14" t="s">
        <v>234</v>
      </c>
    </row>
    <row r="19" spans="1:4" ht="28.5">
      <c r="A19" s="13" t="s">
        <v>235</v>
      </c>
      <c r="B19" s="17" t="s">
        <v>236</v>
      </c>
      <c r="C19" s="17" t="s">
        <v>237</v>
      </c>
      <c r="D19" s="14" t="s">
        <v>238</v>
      </c>
    </row>
    <row r="20" spans="1:4" ht="28.5">
      <c r="A20" s="13" t="s">
        <v>239</v>
      </c>
      <c r="B20" s="17" t="s">
        <v>240</v>
      </c>
      <c r="C20" s="17" t="s">
        <v>241</v>
      </c>
      <c r="D20" s="14" t="s">
        <v>242</v>
      </c>
    </row>
    <row r="21" spans="1:4" ht="42.75">
      <c r="A21" s="15" t="s">
        <v>243</v>
      </c>
      <c r="B21" s="18" t="s">
        <v>244</v>
      </c>
      <c r="C21" s="18" t="s">
        <v>245</v>
      </c>
      <c r="D21" s="16" t="s">
        <v>246</v>
      </c>
    </row>
  </sheetData>
  <mergeCells count="2">
    <mergeCell ref="A1:H2"/>
    <mergeCell ref="A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Requirements</vt:lpstr>
      <vt:lpstr>Source &amp;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Sinay</dc:creator>
  <cp:lastModifiedBy>Yuval Sinay</cp:lastModifiedBy>
  <dcterms:modified xsi:type="dcterms:W3CDTF">2026-07-18T01:44:30Z</dcterms:modified>
</cp:coreProperties>
</file>