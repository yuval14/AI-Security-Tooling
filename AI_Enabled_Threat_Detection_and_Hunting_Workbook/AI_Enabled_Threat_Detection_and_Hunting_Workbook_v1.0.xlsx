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189cc4bb6e54c7e" /></Relationships>
</file>

<file path=xl/workbook.xml><?xml version="1.0" encoding="utf-8"?>
<x:workbook xmlns:x="http://schemas.openxmlformats.org/spreadsheetml/2006/main">
  <x:sheets>
    <x:sheet xmlns:r="http://schemas.openxmlformats.org/officeDocument/2006/relationships" name="README" sheetId="1" r:id="R4b9f5f63eb424160"/>
    <x:sheet xmlns:r="http://schemas.openxmlformats.org/officeDocument/2006/relationships" name="Executive Dashboard" sheetId="2" r:id="R6e099c2495fe49ed"/>
    <x:sheet xmlns:r="http://schemas.openxmlformats.org/officeDocument/2006/relationships" name="Detection Catalog" sheetId="3" r:id="Rf996e0b77a3b4c67"/>
    <x:sheet xmlns:r="http://schemas.openxmlformats.org/officeDocument/2006/relationships" name="Hunt Worksheet" sheetId="4" r:id="Ra40f8e11922c43db"/>
    <x:sheet xmlns:r="http://schemas.openxmlformats.org/officeDocument/2006/relationships" name="Telemetry Matrix" sheetId="5" r:id="R2305497274154e1d"/>
    <x:sheet xmlns:r="http://schemas.openxmlformats.org/officeDocument/2006/relationships" name="Reference Lists" sheetId="6" r:id="R8debe17400be407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yyyy-mm-dd"/>
  </x:numFmts>
  <x:fonts count="9">
    <x:font>
      <x:sz val="11"/>
      <x:name val="Carlito"/>
    </x:font>
    <x:font>
      <x:b/>
      <x:sz val="10"/>
      <x:color rgb="FFFFFFFF"/>
      <x:name val="Carlito"/>
    </x:font>
    <x:font>
      <x:sz val="10"/>
      <x:color rgb="FF404040"/>
      <x:name val="Carlito"/>
    </x:font>
    <x:font>
      <x:b/>
      <x:sz val="18"/>
      <x:color rgb="FFFFFFFF"/>
      <x:name val="Carlito"/>
    </x:font>
    <x:font>
      <x:i/>
      <x:sz val="10"/>
      <x:color rgb="FF404040"/>
      <x:name val="Carlito"/>
    </x:font>
    <x:font>
      <x:i/>
      <x:sz val="11"/>
      <x:color rgb="FF404040"/>
      <x:name val="Carlito"/>
    </x:font>
    <x:font>
      <x:b/>
      <x:sz val="12"/>
      <x:color rgb="FFFFFFFF"/>
      <x:name val="Carlito"/>
    </x:font>
    <x:font>
      <x:b/>
      <x:sz val="11"/>
      <x:color rgb="FF17365D"/>
      <x:name val="Carlito"/>
    </x:font>
    <x:font>
      <x:b/>
      <x:sz val="20"/>
      <x:color rgb="FF17365D"/>
      <x:name val="Carlito"/>
    </x:font>
  </x:fonts>
  <x:fills count="9">
    <x:fill>
      <x:patternFill patternType="none"/>
    </x:fill>
    <x:fill>
      <x:patternFill patternType="gray125"/>
    </x:fill>
    <x:fill>
      <x:patternFill patternType="solid">
        <x:fgColor rgb="FF0F6B78"/>
      </x:patternFill>
    </x:fill>
    <x:fill>
      <x:patternFill patternType="solid">
        <x:fgColor rgb="FF17365D"/>
      </x:patternFill>
    </x:fill>
    <x:fill>
      <x:patternFill patternType="solid">
        <x:fgColor rgb="FFF3F6F9"/>
      </x:patternFill>
    </x:fill>
    <x:fill>
      <x:patternFill patternType="solid">
        <x:fgColor rgb="FF1F4E78"/>
      </x:patternFill>
    </x:fill>
    <x:fill>
      <x:patternFill patternType="solid">
        <x:fgColor rgb="FFD9EAF7"/>
      </x:patternFill>
    </x:fill>
    <x:fill>
      <x:patternFill patternType="solid">
        <x:fgColor rgb="FFFFFFFF"/>
      </x:patternFill>
    </x:fill>
    <x:fill>
      <x:patternFill patternType="solid">
        <x:fgColor rgb="FFFFF2CC"/>
      </x:patternFill>
    </x:fill>
  </x:fills>
  <x:borders count="2">
    <x:border/>
    <x:border/>
  </x:borders>
  <x:cellStyleXfs count="1">
    <x:xf numFmtId="0" fontId="0" fillId="0" borderId="0"/>
  </x:cellStyleXfs>
  <x:cellXfs count="8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3" borderId="1" xfId="0" applyNumberFormat="1" applyFont="1" applyFill="1" applyBorder="1"/>
    <x:xf numFmtId="0" fontId="3" fillId="3" borderId="1" xfId="0" applyNumberFormat="1" applyFont="1" applyFill="1" applyBorder="1"/>
    <x:xf numFmtId="0" fontId="3" fillId="3" borderId="1" xfId="0" applyNumberFormat="1" applyFont="1" applyFill="1" applyBorder="1" applyAlignment="1">
      <x:alignment horizontal="left"/>
    </x:xf>
    <x:xf numFmtId="0" fontId="3" fillId="3" borderId="1"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vertical="center"/>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vertical="center"/>
    </x:xf>
    <x:xf numFmtId="200" fontId="2" fillId="0" borderId="0" xfId="0" applyNumberFormat="1" applyFont="1" applyFill="1" applyBorder="1" applyAlignment="1">
      <x:alignment vertical="top" wrapText="1"/>
    </x:xf>
    <x:xf numFmtId="200" fontId="2" fillId="0" borderId="1"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201" fontId="2" fillId="0" borderId="1"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2" fontId="2" fillId="0" borderId="1" xfId="0" applyNumberFormat="1" applyFont="1" applyFill="1" applyBorder="1" applyAlignment="1">
      <x:alignment vertical="top" wrapText="1"/>
    </x:xf>
    <x:xf numFmtId="0" fontId="5" fillId="4" borderId="0" xfId="0" applyNumberFormat="1" applyFont="1" applyFill="1" applyBorder="1"/>
    <x:xf numFmtId="0" fontId="5" fillId="4" borderId="1" xfId="0" applyNumberFormat="1" applyFont="1" applyFill="1" applyBorder="1"/>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left"/>
    </x:xf>
    <x:xf numFmtId="0" fontId="6" fillId="5" borderId="0" xfId="0" applyNumberFormat="1" applyFont="1" applyFill="1" applyBorder="1" applyAlignment="1">
      <x:alignment horizontal="left" vertical="center"/>
    </x:xf>
    <x:xf numFmtId="0" fontId="0" fillId="5" borderId="1" xfId="0" applyNumberFormat="1" applyFont="1" applyFill="1" applyBorder="1"/>
    <x:xf numFmtId="0" fontId="6" fillId="5" borderId="1" xfId="0" applyNumberFormat="1" applyFont="1" applyFill="1" applyBorder="1"/>
    <x:xf numFmtId="0" fontId="6" fillId="5" borderId="1" xfId="0" applyNumberFormat="1" applyFont="1" applyFill="1" applyBorder="1" applyAlignment="1">
      <x:alignment horizontal="left"/>
    </x:xf>
    <x:xf numFmtId="0" fontId="6" fillId="5" borderId="1" xfId="0" applyNumberFormat="1" applyFont="1" applyFill="1" applyBorder="1" applyAlignment="1">
      <x:alignment horizontal="left" vertical="center"/>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wrapText="1"/>
    </x:xf>
    <x:xf numFmtId="0" fontId="7" fillId="6" borderId="0" xfId="0" applyNumberFormat="1" applyFont="1" applyFill="1" applyBorder="1" applyAlignment="1">
      <x:alignment vertical="center" wrapText="1"/>
    </x:xf>
    <x:xf numFmtId="0" fontId="0" fillId="6" borderId="1" xfId="0" applyNumberFormat="1" applyFont="1" applyFill="1" applyBorder="1"/>
    <x:xf numFmtId="0" fontId="7" fillId="6" borderId="1" xfId="0" applyNumberFormat="1" applyFont="1" applyFill="1" applyBorder="1"/>
    <x:xf numFmtId="0" fontId="7" fillId="6" borderId="1" xfId="0" applyNumberFormat="1" applyFont="1" applyFill="1" applyBorder="1" applyAlignment="1">
      <x:alignment wrapText="1"/>
    </x:xf>
    <x:xf numFmtId="0" fontId="7" fillId="6" borderId="1" xfId="0" applyNumberFormat="1" applyFont="1" applyFill="1" applyBorder="1" applyAlignment="1">
      <x:alignment vertical="center" wrapText="1"/>
    </x:xf>
    <x:xf numFmtId="0" fontId="0" fillId="7" borderId="0" xfId="0" applyNumberFormat="1" applyFont="1" applyFill="1" applyBorder="1"/>
    <x:xf numFmtId="0" fontId="7" fillId="7" borderId="0" xfId="0" applyNumberFormat="1" applyFont="1" applyFill="1" applyBorder="1" applyAlignment="1">
      <x:alignment vertical="center" wrapText="1"/>
    </x:xf>
    <x:xf numFmtId="0" fontId="8" fillId="7" borderId="0" xfId="0" applyNumberFormat="1" applyFont="1" applyFill="1" applyBorder="1"/>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wrapText="1"/>
    </x:xf>
    <x:xf numFmtId="0" fontId="8" fillId="7" borderId="0" xfId="0" applyNumberFormat="1" applyFont="1" applyFill="1" applyBorder="1" applyAlignment="1">
      <x:alignment horizontal="center" vertical="center"/>
    </x:xf>
    <x:xf numFmtId="0" fontId="0" fillId="7" borderId="1" xfId="0" applyNumberFormat="1" applyFont="1" applyFill="1" applyBorder="1"/>
    <x:xf numFmtId="0" fontId="7" fillId="7" borderId="1" xfId="0" applyNumberFormat="1" applyFont="1" applyFill="1" applyBorder="1" applyAlignment="1">
      <x:alignment vertical="center" wrapText="1"/>
    </x:xf>
    <x:xf numFmtId="0" fontId="8" fillId="7" borderId="1" xfId="0" applyNumberFormat="1" applyFont="1" applyFill="1" applyBorder="1"/>
    <x:xf numFmtId="0" fontId="8" fillId="7" borderId="1" xfId="0" applyNumberFormat="1" applyFont="1" applyFill="1" applyBorder="1" applyAlignment="1">
      <x:alignment vertical="center" wrapText="1"/>
    </x:xf>
    <x:xf numFmtId="0" fontId="8" fillId="7" borderId="1" xfId="0" applyNumberFormat="1" applyFont="1" applyFill="1" applyBorder="1" applyAlignment="1">
      <x:alignment horizontal="center"/>
    </x:xf>
    <x:xf numFmtId="0" fontId="8" fillId="7" borderId="1" xfId="0" applyNumberFormat="1" applyFont="1" applyFill="1" applyBorder="1" applyAlignment="1">
      <x:alignment horizontal="center" vertical="center" wrapText="1"/>
    </x:xf>
    <x:xf numFmtId="0" fontId="8" fillId="7" borderId="1" xfId="0" applyNumberFormat="1" applyFont="1" applyFill="1" applyBorder="1" applyAlignment="1">
      <x:alignment horizontal="center" vertical="center"/>
    </x:xf>
    <x:xf numFmtId="201" fontId="8" fillId="7" borderId="0" xfId="0" applyNumberFormat="1" applyFont="1" applyFill="1" applyBorder="1" applyAlignment="1">
      <x:alignment horizontal="center" vertical="center"/>
    </x:xf>
    <x:xf numFmtId="201" fontId="8" fillId="7" borderId="1" xfId="0" applyNumberFormat="1" applyFont="1" applyFill="1" applyBorder="1" applyAlignment="1">
      <x:alignment horizontal="center" vertical="center"/>
    </x:xf>
    <x:xf numFmtId="0" fontId="2"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horizontal="center" vertical="top" wrapText="1"/>
    </x:xf>
    <x:xf numFmtId="0" fontId="2" fillId="2" borderId="1"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2" fillId="8" borderId="0" xfId="0" applyNumberFormat="1" applyFont="1" applyFill="1" applyBorder="1" applyAlignment="1">
      <x:alignment vertical="top" wrapText="1"/>
    </x:xf>
    <x:xf numFmtId="0" fontId="0" fillId="8" borderId="1" xfId="0" applyNumberFormat="1" applyFont="1" applyFill="1" applyBorder="1"/>
    <x:xf numFmtId="0" fontId="2" fillId="8" borderId="1" xfId="0" applyNumberFormat="1" applyFont="1" applyFill="1" applyBorder="1"/>
    <x:xf numFmtId="0" fontId="2" fillId="8" borderId="1" xfId="0" applyNumberFormat="1" applyFont="1" applyFill="1" applyBorder="1" applyAlignment="1">
      <x:alignment wrapText="1"/>
    </x:xf>
    <x:xf numFmtId="0" fontId="2" fillId="8" borderId="1" xfId="0" applyNumberFormat="1" applyFont="1" applyFill="1" applyBorder="1" applyAlignment="1">
      <x:alignment vertical="top" wrapText="1"/>
    </x:xf>
    <x:xf numFmtId="0" fontId="8" fillId="6" borderId="0" xfId="0" applyNumberFormat="1" applyFont="1" applyFill="1" applyBorder="1" applyAlignment="1">
      <x:alignment horizontal="center" vertical="center" wrapText="1"/>
    </x:xf>
    <x:xf numFmtId="0" fontId="8" fillId="6" borderId="1" xfId="0" applyNumberFormat="1" applyFont="1" applyFill="1" applyBorder="1" applyAlignment="1">
      <x:alignment horizontal="center" vertical="center" wrapText="1"/>
    </x:xf>
  </x:cellXfs>
  <x:cellStyles count="1">
    <x:cellStyle name="Normal" xfId="0"/>
  </x:cellStyles>
  <x:dxfs count="53">
    <x:dxf>
      <x:font>
        <x:b/>
        <x:color rgb="FFC00000"/>
      </x:font>
      <x:fill>
        <x:patternFill patternType="solid">
          <x:bgColor rgb="FFF4CCCC"/>
        </x:patternFill>
      </x:fill>
    </x:dxf>
    <x:dxf>
      <x:font>
        <x:b/>
      </x:font>
      <x:fill>
        <x:patternFill patternType="solid">
          <x:bgColor rgb="FFFFF2CC"/>
        </x:patternFill>
      </x:fill>
    </x:dxf>
    <x:dxf>
      <x:fill>
        <x:patternFill patternType="solid">
          <x:bgColor rgb="FFFFF2CC"/>
        </x:patternFill>
      </x:fill>
    </x:dxf>
    <x:dxf>
      <x:font>
        <x:b/>
        <x:color rgb="FF2F641C"/>
      </x:font>
      <x:fill>
        <x:patternFill patternType="solid">
          <x:bgColor rgb="FFE2F0D9"/>
        </x:patternFill>
      </x:fill>
    </x:dxf>
    <x:dxf>
      <x:fill>
        <x:patternFill patternType="solid">
          <x:bgColor rgb="FFFFF2CC"/>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ont>
        <x:b/>
        <x:color rgb="FFC00000"/>
      </x:font>
      <x:fill>
        <x:patternFill patternType="solid">
          <x:bgColor rgb="FFF4CCCC"/>
        </x:patternFill>
      </x:fill>
    </x:dxf>
    <x:dxf>
      <x:fill>
        <x:patternFill patternType="solid">
          <x:bgColor rgb="FFFFF2CC"/>
        </x:patternFill>
      </x:fill>
    </x:dxf>
    <x:dxf>
      <x:fill>
        <x:patternFill patternType="solid">
          <x:bgColor rgb="FFE2F0D9"/>
        </x:patternFill>
      </x:fill>
    </x:dxf>
    <x:dxf>
      <x:font>
        <x:color rgb="FF7F7F7F"/>
      </x:font>
      <x:fill>
        <x:patternFill patternType="solid">
          <x:bgColor rgb="FFF3F6F9"/>
        </x:patternFill>
      </x:fill>
    </x:dxf>
    <x:dxf>
      <x:fill>
        <x:patternFill patternType="solid">
          <x:bgColor rgb="FFE2F0D9"/>
        </x:patternFill>
      </x:fill>
    </x:dxf>
    <x:dxf>
      <x:font>
        <x:b/>
        <x:color rgb="FFC00000"/>
      </x:font>
      <x:fill>
        <x:patternFill patternType="solid">
          <x:bgColor rgb="FFF4CCCC"/>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d9c8f4a92784487" /><Relationship Type="http://schemas.openxmlformats.org/officeDocument/2006/relationships/theme" Target="/xl/theme/theme1.xml" Id="R9d2f1196f1ae4e2c" /><Relationship Type="http://schemas.openxmlformats.org/officeDocument/2006/relationships/sharedStrings" Target="/xl/sharedStrings.xml" Id="R8fb8a3ee268641b5" /><Relationship Type="http://schemas.openxmlformats.org/officeDocument/2006/relationships/worksheet" Target="/xl/worksheets/sheet1.xml" Id="R4b9f5f63eb424160" /><Relationship Type="http://schemas.openxmlformats.org/officeDocument/2006/relationships/worksheet" Target="/xl/worksheets/sheet2.xml" Id="R6e099c2495fe49ed" /><Relationship Type="http://schemas.openxmlformats.org/officeDocument/2006/relationships/worksheet" Target="/xl/worksheets/sheet3.xml" Id="Rf996e0b77a3b4c67" /><Relationship Type="http://schemas.openxmlformats.org/officeDocument/2006/relationships/worksheet" Target="/xl/worksheets/sheet4.xml" Id="Ra40f8e11922c43db" /><Relationship Type="http://schemas.openxmlformats.org/officeDocument/2006/relationships/worksheet" Target="/xl/worksheets/sheet5.xml" Id="R2305497274154e1d" /><Relationship Type="http://schemas.openxmlformats.org/officeDocument/2006/relationships/worksheet" Target="/xl/worksheets/sheet6.xml" Id="R8debe17400be4073" /></Relationships>
</file>

<file path=xl/drawings/_rels/drawing1.xml.rels>&#65279;<?xml version="1.0" encoding="utf-8"?><Relationships xmlns="http://schemas.openxmlformats.org/package/2006/relationships"><Relationship Type="http://schemas.openxmlformats.org/officeDocument/2006/relationships/chart" Target="/xl/drawings/charts/chart1.xml" Id="R9a3876531d424bef" /><Relationship Type="http://schemas.openxmlformats.org/officeDocument/2006/relationships/chart" Target="/xl/drawings/charts/chart2.xml" Id="Re316346a3e3b4b5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Scenario Distribution by Priority</a:t>
            </a:r>
          </a:p>
        </c:rich>
      </c:tx>
      <c:overlay val="0"/>
    </c:title>
    <c:autoTitleDeleted val="0"/>
    <c:plotArea>
      <c:layout/>
      <c:barChart>
        <c:barDir val="col"/>
        <c:grouping val="clustered"/>
        <c:varyColors val="0"/>
        <c:ser>
          <c:idx val="0"/>
          <c:order val="0"/>
          <c:tx>
            <c:v>Count</c:v>
          </c:tx>
          <c:cat>
            <c:strRef>
              <c:f>'Executive Dashboard'!$J$3:$J$6</c:f>
              <c:strCache>
                <c:ptCount val="0"/>
              </c:strCache>
            </c:strRef>
          </c:cat>
          <c:val>
            <c:numRef>
              <c:f>'Executive Dashboard'!$K$3:$K$6</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Detection Engineering Status</a:t>
            </a:r>
          </a:p>
        </c:rich>
      </c:tx>
      <c:overlay val="0"/>
    </c:title>
    <c:autoTitleDeleted val="0"/>
    <c:plotArea>
      <c:layout/>
      <c:barChart>
        <c:barDir val="col"/>
        <c:varyColors val="0"/>
        <c:ser>
          <c:idx val="0"/>
          <c:order val="0"/>
          <c:tx>
            <c:v>Count</c:v>
          </c:tx>
          <c:cat>
            <c:strRef>
              <c:f>'Executive Dashboard'!$M$3:$M$8</c:f>
              <c:strCache>
                <c:ptCount val="0"/>
              </c:strCache>
            </c:strRef>
          </c:cat>
          <c:val>
            <c:numRef>
              <c:f>'Executive Dashboard'!$N$3:$N$8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12</xdr:row>
      <xdr:rowOff>0</xdr:rowOff>
    </xdr:from>
    <xdr:to>
      <xdr:col>4</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a3876531d424bef"/>
        </a:graphicData>
      </a:graphic>
    </xdr:graphicFrame>
    <xdr:clientData/>
  </xdr:twoCellAnchor>
  <xdr:twoCellAnchor>
    <xdr:from>
      <xdr:col>4</xdr:col>
      <xdr:colOff>0</xdr:colOff>
      <xdr:row>12</xdr:row>
      <xdr:rowOff>0</xdr:rowOff>
    </xdr:from>
    <xdr:to>
      <xdr:col>8</xdr:col>
      <xdr:colOff>0</xdr:colOff>
      <xdr:row>28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316346a3e3b4b56"/>
        </a:graphicData>
      </a:graphic>
    </xdr:graphicFrame>
    <xdr:clientData/>
  </xdr:twoCellAnchor>
</xdr:wsDr>
</file>

<file path=xl/tables/table1.xml><?xml version="1.0" encoding="utf-8"?>
<x:table xmlns:x="http://schemas.openxmlformats.org/spreadsheetml/2006/main" id="5" name="InstructionsTable" displayName="InstructionsTable" ref="A13:C19" headerRowCount="1">
  <x:tableColumns count="3">
    <x:tableColumn id="1" name="Step"/>
    <x:tableColumn id="2" name="Action"/>
    <x:tableColumn id="3" name="Expected Output"/>
  </x:tableColumns>
  <x:tableStyleInfo name="TableStyleMedium2" showRowStripes="1"/>
</x:table>
</file>

<file path=xl/tables/table2.xml><?xml version="1.0" encoding="utf-8"?>
<x:table xmlns:x="http://schemas.openxmlformats.org/spreadsheetml/2006/main" id="6" name="ScoringModelTable" displayName="ScoringModelTable" ref="A22:C27" headerRowCount="1">
  <x:tableColumns count="3">
    <x:tableColumn id="1" name="Field"/>
    <x:tableColumn id="2" name="Scale"/>
    <x:tableColumn id="3" name="Guidance"/>
  </x:tableColumns>
  <x:tableStyleInfo name="TableStyleMedium2" showRowStripes="1"/>
</x:table>
</file>

<file path=xl/tables/table3.xml><?xml version="1.0" encoding="utf-8"?>
<x:table xmlns:x="http://schemas.openxmlformats.org/spreadsheetml/2006/main" id="4" name="TopRiskTable" displayName="TopRiskTable" ref="A32:H37" headerRowCount="1">
  <x:tableColumns count="8">
    <x:tableColumn id="1" name="Scenario ID"/>
    <x:tableColumn id="2" name="Scenario"/>
    <x:tableColumn id="3" name="Risk Score"/>
    <x:tableColumn id="4" name="Priority"/>
    <x:tableColumn id="5" name="Severity"/>
    <x:tableColumn id="6" name="Status"/>
    <x:tableColumn id="7" name="Coverage"/>
    <x:tableColumn id="8" name="Owner"/>
  </x:tableColumns>
  <x:tableStyleInfo name="TableStyleMedium2" showRowStripes="1"/>
</x:table>
</file>

<file path=xl/tables/table4.xml><?xml version="1.0" encoding="utf-8"?>
<x:table xmlns:x="http://schemas.openxmlformats.org/spreadsheetml/2006/main" id="1" name="DetectionCatalogTable" displayName="DetectionCatalogTable" ref="A4:X18" headerRowCount="1">
  <x:tableColumns count="24">
    <x:tableColumn id="1" name="Scenario ID"/>
    <x:tableColumn id="2" name="Detection / Hunt Scenario"/>
    <x:tableColumn id="3" name="Detection Logic"/>
    <x:tableColumn id="4" name="Threat Hypothesis"/>
    <x:tableColumn id="5" name="Primary Data Sources"/>
    <x:tableColumn id="6" name="Secondary Data Sources"/>
    <x:tableColumn id="7" name="Key Entities"/>
    <x:tableColumn id="8" name="Detection Window"/>
    <x:tableColumn id="9" name="Likelihood (1-5)"/>
    <x:tableColumn id="10" name="Impact (1-5)"/>
    <x:tableColumn id="11" name="Risk Score"/>
    <x:tableColumn id="12" name="Priority"/>
    <x:tableColumn id="13" name="Suggested Severity"/>
    <x:tableColumn id="14" name="MITRE ATT&amp;CK Tactic(s)"/>
    <x:tableColumn id="15" name="Likely False Positives"/>
    <x:tableColumn id="16" name="Tuning Guidance"/>
    <x:tableColumn id="17" name="Initial Response Actions"/>
    <x:tableColumn id="18" name="Detection Status"/>
    <x:tableColumn id="19" name="Owner"/>
    <x:tableColumn id="20" name="Coverage %"/>
    <x:tableColumn id="21" name="Confidence"/>
    <x:tableColumn id="22" name="Last Tested"/>
    <x:tableColumn id="23" name="Next Review"/>
    <x:tableColumn id="24" name="Analyst Notes"/>
  </x:tableColumns>
  <x:tableStyleInfo name="TableStyleMedium2" showRowStripes="1"/>
</x:table>
</file>

<file path=xl/tables/table5.xml><?xml version="1.0" encoding="utf-8"?>
<x:table xmlns:x="http://schemas.openxmlformats.org/spreadsheetml/2006/main" id="3" name="HuntExecutionTable" displayName="HuntExecutionTable" ref="A4:T44" headerRowCount="1">
  <x:tableColumns count="20">
    <x:tableColumn id="1" name="Hunt ID"/>
    <x:tableColumn id="2" name="Scenario ID"/>
    <x:tableColumn id="3" name="Scenario Name"/>
    <x:tableColumn id="4" name="Hypothesis / Scope"/>
    <x:tableColumn id="5" name="Start Date"/>
    <x:tableColumn id="6" name="End Date"/>
    <x:tableColumn id="7" name="Analyst"/>
    <x:tableColumn id="8" name="Environment"/>
    <x:tableColumn id="9" name="Status"/>
    <x:tableColumn id="10" name="Outcome"/>
    <x:tableColumn id="11" name="Systems Reviewed"/>
    <x:tableColumn id="12" name="Queries / Tools Used"/>
    <x:tableColumn id="13" name="Findings Summary"/>
    <x:tableColumn id="14" name="Evidence Link"/>
    <x:tableColumn id="15" name="Escalated"/>
    <x:tableColumn id="16" name="Ticket / Case ID"/>
    <x:tableColumn id="17" name="Next Action"/>
    <x:tableColumn id="18" name="Review Date"/>
    <x:tableColumn id="19" name="Days Open"/>
    <x:tableColumn id="20" name="Lessons Learned"/>
  </x:tableColumns>
  <x:tableStyleInfo name="TableStyleMedium2" showRowStripes="1"/>
</x:table>
</file>

<file path=xl/tables/table6.xml><?xml version="1.0" encoding="utf-8"?>
<x:table xmlns:x="http://schemas.openxmlformats.org/spreadsheetml/2006/main" id="2" name="TelemetryMatrixTable" displayName="TelemetryMatrixTable" ref="A4:N18" headerRowCount="1">
  <x:tableColumns count="14">
    <x:tableColumn id="1" name="Scenario ID"/>
    <x:tableColumn id="2" name="Scenario"/>
    <x:tableColumn id="3" name="EDR / Process"/>
    <x:tableColumn id="4" name="File / Registry"/>
    <x:tableColumn id="5" name="DNS / Proxy"/>
    <x:tableColumn id="6" name="Network / TLS"/>
    <x:tableColumn id="7" name="AI Gateway / API"/>
    <x:tableColumn id="8" name="Cloud / IAM"/>
    <x:tableColumn id="9" name="Git / CI-CD"/>
    <x:tableColumn id="10" name="DLP / CASB"/>
    <x:tableColumn id="11" name="GPU / ML Runtime"/>
    <x:tableColumn id="12" name="SaaS / BaaS"/>
    <x:tableColumn id="13" name="Email / Web"/>
    <x:tableColumn id="14" name="Priority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839becc667942d6" /><Relationship Type="http://schemas.openxmlformats.org/officeDocument/2006/relationships/table" Target="/xl/tables/table2.xml" Id="Rfdc77d0ed2ba4ab0" /></Relationships>
</file>

<file path=xl/worksheets/_rels/sheet2.xml.rels>&#65279;<?xml version="1.0" encoding="utf-8"?><Relationships xmlns="http://schemas.openxmlformats.org/package/2006/relationships"><Relationship Type="http://schemas.openxmlformats.org/officeDocument/2006/relationships/drawing" Target="/xl/drawings/drawing1.xml" Id="R5b08670506b94018" /><Relationship Type="http://schemas.openxmlformats.org/officeDocument/2006/relationships/table" Target="/xl/tables/table3.xml" Id="R2dd3d5f65af34f26" /></Relationships>
</file>

<file path=xl/worksheets/_rels/sheet3.xml.rels>&#65279;<?xml version="1.0" encoding="utf-8"?><Relationships xmlns="http://schemas.openxmlformats.org/package/2006/relationships"><Relationship Type="http://schemas.openxmlformats.org/officeDocument/2006/relationships/table" Target="/xl/tables/table4.xml" Id="Rf7035ab1d0e7450d" /></Relationships>
</file>

<file path=xl/worksheets/_rels/sheet4.xml.rels>&#65279;<?xml version="1.0" encoding="utf-8"?><Relationships xmlns="http://schemas.openxmlformats.org/package/2006/relationships"><Relationship Type="http://schemas.openxmlformats.org/officeDocument/2006/relationships/table" Target="/xl/tables/table5.xml" Id="R9dff0598d9f14205" /></Relationships>
</file>

<file path=xl/worksheets/_rels/sheet5.xml.rels>&#65279;<?xml version="1.0" encoding="utf-8"?><Relationships xmlns="http://schemas.openxmlformats.org/package/2006/relationships"><Relationship Type="http://schemas.openxmlformats.org/officeDocument/2006/relationships/table" Target="/xl/tables/table6.xml" Id="R0910d1c3ed0a428f" /></Relationships>
</file>

<file path=xl/worksheets/sheet1.xml><?xml version="1.0" encoding="utf-8"?>
<x:worksheet xmlns:x="http://schemas.openxmlformats.org/spreadsheetml/2006/main">
  <x:sheetFormatPr defaultRowHeight="15"/>
  <x:cols>
    <x:col min="1" max="1" width="18" hidden="0" customWidth="1"/>
    <x:col min="2" max="2" width="64" hidden="0" customWidth="1"/>
    <x:col min="3" max="3" width="64" hidden="0" customWidth="1"/>
    <x:col min="4" max="4" width="14" hidden="0" customWidth="1"/>
    <x:col min="5" max="5" width="14" hidden="0" customWidth="1"/>
    <x:col min="6" max="6" width="14" hidden="0" customWidth="1"/>
    <x:col min="7" max="7" width="14" hidden="0" customWidth="1"/>
    <x:col min="8" max="8" width="14" hidden="0" customWidth="1"/>
  </x:cols>
  <x:sheetData>
    <x:row r="1" ht="34" customHeight="1">
      <x:c r="A1" s="21" t="str">
        <x:v>AI-Enabled Threat Detection and Hunting Workbook</x:v>
      </x:c>
      <x:c r="B1" s="21"/>
      <x:c r="C1" s="21"/>
      <x:c r="D1" s="21"/>
      <x:c r="E1" s="21"/>
      <x:c r="F1" s="21"/>
      <x:c r="G1" s="21"/>
      <x:c r="H1" s="21"/>
    </x:row>
    <x:row r="3" ht="28" customHeight="1">
      <x:c r="A3" s="43" t="str">
        <x:v>Workbook Metadata</x:v>
      </x:c>
      <x:c r="B3" s="43" t="str"/>
    </x:row>
    <x:row r="4" ht="28" customHeight="1">
      <x:c r="A4" s="51" t="str">
        <x:v>Author</x:v>
      </x:c>
      <x:c r="B4" s="14" t="str">
        <x:v>Yuval Sinay</x:v>
      </x:c>
    </x:row>
    <x:row r="5" ht="28" customHeight="1">
      <x:c r="A5" s="51" t="str">
        <x:v>Version</x:v>
      </x:c>
      <x:c r="B5" s="14" t="str">
        <x:v>1.0</x:v>
      </x:c>
    </x:row>
    <x:row r="6" ht="28" customHeight="1">
      <x:c r="A6" s="51" t="str">
        <x:v>Date</x:v>
      </x:c>
      <x:c r="B6" s="36" t="n">
        <x:v>46239</x:v>
      </x:c>
    </x:row>
    <x:row r="7" ht="28" customHeight="1">
      <x:c r="A7" s="51" t="str">
        <x:v>Language</x:v>
      </x:c>
      <x:c r="B7" s="14" t="str">
        <x:v>English</x:v>
      </x:c>
    </x:row>
    <x:row r="8" ht="28" customHeight="1">
      <x:c r="A8" s="51" t="str">
        <x:v>Purpose</x:v>
      </x:c>
      <x:c r="B8" s="14" t="str">
        <x:v>Operational support for defensive detection engineering and threat hunting involving covert or operational use of AI in cyberattacks.</x:v>
      </x:c>
    </x:row>
    <x:row r="9" ht="28" customHeight="1">
      <x:c r="A9" s="51" t="str">
        <x:v>Source Basis</x:v>
      </x:c>
      <x:c r="B9" s="14" t="str">
        <x:v>User-provided scenarios, translated and enriched for defensive operational use.</x:v>
      </x:c>
    </x:row>
    <x:row r="10" ht="28" customHeight="1">
      <x:c r="A10" s="51" t="str">
        <x:v>Classification</x:v>
      </x:c>
      <x:c r="B10" s="14" t="str">
        <x:v>TLP:CLEAR / Internal use as applicable</x:v>
      </x:c>
    </x:row>
    <x:row r="11" ht="28" customHeight="1"/>
    <x:row r="12" ht="28" customHeight="1">
      <x:c r="A12" s="43" t="str">
        <x:v>How to Use the Workbook</x:v>
      </x:c>
      <x:c r="B12" s="43"/>
      <x:c r="C12" s="43"/>
      <x:c r="D12" s="43"/>
      <x:c r="E12" s="43"/>
      <x:c r="F12" s="43"/>
      <x:c r="G12" s="43"/>
      <x:c r="H12" s="43"/>
    </x:row>
    <x:row r="13" ht="28" customHeight="1">
      <x:c r="A13" s="6" t="str">
        <x:v>Step</x:v>
      </x:c>
      <x:c r="B13" s="6" t="str">
        <x:v>Action</x:v>
      </x:c>
      <x:c r="C13" s="6" t="str">
        <x:v>Expected Output</x:v>
      </x:c>
    </x:row>
    <x:row r="14" ht="28" customHeight="1">
      <x:c r="A14" s="14" t="str">
        <x:v>1</x:v>
      </x:c>
      <x:c r="B14" s="14" t="str">
        <x:v>Review the Executive Dashboard.</x:v>
      </x:c>
      <x:c r="C14" s="14" t="str">
        <x:v>Understand current scenario count, priority, implementation status, and hunt activity.</x:v>
      </x:c>
    </x:row>
    <x:row r="15" ht="28" customHeight="1">
      <x:c r="A15" s="14" t="str">
        <x:v>2</x:v>
      </x:c>
      <x:c r="B15" s="14" t="str">
        <x:v>Use Detection Catalog to assign likelihood, impact, owner, status, coverage, and test dates.</x:v>
      </x:c>
      <x:c r="C15" s="14" t="str">
        <x:v>A prioritized detection engineering backlog.</x:v>
      </x:c>
    </x:row>
    <x:row r="16" ht="28" customHeight="1">
      <x:c r="A16" s="14" t="str">
        <x:v>3</x:v>
      </x:c>
      <x:c r="B16" s="14" t="str">
        <x:v>Use Telemetry Matrix to identify missing data sources.</x:v>
      </x:c>
      <x:c r="C16" s="14" t="str">
        <x:v>A collection and logging improvement plan.</x:v>
      </x:c>
    </x:row>
    <x:row r="17" ht="28" customHeight="1">
      <x:c r="A17" s="14" t="str">
        <x:v>4</x:v>
      </x:c>
      <x:c r="B17" s="14" t="str">
        <x:v>Create a row in Hunt Worksheet for each execution.</x:v>
      </x:c>
      <x:c r="C17" s="14" t="str">
        <x:v>Documented scope, evidence, outcome, and follow-up actions.</x:v>
      </x:c>
    </x:row>
    <x:row r="18" ht="28" customHeight="1">
      <x:c r="A18" s="14" t="str">
        <x:v>5</x:v>
      </x:c>
      <x:c r="B18" s="14" t="str">
        <x:v>Tune false positives and document exceptions.</x:v>
      </x:c>
      <x:c r="C18" s="14" t="str">
        <x:v>Stable analytics aligned with asset roles and approved AI use cases.</x:v>
      </x:c>
    </x:row>
    <x:row r="19" ht="28" customHeight="1">
      <x:c r="A19" s="14" t="str">
        <x:v>6</x:v>
      </x:c>
      <x:c r="B19" s="14" t="str">
        <x:v>Review critical and high scenarios at least quarterly.</x:v>
      </x:c>
      <x:c r="C19" s="14" t="str">
        <x:v>Continuous validation against evolving AI-enabled tradecraft.</x:v>
      </x:c>
    </x:row>
    <x:row r="20" ht="28" customHeight="1"/>
    <x:row r="21" ht="28" customHeight="1">
      <x:c r="A21" s="43" t="str">
        <x:v>Scoring Model</x:v>
      </x:c>
      <x:c r="B21" s="43"/>
      <x:c r="C21" s="43"/>
      <x:c r="D21" s="43"/>
      <x:c r="E21" s="43"/>
      <x:c r="F21" s="43"/>
      <x:c r="G21" s="43"/>
      <x:c r="H21" s="43"/>
    </x:row>
    <x:row r="22" ht="28" customHeight="1">
      <x:c r="A22" s="6" t="str">
        <x:v>Field</x:v>
      </x:c>
      <x:c r="B22" s="6" t="str">
        <x:v>Scale</x:v>
      </x:c>
      <x:c r="C22" s="6" t="str">
        <x:v>Guidance</x:v>
      </x:c>
    </x:row>
    <x:row r="23" ht="28" customHeight="1">
      <x:c r="A23" s="14" t="str">
        <x:v>Likelihood</x:v>
      </x:c>
      <x:c r="B23" s="14" t="str">
        <x:v>1-5</x:v>
      </x:c>
      <x:c r="C23" s="14" t="str">
        <x:v>1 = Rare; 3 = Plausible; 5 = Frequently expected or already observed.</x:v>
      </x:c>
    </x:row>
    <x:row r="24" ht="28" customHeight="1">
      <x:c r="A24" s="14" t="str">
        <x:v>Impact</x:v>
      </x:c>
      <x:c r="B24" s="14" t="str">
        <x:v>1-5</x:v>
      </x:c>
      <x:c r="C24" s="14" t="str">
        <x:v>1 = Limited; 3 = Material; 5 = Critical operational, financial, or national-security consequence.</x:v>
      </x:c>
    </x:row>
    <x:row r="25" ht="28" customHeight="1">
      <x:c r="A25" s="14" t="str">
        <x:v>Risk Score</x:v>
      </x:c>
      <x:c r="B25" s="14" t="str">
        <x:v>Likelihood × Impact</x:v>
      </x:c>
      <x:c r="C25" s="14" t="str">
        <x:v>Calculated automatically in Detection Catalog.</x:v>
      </x:c>
    </x:row>
    <x:row r="26" ht="28" customHeight="1">
      <x:c r="A26" s="14" t="str">
        <x:v>Priority</x:v>
      </x:c>
      <x:c r="B26" s="14" t="str">
        <x:v>Critical / High / Medium / Low</x:v>
      </x:c>
      <x:c r="C26" s="14" t="str">
        <x:v>Critical ≥20; High ≥15; Medium ≥8; Low &lt;8.</x:v>
      </x:c>
    </x:row>
    <x:row r="27" ht="28" customHeight="1">
      <x:c r="A27" s="14" t="str">
        <x:v>Coverage</x:v>
      </x:c>
      <x:c r="B27" s="14" t="str">
        <x:v>0%-100%</x:v>
      </x:c>
      <x:c r="C27" s="14" t="str">
        <x:v>Estimated technical coverage, including data availability, analytic quality, validation, and response readiness.</x:v>
      </x:c>
    </x:row>
    <x:row r="28" ht="28" customHeight="1"/>
    <x:row r="29" ht="28" customHeight="1">
      <x:c r="A29" s="43" t="str">
        <x:v>Important Use Note</x:v>
      </x:c>
      <x:c r="B29" s="43"/>
      <x:c r="C29" s="43"/>
      <x:c r="D29" s="43"/>
      <x:c r="E29" s="43"/>
      <x:c r="F29" s="43"/>
      <x:c r="G29" s="43"/>
      <x:c r="H29" s="43"/>
    </x:row>
    <x:row r="30" ht="28" customHeight="1">
      <x:c r="A30" s="81" t="str">
        <x:v>The workbook is designed for defensive security operations. Detection logic should be adapted to the organization’s architecture, approved AI services, privacy obligations, legal requirements, asset roles, and threat model. AI involvement is often inferred from correlated telemetry rather than a unique indicator.</x:v>
      </x:c>
      <x:c r="B30" s="81"/>
      <x:c r="C30" s="81"/>
      <x:c r="D30" s="81"/>
      <x:c r="E30" s="81"/>
      <x:c r="F30" s="81"/>
      <x:c r="G30" s="81"/>
      <x:c r="H30" s="81"/>
    </x:row>
    <x:row r="31" ht="28" customHeight="1">
      <x:c r="A31" s="81"/>
      <x:c r="B31" s="81"/>
      <x:c r="C31" s="81"/>
      <x:c r="D31" s="81"/>
      <x:c r="E31" s="81"/>
      <x:c r="F31" s="81"/>
      <x:c r="G31" s="81"/>
      <x:c r="H31" s="81"/>
    </x:row>
    <x:row r="32" ht="28" customHeight="1">
      <x:c r="A32" s="81"/>
      <x:c r="B32" s="81"/>
      <x:c r="C32" s="81"/>
      <x:c r="D32" s="81"/>
      <x:c r="E32" s="81"/>
      <x:c r="F32" s="81"/>
      <x:c r="G32" s="81"/>
      <x:c r="H32" s="81"/>
    </x:row>
    <x:row r="33" ht="28" customHeight="1">
      <x:c r="A33" s="81"/>
      <x:c r="B33" s="81"/>
      <x:c r="C33" s="81"/>
      <x:c r="D33" s="81"/>
      <x:c r="E33" s="81"/>
      <x:c r="F33" s="81"/>
      <x:c r="G33" s="81"/>
      <x:c r="H33" s="81"/>
    </x:row>
  </x:sheetData>
  <x:mergeCells>
    <x:mergeCell ref="A1:H1"/>
    <x:mergeCell ref="A12:H12"/>
    <x:mergeCell ref="A21:H21"/>
    <x:mergeCell ref="A29:H29"/>
    <x:mergeCell ref="A30:H33"/>
  </x:mergeCells>
  <x:pageMargins left="0.7" right="0.7" top="0.75" bottom="0.75" header="0.3" footer="0.3"/>
  <x:tableParts count="2">
    <x:tablePart xmlns:r="http://schemas.openxmlformats.org/officeDocument/2006/relationships" r:id="Rc839becc667942d6"/>
    <x:tablePart xmlns:r="http://schemas.openxmlformats.org/officeDocument/2006/relationships" r:id="Rfdc77d0ed2ba4ab0"/>
  </x:tableParts>
</x:worksheet>
</file>

<file path=xl/worksheets/sheet2.xml><?xml version="1.0" encoding="utf-8"?>
<x:worksheet xmlns:x="http://schemas.openxmlformats.org/spreadsheetml/2006/main">
  <x:sheetFormatPr defaultRowHeight="15"/>
  <x:cols>
    <x:col min="1" max="1" width="13" hidden="0" customWidth="1"/>
    <x:col min="2" max="2" width="3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10" max="10" width="14" hidden="0" customWidth="1"/>
    <x:col min="11" max="11" width="14" hidden="0" customWidth="1"/>
    <x:col min="12" max="12" width="14" hidden="0" customWidth="1"/>
    <x:col min="13" max="13" width="14" hidden="0" customWidth="1"/>
    <x:col min="14" max="14" width="14" hidden="0" customWidth="1"/>
  </x:cols>
  <x:sheetData>
    <x:row r="1" ht="34" customHeight="1">
      <x:c r="A1" s="21" t="str">
        <x:v>AI-Enabled Threat Detection and Hunting Workbook</x:v>
      </x:c>
      <x:c r="B1" s="21"/>
      <x:c r="C1" s="21"/>
      <x:c r="D1" s="21"/>
      <x:c r="E1" s="21"/>
      <x:c r="F1" s="21"/>
      <x:c r="G1" s="21"/>
      <x:c r="H1" s="21"/>
    </x:row>
    <x:row r="2">
      <x:c r="A2" s="38" t="str">
        <x:v>Executive dashboard | Author: Yuval Sinay | Version 1.0 | 2026-08-05</x:v>
      </x:c>
      <x:c r="B2" s="38"/>
      <x:c r="C2" s="38"/>
      <x:c r="D2" s="38"/>
      <x:c r="E2" s="38"/>
      <x:c r="F2" s="38"/>
      <x:c r="G2" s="38"/>
      <x:c r="H2" s="38"/>
      <x:c r="J2" s="6" t="str">
        <x:v>Priority</x:v>
      </x:c>
      <x:c r="K2" s="6" t="str">
        <x:v>Count</x:v>
      </x:c>
      <x:c r="M2" s="6" t="str">
        <x:v>Status</x:v>
      </x:c>
      <x:c r="N2" s="6" t="str">
        <x:v>Count</x:v>
      </x:c>
    </x:row>
    <x:row r="3">
      <x:c r="J3" s="14" t="str">
        <x:v>Critical</x:v>
      </x:c>
      <x:c r="K3" s="14" t="n">
        <x:f>COUNTIF('Detection Catalog'!$L$5:$L$18,J3)</x:f>
        <x:v>8</x:v>
      </x:c>
      <x:c r="M3" s="14" t="str">
        <x:v>Planned</x:v>
      </x:c>
      <x:c r="N3" s="14" t="n">
        <x:f>COUNTIF('Detection Catalog'!$R$5:$R$18,M3)</x:f>
        <x:v>14</x:v>
      </x:c>
    </x:row>
    <x:row r="4">
      <x:c r="A4" s="43" t="str">
        <x:v>Portfolio Overview</x:v>
      </x:c>
      <x:c r="B4" s="43"/>
      <x:c r="C4" s="43"/>
      <x:c r="D4" s="43"/>
      <x:c r="E4" s="43"/>
      <x:c r="F4" s="43"/>
      <x:c r="G4" s="43"/>
      <x:c r="H4" s="43"/>
      <x:c r="J4" s="14" t="str">
        <x:v>High</x:v>
      </x:c>
      <x:c r="K4" s="14" t="n">
        <x:f>COUNTIF('Detection Catalog'!$L$5:$L$18,J4)</x:f>
        <x:v>3</x:v>
      </x:c>
      <x:c r="M4" s="14" t="str">
        <x:v>In Development</x:v>
      </x:c>
      <x:c r="N4" s="14" t="n">
        <x:f>COUNTIF('Detection Catalog'!$R$5:$R$18,M4)</x:f>
        <x:v>0</x:v>
      </x:c>
    </x:row>
    <x:row r="5">
      <x:c r="J5" s="14" t="str">
        <x:v>Medium</x:v>
      </x:c>
      <x:c r="K5" s="14" t="n">
        <x:f>COUNTIF('Detection Catalog'!$L$5:$L$18,J5)</x:f>
        <x:v>3</x:v>
      </x:c>
      <x:c r="M5" s="14" t="str">
        <x:v>Needs Testing</x:v>
      </x:c>
      <x:c r="N5" s="14" t="n">
        <x:f>COUNTIF('Detection Catalog'!$R$5:$R$18,M5)</x:f>
        <x:v>0</x:v>
      </x:c>
    </x:row>
    <x:row r="6" ht="26" customHeight="1">
      <x:c r="A6" s="51" t="str">
        <x:v>Total Scenarios</x:v>
      </x:c>
      <x:c r="B6" s="51" t="str"/>
      <x:c r="C6" s="51" t="str">
        <x:v>Critical Priority</x:v>
      </x:c>
      <x:c r="D6" s="51" t="str"/>
      <x:c r="E6" s="51" t="str">
        <x:v>High Priority</x:v>
      </x:c>
      <x:c r="F6" s="51" t="str"/>
      <x:c r="G6" s="51" t="str">
        <x:v>Average Coverage</x:v>
      </x:c>
      <x:c r="H6" s="51" t="str"/>
      <x:c r="J6" s="14" t="str">
        <x:v>Low</x:v>
      </x:c>
      <x:c r="K6" s="14" t="n">
        <x:f>COUNTIF('Detection Catalog'!$L$5:$L$18,J6)</x:f>
        <x:v>0</x:v>
      </x:c>
      <x:c r="M6" s="14" t="str">
        <x:v>Implemented</x:v>
      </x:c>
      <x:c r="N6" s="14" t="n">
        <x:f>COUNTIF('Detection Catalog'!$R$5:$R$18,M6)</x:f>
        <x:v>0</x:v>
      </x:c>
    </x:row>
    <x:row r="7" ht="28" customHeight="1">
      <x:c r="A7" s="62" t="n">
        <x:f>COUNTA('Detection Catalog'!A5:A18)</x:f>
        <x:v>14</x:v>
      </x:c>
      <x:c r="B7" s="62"/>
      <x:c r="C7" s="62" t="n">
        <x:f>COUNTIF('Detection Catalog'!L5:L18,"Critical")</x:f>
        <x:v>8</x:v>
      </x:c>
      <x:c r="D7" s="62"/>
      <x:c r="E7" s="62" t="n">
        <x:f>COUNTIF('Detection Catalog'!L5:L18,"High")</x:f>
        <x:v>3</x:v>
      </x:c>
      <x:c r="F7" s="62"/>
      <x:c r="G7" s="70" t="n">
        <x:f>AVERAGE('Detection Catalog'!T5:T18)</x:f>
        <x:v>0.07142857142857144</x:v>
      </x:c>
      <x:c r="H7" s="62"/>
      <x:c r="M7" s="14" t="str">
        <x:v>Tuned</x:v>
      </x:c>
      <x:c r="N7" s="14" t="n">
        <x:f>COUNTIF('Detection Catalog'!$R$5:$R$18,M7)</x:f>
        <x:v>0</x:v>
      </x:c>
    </x:row>
    <x:row r="8" ht="28" customHeight="1">
      <x:c r="A8" s="62"/>
      <x:c r="B8" s="62"/>
      <x:c r="C8" s="62"/>
      <x:c r="D8" s="62"/>
      <x:c r="E8" s="62"/>
      <x:c r="F8" s="62"/>
      <x:c r="G8" s="62"/>
      <x:c r="H8" s="62"/>
      <x:c r="M8" s="14" t="str">
        <x:v>Retired</x:v>
      </x:c>
      <x:c r="N8" s="14" t="n">
        <x:f>COUNTIF('Detection Catalog'!$R$5:$R$18,M8)</x:f>
        <x:v>0</x:v>
      </x:c>
    </x:row>
    <x:row r="9" ht="26" customHeight="1">
      <x:c r="A9" s="86" t="str">
        <x:v>Implemented</x:v>
      </x:c>
      <x:c r="B9" s="86" t="str"/>
      <x:c r="C9" s="86" t="str">
        <x:v>Needs Testing</x:v>
      </x:c>
      <x:c r="D9" s="86" t="str"/>
      <x:c r="E9" s="86" t="str">
        <x:v>Open Hunts</x:v>
      </x:c>
      <x:c r="F9" s="86" t="str"/>
      <x:c r="G9" s="86" t="str">
        <x:v>Confirmed Malicious</x:v>
      </x:c>
      <x:c r="H9" s="86" t="str"/>
    </x:row>
    <x:row r="10" ht="28" customHeight="1">
      <x:c r="A10" s="62" t="n">
        <x:f>COUNTIF('Detection Catalog'!R5:R18,"Implemented")</x:f>
        <x:v>0</x:v>
      </x:c>
      <x:c r="B10" s="62"/>
      <x:c r="C10" s="62" t="n">
        <x:f>COUNTIF('Detection Catalog'!R5:R18,"Needs Testing")</x:f>
        <x:v>0</x:v>
      </x:c>
      <x:c r="D10" s="62"/>
      <x:c r="E10" s="62" t="n">
        <x:f>COUNTIF('Hunt Worksheet'!B5:B44,"AIH-*")</x:f>
        <x:v>0</x:v>
      </x:c>
      <x:c r="F10" s="62"/>
      <x:c r="G10" s="62" t="n">
        <x:f>COUNTIF('Hunt Worksheet'!J5:J44,"Confirmed Malicious")</x:f>
        <x:v>0</x:v>
      </x:c>
      <x:c r="H10" s="62"/>
    </x:row>
    <x:row r="11" ht="28" customHeight="1">
      <x:c r="A11" s="62"/>
      <x:c r="B11" s="62"/>
      <x:c r="C11" s="62"/>
      <x:c r="D11" s="62"/>
      <x:c r="E11" s="62"/>
      <x:c r="F11" s="62"/>
      <x:c r="G11" s="62"/>
      <x:c r="H11" s="62"/>
    </x:row>
    <x:row r="30">
      <x:c r="A30" s="43" t="str">
        <x:v>Top-Risk Scenarios</x:v>
      </x:c>
      <x:c r="B30" s="43"/>
      <x:c r="C30" s="43"/>
      <x:c r="D30" s="43"/>
      <x:c r="E30" s="43"/>
      <x:c r="F30" s="43"/>
      <x:c r="G30" s="43"/>
      <x:c r="H30" s="43"/>
    </x:row>
    <x:row r="32">
      <x:c r="A32" s="6" t="str">
        <x:v>Scenario ID</x:v>
      </x:c>
      <x:c r="B32" s="6" t="str">
        <x:v>Scenario</x:v>
      </x:c>
      <x:c r="C32" s="6" t="str">
        <x:v>Risk Score</x:v>
      </x:c>
      <x:c r="D32" s="6" t="str">
        <x:v>Priority</x:v>
      </x:c>
      <x:c r="E32" s="6" t="str">
        <x:v>Severity</x:v>
      </x:c>
      <x:c r="F32" s="6" t="str">
        <x:v>Status</x:v>
      </x:c>
      <x:c r="G32" s="6" t="str">
        <x:v>Coverage</x:v>
      </x:c>
      <x:c r="H32" s="6" t="str">
        <x:v>Owner</x:v>
      </x:c>
    </x:row>
    <x:row r="33">
      <x:c r="A33" s="14" t="str">
        <x:v>AIH-002</x:v>
      </x:c>
      <x:c r="B33" s="14" t="str">
        <x:v>AI Response Followed by Code Execution</x:v>
      </x:c>
      <x:c r="C33" s="14" t="n">
        <x:v>20</x:v>
      </x:c>
      <x:c r="D33" s="14" t="str">
        <x:v>Critical</x:v>
      </x:c>
      <x:c r="E33" s="14" t="str">
        <x:v>Critical</x:v>
      </x:c>
      <x:c r="F33" s="14" t="str">
        <x:v>Planned</x:v>
      </x:c>
      <x:c r="G33" s="34" t="n">
        <x:v>0.05</x:v>
      </x:c>
      <x:c r="H33" s="14" t="str"/>
    </x:row>
    <x:row r="34">
      <x:c r="A34" s="14" t="str">
        <x:v>AIH-004</x:v>
      </x:c>
      <x:c r="B34" s="14" t="str">
        <x:v>AI Agent or CLI Accesses Secrets</x:v>
      </x:c>
      <x:c r="C34" s="14" t="n">
        <x:v>25</x:v>
      </x:c>
      <x:c r="D34" s="14" t="str">
        <x:v>Critical</x:v>
      </x:c>
      <x:c r="E34" s="14" t="str">
        <x:v>Critical</x:v>
      </x:c>
      <x:c r="F34" s="14" t="str">
        <x:v>Planned</x:v>
      </x:c>
      <x:c r="G34" s="34" t="n">
        <x:v>0.05</x:v>
      </x:c>
      <x:c r="H34" s="14" t="str"/>
    </x:row>
    <x:row r="35">
      <x:c r="A35" s="14" t="str">
        <x:v>AIH-007</x:v>
      </x:c>
      <x:c r="B35" s="14" t="str">
        <x:v>Unusual AI Traffic from a Server</x:v>
      </x:c>
      <x:c r="C35" s="14" t="n">
        <x:v>20</x:v>
      </x:c>
      <x:c r="D35" s="14" t="str">
        <x:v>Critical</x:v>
      </x:c>
      <x:c r="E35" s="14" t="str">
        <x:v>Critical</x:v>
      </x:c>
      <x:c r="F35" s="14" t="str">
        <x:v>Planned</x:v>
      </x:c>
      <x:c r="G35" s="34" t="n">
        <x:v>0.1</x:v>
      </x:c>
      <x:c r="H35" s="14" t="str"/>
    </x:row>
    <x:row r="36">
      <x:c r="A36" s="14" t="str">
        <x:v>AIH-011</x:v>
      </x:c>
      <x:c r="B36" s="14" t="str">
        <x:v>Service Account Performs Agentic Actions</x:v>
      </x:c>
      <x:c r="C36" s="14" t="n">
        <x:v>20</x:v>
      </x:c>
      <x:c r="D36" s="14" t="str">
        <x:v>Critical</x:v>
      </x:c>
      <x:c r="E36" s="14" t="str">
        <x:v>Critical</x:v>
      </x:c>
      <x:c r="F36" s="14" t="str">
        <x:v>Planned</x:v>
      </x:c>
      <x:c r="G36" s="34" t="n">
        <x:v>0.05</x:v>
      </x:c>
      <x:c r="H36" s="14" t="str"/>
    </x:row>
    <x:row r="37">
      <x:c r="A37" s="14" t="str">
        <x:v>AIH-013</x:v>
      </x:c>
      <x:c r="B37" s="14" t="str">
        <x:v>Lateral Movement After Agent Activity</x:v>
      </x:c>
      <x:c r="C37" s="14" t="n">
        <x:v>20</x:v>
      </x:c>
      <x:c r="D37" s="14" t="str">
        <x:v>Critical</x:v>
      </x:c>
      <x:c r="E37" s="14" t="str">
        <x:v>Critical</x:v>
      </x:c>
      <x:c r="F37" s="14" t="str">
        <x:v>Planned</x:v>
      </x:c>
      <x:c r="G37" s="34" t="n">
        <x:v>0.05</x:v>
      </x:c>
      <x:c r="H37" s="14" t="str"/>
    </x:row>
  </x:sheetData>
  <x:mergeCells>
    <x:mergeCell ref="A1:H1"/>
    <x:mergeCell ref="A2:H2"/>
    <x:mergeCell ref="A4:H4"/>
    <x:mergeCell ref="A6:B6"/>
    <x:mergeCell ref="C6:D6"/>
    <x:mergeCell ref="E6:F6"/>
    <x:mergeCell ref="G6:H6"/>
    <x:mergeCell ref="A9:B9"/>
    <x:mergeCell ref="C9:D9"/>
    <x:mergeCell ref="E9:F9"/>
    <x:mergeCell ref="G9:H9"/>
    <x:mergeCell ref="A7:B8"/>
    <x:mergeCell ref="C7:D8"/>
    <x:mergeCell ref="E7:F8"/>
    <x:mergeCell ref="G7:H8"/>
    <x:mergeCell ref="A10:B11"/>
    <x:mergeCell ref="C10:D11"/>
    <x:mergeCell ref="E10:F11"/>
    <x:mergeCell ref="G10:H11"/>
    <x:mergeCell ref="A30:H30"/>
  </x:mergeCells>
  <x:conditionalFormatting sqref="C33:C37">
    <x:cfRule type="colorScale" priority="1">
      <x:colorScale>
        <x:cfvo type="min"/>
        <x:cfvo type="percentile" val="50"/>
        <x:cfvo type="max"/>
        <x:color rgb="FFE2F0D9"/>
        <x:color rgb="FFFFF2CC"/>
        <x:color rgb="FFF4CCCC"/>
      </x:colorScale>
    </x:cfRule>
  </x:conditionalFormatting>
  <x:conditionalFormatting sqref="G33:G37">
    <x:cfRule type="dataBar" priority="2">
      <x:dataBar>
        <x:cfvo type="min"/>
        <x:cfvo type="max"/>
        <x:color rgb="FF1F4E78"/>
      </x:dataBar>
      <x:extLst>
        <x:ext xmlns:x14="http://schemas.microsoft.com/office/spreadsheetml/2009/9/main" uri="{B025F937-C7B1-47D3-B67F-A62EFF666E3E}">
          <x14:id>{3FFC1C1C-59E2-7D54-C565-61E837AD61DB}</x14:id>
        </x:ext>
      </x:extLst>
    </x:cfRule>
  </x:conditionalFormatting>
  <x:pageMargins left="0.7" right="0.7" top="0.75" bottom="0.75" header="0.3" footer="0.3"/>
  <x:drawing xmlns:r="http://schemas.openxmlformats.org/officeDocument/2006/relationships" r:id="R5b08670506b94018"/>
  <x:tableParts count="1">
    <x:tablePart xmlns:r="http://schemas.openxmlformats.org/officeDocument/2006/relationships" r:id="R2dd3d5f65af34f26"/>
  </x:tableParts>
  <x:extLst>
    <x:ext xmlns:x14="http://schemas.microsoft.com/office/spreadsheetml/2009/9/main" xmlns:xm="http://schemas.microsoft.com/office/excel/2006/main" uri="{78C0D931-6437-407d-A8EE-F0AAD7539E65}">
      <x14:conditionalFormattings>
        <x14:conditionalFormatting>
          <x14:cfRule type="dataBar" priority="2" id="{3FFC1C1C-59E2-7D54-C565-61E837AD61DB}">
            <x14:dataBar gradient="1">
              <x14:cfvo type="min"/>
              <x14:cfvo type="max"/>
              <x14:fillColor rgb="FF1F4E78"/>
            </x14:dataBar>
          </x14:cfRule>
          <xm:sqref>G33:G37</xm:sqref>
        </x14:conditionalFormatting>
      </x14:conditionalFormattings>
    </x:ext>
  </x:extLst>
</x:worksheet>
</file>

<file path=xl/worksheets/sheet3.xml><?xml version="1.0" encoding="utf-8"?>
<x:worksheet xmlns:x="http://schemas.openxmlformats.org/spreadsheetml/2006/main">
  <x:sheetFormatPr defaultRowHeight="15"/>
  <x:cols>
    <x:col min="1" max="1" width="12" hidden="0" customWidth="1"/>
    <x:col min="2" max="2" width="31" hidden="0" customWidth="1"/>
    <x:col min="3" max="3" width="42" hidden="0" customWidth="1"/>
    <x:col min="4" max="4" width="38" hidden="0" customWidth="1"/>
    <x:col min="5" max="5" width="31" hidden="0" customWidth="1"/>
    <x:col min="6" max="6" width="31" hidden="0" customWidth="1"/>
    <x:col min="7" max="7" width="30" hidden="0" customWidth="1"/>
    <x:col min="8" max="8" width="16" hidden="0" customWidth="1"/>
    <x:col min="9" max="9" width="12" hidden="0" customWidth="1"/>
    <x:col min="10" max="10" width="12" hidden="0" customWidth="1"/>
    <x:col min="11" max="11" width="11" hidden="0" customWidth="1"/>
    <x:col min="12" max="12" width="15" hidden="0" customWidth="1"/>
    <x:col min="13" max="13" width="15" hidden="0" customWidth="1"/>
    <x:col min="14" max="14" width="25" hidden="0" customWidth="1"/>
    <x:col min="15" max="15" width="36" hidden="0" customWidth="1"/>
    <x:col min="16" max="16" width="36" hidden="0" customWidth="1"/>
    <x:col min="17" max="17" width="36" hidden="0" customWidth="1"/>
    <x:col min="18" max="18" width="18" hidden="0" customWidth="1"/>
    <x:col min="19" max="19" width="18" hidden="0" customWidth="1"/>
    <x:col min="20" max="20" width="12" hidden="0" customWidth="1"/>
    <x:col min="21" max="21" width="13" hidden="0" customWidth="1"/>
    <x:col min="22" max="22" width="14" hidden="0" customWidth="1"/>
    <x:col min="23" max="23" width="14" hidden="0" customWidth="1"/>
    <x:col min="24" max="24" width="30" hidden="0" customWidth="1"/>
  </x:cols>
  <x:sheetData>
    <x:row r="1" ht="32" customHeight="1">
      <x:c r="A1" s="21" t="str">
        <x:v>AI-Enabled Threat Detection and Hunting Catalog</x:v>
      </x:c>
      <x:c r="B1" s="21"/>
      <x:c r="C1" s="21"/>
      <x:c r="D1" s="21"/>
      <x:c r="E1" s="21"/>
      <x:c r="F1" s="21"/>
      <x:c r="G1" s="21"/>
      <x:c r="H1" s="21"/>
      <x:c r="I1" s="21"/>
      <x:c r="J1" s="21"/>
      <x:c r="K1" s="21"/>
      <x:c r="L1" s="21"/>
      <x:c r="M1" s="21"/>
      <x:c r="N1" s="21"/>
      <x:c r="O1" s="21"/>
      <x:c r="P1" s="21"/>
      <x:c r="Q1" s="21"/>
      <x:c r="R1" s="21"/>
      <x:c r="S1" s="21"/>
      <x:c r="T1" s="21"/>
      <x:c r="U1" s="21"/>
      <x:c r="V1" s="21"/>
      <x:c r="W1" s="21"/>
      <x:c r="X1" s="21"/>
    </x:row>
    <x:row r="2">
      <x:c r="A2" s="28" t="str">
        <x:v>Author: Yuval Sinay | Version 1.0 | Date: 2026-08-05 | Purpose: Defensive detection engineering and threat hunting</x:v>
      </x:c>
      <x:c r="B2" s="28"/>
      <x:c r="C2" s="28"/>
      <x:c r="D2" s="28"/>
      <x:c r="E2" s="28"/>
      <x:c r="F2" s="28"/>
      <x:c r="G2" s="28"/>
      <x:c r="H2" s="28"/>
      <x:c r="I2" s="28"/>
      <x:c r="J2" s="28"/>
      <x:c r="K2" s="28"/>
      <x:c r="L2" s="28"/>
      <x:c r="M2" s="28"/>
      <x:c r="N2" s="28"/>
      <x:c r="O2" s="28"/>
      <x:c r="P2" s="28"/>
      <x:c r="Q2" s="28"/>
      <x:c r="R2" s="28"/>
      <x:c r="S2" s="28"/>
      <x:c r="T2" s="28"/>
      <x:c r="U2" s="28"/>
      <x:c r="V2" s="28"/>
      <x:c r="W2" s="28"/>
      <x:c r="X2" s="28"/>
    </x:row>
    <x:row r="4" ht="44" customHeight="1">
      <x:c r="A4" s="6" t="str">
        <x:v>Scenario ID</x:v>
      </x:c>
      <x:c r="B4" s="6" t="str">
        <x:v>Detection / Hunt Scenario</x:v>
      </x:c>
      <x:c r="C4" s="6" t="str">
        <x:v>Detection Logic</x:v>
      </x:c>
      <x:c r="D4" s="6" t="str">
        <x:v>Threat Hypothesis</x:v>
      </x:c>
      <x:c r="E4" s="6" t="str">
        <x:v>Primary Data Sources</x:v>
      </x:c>
      <x:c r="F4" s="6" t="str">
        <x:v>Secondary Data Sources</x:v>
      </x:c>
      <x:c r="G4" s="6" t="str">
        <x:v>Key Entities</x:v>
      </x:c>
      <x:c r="H4" s="6" t="str">
        <x:v>Detection Window</x:v>
      </x:c>
      <x:c r="I4" s="6" t="str">
        <x:v>Likelihood (1-5)</x:v>
      </x:c>
      <x:c r="J4" s="6" t="str">
        <x:v>Impact (1-5)</x:v>
      </x:c>
      <x:c r="K4" s="6" t="str">
        <x:v>Risk Score</x:v>
      </x:c>
      <x:c r="L4" s="6" t="str">
        <x:v>Priority</x:v>
      </x:c>
      <x:c r="M4" s="6" t="str">
        <x:v>Suggested Severity</x:v>
      </x:c>
      <x:c r="N4" s="6" t="str">
        <x:v>MITRE ATT&amp;CK Tactic(s)</x:v>
      </x:c>
      <x:c r="O4" s="6" t="str">
        <x:v>Likely False Positives</x:v>
      </x:c>
      <x:c r="P4" s="6" t="str">
        <x:v>Tuning Guidance</x:v>
      </x:c>
      <x:c r="Q4" s="6" t="str">
        <x:v>Initial Response Actions</x:v>
      </x:c>
      <x:c r="R4" s="6" t="str">
        <x:v>Detection Status</x:v>
      </x:c>
      <x:c r="S4" s="6" t="str">
        <x:v>Owner</x:v>
      </x:c>
      <x:c r="T4" s="6" t="str">
        <x:v>Coverage %</x:v>
      </x:c>
      <x:c r="U4" s="6" t="str">
        <x:v>Confidence</x:v>
      </x:c>
      <x:c r="V4" s="6" t="str">
        <x:v>Last Tested</x:v>
      </x:c>
      <x:c r="W4" s="6" t="str">
        <x:v>Next Review</x:v>
      </x:c>
      <x:c r="X4" s="6" t="str">
        <x:v>Analyst Notes</x:v>
      </x:c>
    </x:row>
    <x:row r="5" ht="72" customHeight="1">
      <x:c r="A5" s="14" t="str">
        <x:v>AIH-001</x:v>
      </x:c>
      <x:c r="B5" s="14" t="str">
        <x:v>Unexpected Process Calls an LLM</x:v>
      </x:c>
      <x:c r="C5" s="14" t="str">
        <x:v>Detect an unapproved script interpreter, service, or binary communicating with a model API or AI inference endpoint.</x:v>
      </x:c>
      <x:c r="D5" s="14" t="str">
        <x:v>A compromised or unauthorized process is using an LLM for command generation, analysis, payload creation, or operational support.</x:v>
      </x:c>
      <x:c r="E5" s="14" t="str">
        <x:v>EDR process telemetry; DNS; proxy; TLS/network logs; AI gateway/API logs</x:v>
      </x:c>
      <x:c r="F5" s="14" t="str">
        <x:v>Application allowlisting; firewall; CASB/SSE; endpoint network events</x:v>
      </x:c>
      <x:c r="G5" s="14" t="str">
        <x:v>Process name; parent process; user; host; destination domain; API endpoint; API key identifier</x:v>
      </x:c>
      <x:c r="H5" s="14" t="str">
        <x:v>5-15 minutes</x:v>
      </x:c>
      <x:c r="I5" s="32" t="n">
        <x:v>4</x:v>
      </x:c>
      <x:c r="J5" s="32" t="n">
        <x:v>5</x:v>
      </x:c>
      <x:c r="K5" s="32" t="n">
        <x:f>I5*J5</x:f>
        <x:v>20</x:v>
      </x:c>
      <x:c r="L5" s="14" t="str">
        <x:f>IF(K5&gt;=20,"Critical",IF(K5&gt;=15,"High",IF(K5&gt;=8,"Medium","Low")))</x:f>
        <x:v>Critical</x:v>
      </x:c>
      <x:c r="M5" s="14" t="str">
        <x:v>High</x:v>
      </x:c>
      <x:c r="N5" s="14" t="str">
        <x:v>Execution; Command and Control</x:v>
      </x:c>
      <x:c r="O5" s="14" t="str">
        <x:v>Approved developer tools, automation services, security testing, AI-enabled business applications</x:v>
      </x:c>
      <x:c r="P5" s="14" t="str">
        <x:v>Baseline approved AI clients by host role; allowlist signed binaries; suppress sanctioned developer environments; correlate with process ancestry.</x:v>
      </x:c>
      <x:c r="Q5" s="14" t="str">
        <x:v>Isolate the process if unauthorized; revoke exposed API credentials; preserve process tree and network evidence; review generated files and child processes.</x:v>
      </x:c>
      <x:c r="R5" s="14" t="str">
        <x:v>Planned</x:v>
      </x:c>
      <x:c r="S5" s="14" t="str"/>
      <x:c r="T5" s="34" t="n">
        <x:v>0.1</x:v>
      </x:c>
      <x:c r="U5" s="14" t="str">
        <x:v>High</x:v>
      </x:c>
      <x:c r="V5" s="36"/>
      <x:c r="W5" s="36"/>
      <x:c r="X5" s="14" t="str"/>
    </x:row>
    <x:row r="6" ht="72" customHeight="1">
      <x:c r="A6" s="14" t="str">
        <x:v>AIH-002</x:v>
      </x:c>
      <x:c r="B6" s="14" t="str">
        <x:v>AI Response Followed by Code Execution</x:v>
      </x:c>
      <x:c r="C6" s="14" t="str">
        <x:v>Correlate a model API response with file creation, runtime compilation, shell execution, or a new child process on the same host and session.</x:v>
      </x:c>
      <x:c r="D6" s="14" t="str">
        <x:v>An attacker or compromised agent is converting model output directly into executable code or commands.</x:v>
      </x:c>
      <x:c r="E6" s="14" t="str">
        <x:v>AI gateway/API logs; EDR process events; file creation; command-line telemetry</x:v>
      </x:c>
      <x:c r="F6" s="14" t="str">
        <x:v>Proxy; DNS; script block logs; application logs; container runtime logs</x:v>
      </x:c>
      <x:c r="G6" s="14" t="str">
        <x:v>AI session; process; child process; file path; command line; user; host</x:v>
      </x:c>
      <x:c r="H6" s="14" t="str">
        <x:v>0-10 minutes</x:v>
      </x:c>
      <x:c r="I6" s="32" t="n">
        <x:v>4</x:v>
      </x:c>
      <x:c r="J6" s="32" t="n">
        <x:v>5</x:v>
      </x:c>
      <x:c r="K6" s="32" t="n">
        <x:f>I6*J6</x:f>
        <x:v>20</x:v>
      </x:c>
      <x:c r="L6" s="14" t="str">
        <x:f>IF(K6&gt;=20,"Critical",IF(K6&gt;=15,"High",IF(K6&gt;=8,"Medium","Low")))</x:f>
        <x:v>Critical</x:v>
      </x:c>
      <x:c r="M6" s="14" t="str">
        <x:v>Critical</x:v>
      </x:c>
      <x:c r="N6" s="14" t="str">
        <x:v>Execution; Defense Evasion</x:v>
      </x:c>
      <x:c r="O6" s="14" t="str">
        <x:v>Approved coding assistants, CI/CD builds, interactive development sessions</x:v>
      </x:c>
      <x:c r="P6" s="14" t="str">
        <x:v>Restrict to non-development hosts; require session correlation; detect unsigned or temporary outputs; exclude approved build directories and runners.</x:v>
      </x:c>
      <x:c r="Q6" s="14" t="str">
        <x:v>Suspend the AI session or agent; terminate unauthorized execution; quarantine generated artifacts; rotate relevant credentials; initiate malware triage.</x:v>
      </x:c>
      <x:c r="R6" s="14" t="str">
        <x:v>Planned</x:v>
      </x:c>
      <x:c r="S6" s="14" t="str"/>
      <x:c r="T6" s="34" t="n">
        <x:v>0.05</x:v>
      </x:c>
      <x:c r="U6" s="14" t="str">
        <x:v>High</x:v>
      </x:c>
      <x:c r="V6" s="36"/>
      <x:c r="W6" s="36"/>
      <x:c r="X6" s="14" t="str"/>
    </x:row>
    <x:row r="7" ht="72" customHeight="1">
      <x:c r="A7" s="14" t="str">
        <x:v>AIH-003</x:v>
      </x:c>
      <x:c r="B7" s="14" t="str">
        <x:v>Runtime Compilation Outside Development</x:v>
      </x:c>
      <x:c r="C7" s="14" t="str">
        <x:v>Detect unusual use of Roslyn, csc.exe, MSBuild, CSharpCodeProvider, javac, or equivalent compilers outside approved development and build environments.</x:v>
      </x:c>
      <x:c r="D7" s="14" t="str">
        <x:v>Model-generated source code is being compiled just in time to evade static detection or create a payload dynamically.</x:v>
      </x:c>
      <x:c r="E7" s="14" t="str">
        <x:v>EDR process creation; command lines; module loads; file creation</x:v>
      </x:c>
      <x:c r="F7" s="14" t="str">
        <x:v>Application control; software inventory; CI/CD logs; AI gateway logs</x:v>
      </x:c>
      <x:c r="G7" s="14" t="str">
        <x:v>Compiler process; parent process; user; host role; source path; output binary</x:v>
      </x:c>
      <x:c r="H7" s="14" t="str">
        <x:v>5-30 minutes</x:v>
      </x:c>
      <x:c r="I7" s="32" t="n">
        <x:v>4</x:v>
      </x:c>
      <x:c r="J7" s="32" t="n">
        <x:v>5</x:v>
      </x:c>
      <x:c r="K7" s="32" t="n">
        <x:f>I7*J7</x:f>
        <x:v>20</x:v>
      </x:c>
      <x:c r="L7" s="14" t="str">
        <x:f>IF(K7&gt;=20,"Critical",IF(K7&gt;=15,"High",IF(K7&gt;=8,"Medium","Low")))</x:f>
        <x:v>Critical</x:v>
      </x:c>
      <x:c r="M7" s="14" t="str">
        <x:v>High</x:v>
      </x:c>
      <x:c r="N7" s="14" t="str">
        <x:v>Execution; Defense Evasion</x:v>
      </x:c>
      <x:c r="O7" s="14" t="str">
        <x:v>Administrative scripts, approved deployment tools, software installation, legitimate build jobs</x:v>
      </x:c>
      <x:c r="P7" s="14" t="str">
        <x:v>Maintain compiler allowlists by asset role; detect compilation from temporary or user profile paths; correlate with recent AI API traffic.</x:v>
      </x:c>
      <x:c r="Q7" s="14" t="str">
        <x:v>Collect source and output files; identify parent process and initiating user; block unauthorized compiler execution; inspect memory and persistence.</x:v>
      </x:c>
      <x:c r="R7" s="14" t="str">
        <x:v>Planned</x:v>
      </x:c>
      <x:c r="S7" s="14" t="str"/>
      <x:c r="T7" s="34" t="n">
        <x:v>0.15</x:v>
      </x:c>
      <x:c r="U7" s="14" t="str">
        <x:v>High</x:v>
      </x:c>
      <x:c r="V7" s="36"/>
      <x:c r="W7" s="36"/>
      <x:c r="X7" s="14" t="str"/>
    </x:row>
    <x:row r="8" ht="72" customHeight="1">
      <x:c r="A8" s="14" t="str">
        <x:v>AIH-004</x:v>
      </x:c>
      <x:c r="B8" s="14" t="str">
        <x:v>AI Agent or CLI Accesses Secrets</x:v>
      </x:c>
      <x:c r="C8" s="14" t="str">
        <x:v>Detect a coding agent, AI CLI, or local inference tool accessing credential files, wallets, cloud configuration, tokens, or secret stores.</x:v>
      </x:c>
      <x:c r="D8" s="14" t="str">
        <x:v>A threat actor is using an approved AI tool as a living-off-the-land mechanism to discover and extract secrets.</x:v>
      </x:c>
      <x:c r="E8" s="14" t="str">
        <x:v>EDR file access; DLP; AI agent audit logs; secret manager logs</x:v>
      </x:c>
      <x:c r="F8" s="14" t="str">
        <x:v>Cloud audit logs; Git telemetry; command history; endpoint application logs</x:v>
      </x:c>
      <x:c r="G8" s="14" t="str">
        <x:v>Agent process; user; file path; secret type; repository; API token</x:v>
      </x:c>
      <x:c r="H8" s="14" t="str">
        <x:v>1-15 minutes</x:v>
      </x:c>
      <x:c r="I8" s="32" t="n">
        <x:v>5</x:v>
      </x:c>
      <x:c r="J8" s="32" t="n">
        <x:v>5</x:v>
      </x:c>
      <x:c r="K8" s="32" t="n">
        <x:f>I8*J8</x:f>
        <x:v>25</x:v>
      </x:c>
      <x:c r="L8" s="14" t="str">
        <x:f>IF(K8&gt;=20,"Critical",IF(K8&gt;=15,"High",IF(K8&gt;=8,"Medium","Low")))</x:f>
        <x:v>Critical</x:v>
      </x:c>
      <x:c r="M8" s="14" t="str">
        <x:v>Critical</x:v>
      </x:c>
      <x:c r="N8" s="14" t="str">
        <x:v>Credential Access; Collection</x:v>
      </x:c>
      <x:c r="O8" s="14" t="str">
        <x:v>Approved secret scanning, developer troubleshooting, security assessments</x:v>
      </x:c>
      <x:c r="P8" s="14" t="str">
        <x:v>Define protected paths and secret patterns; distinguish read-only scans from export or shell actions; baseline approved tools and repositories.</x:v>
      </x:c>
      <x:c r="Q8" s="14" t="str">
        <x:v>Terminate or suspend the agent; revoke accessed secrets; inspect prompts and tool calls; review repositories and cloud sessions for follow-on activity.</x:v>
      </x:c>
      <x:c r="R8" s="14" t="str">
        <x:v>Planned</x:v>
      </x:c>
      <x:c r="S8" s="14" t="str"/>
      <x:c r="T8" s="34" t="n">
        <x:v>0.05</x:v>
      </x:c>
      <x:c r="U8" s="14" t="str">
        <x:v>High</x:v>
      </x:c>
      <x:c r="V8" s="36"/>
      <x:c r="W8" s="36"/>
      <x:c r="X8" s="14" t="str"/>
    </x:row>
    <x:row r="9" ht="72" customHeight="1">
      <x:c r="A9" s="14" t="str">
        <x:v>AIH-005</x:v>
      </x:c>
      <x:c r="B9" s="14" t="str">
        <x:v>AI Share Link Followed by Shell Execution</x:v>
      </x:c>
      <x:c r="C9" s="14" t="str">
        <x:v>Correlate access to a publicly shared AI conversation with subsequent Terminal, PowerShell, cmd.exe, Run dialog, or script execution.</x:v>
      </x:c>
      <x:c r="D9" s="14" t="str">
        <x:v>A ClickFix-style campaign is using a trusted AI domain to host malicious instructions that the victim manually executes.</x:v>
      </x:c>
      <x:c r="E9" s="14" t="str">
        <x:v>Secure web gateway; browser history; EDR process creation; PowerShell and shell logs</x:v>
      </x:c>
      <x:c r="F9" s="14" t="str">
        <x:v>Email security; DNS; URL filtering; clipboard telemetry where available</x:v>
      </x:c>
      <x:c r="G9" s="14" t="str">
        <x:v>User; browser; shared conversation URL; shell process; command line; download</x:v>
      </x:c>
      <x:c r="H9" s="14" t="str">
        <x:v>0-30 minutes</x:v>
      </x:c>
      <x:c r="I9" s="32" t="n">
        <x:v>5</x:v>
      </x:c>
      <x:c r="J9" s="32" t="n">
        <x:v>4</x:v>
      </x:c>
      <x:c r="K9" s="32" t="n">
        <x:f>I9*J9</x:f>
        <x:v>20</x:v>
      </x:c>
      <x:c r="L9" s="14" t="str">
        <x:f>IF(K9&gt;=20,"Critical",IF(K9&gt;=15,"High",IF(K9&gt;=8,"Medium","Low")))</x:f>
        <x:v>Critical</x:v>
      </x:c>
      <x:c r="M9" s="14" t="str">
        <x:v>High</x:v>
      </x:c>
      <x:c r="N9" s="14" t="str">
        <x:v>Initial Access; User Execution</x:v>
      </x:c>
      <x:c r="O9" s="14" t="str">
        <x:v>Legitimate troubleshooting instructions, training exercises, administrator support</x:v>
      </x:c>
      <x:c r="P9" s="14" t="str">
        <x:v>Focus on commands launched shortly after share-link access; detect encoded or download-and-execute commands; suppress authorized IT support portals.</x:v>
      </x:c>
      <x:c r="Q9" s="14" t="str">
        <x:v>Block the command or isolate the endpoint; collect browser and clipboard artifacts; reset exposed credentials; identify the initial lure and affected users.</x:v>
      </x:c>
      <x:c r="R9" s="14" t="str">
        <x:v>Planned</x:v>
      </x:c>
      <x:c r="S9" s="14" t="str"/>
      <x:c r="T9" s="34" t="n">
        <x:v>0.1</x:v>
      </x:c>
      <x:c r="U9" s="14" t="str">
        <x:v>High</x:v>
      </x:c>
      <x:c r="V9" s="36"/>
      <x:c r="W9" s="36"/>
      <x:c r="X9" s="14" t="str"/>
    </x:row>
    <x:row r="10" ht="72" customHeight="1">
      <x:c r="A10" s="14" t="str">
        <x:v>AIH-006</x:v>
      </x:c>
      <x:c r="B10" s="14" t="str">
        <x:v>New-Domain BaaS Credential Collection</x:v>
      </x:c>
      <x:c r="C10" s="14" t="str">
        <x:v>Detect a newly registered or low-reputation site communicating with Supabase, Firebase, or similar backend services while submitting credential-like data.</x:v>
      </x:c>
      <x:c r="D10" s="14" t="str">
        <x:v>An AI-generated phishing site is using legitimate Backend-as-a-Service infrastructure to receive stolen credentials or tokens.</x:v>
      </x:c>
      <x:c r="E10" s="14" t="str">
        <x:v>Web proxy; DNS; TLS metadata; DLP; browser telemetry</x:v>
      </x:c>
      <x:c r="F10" s="14" t="str">
        <x:v>Email security; domain registration intelligence; SaaS audit logs</x:v>
      </x:c>
      <x:c r="G10" s="14" t="str">
        <x:v>Source URL; BaaS project; destination endpoint; form fields; user; submitted data type</x:v>
      </x:c>
      <x:c r="H10" s="14" t="str">
        <x:v>Real time to 30 minutes</x:v>
      </x:c>
      <x:c r="I10" s="32" t="n">
        <x:v>4</x:v>
      </x:c>
      <x:c r="J10" s="32" t="n">
        <x:v>4</x:v>
      </x:c>
      <x:c r="K10" s="32" t="n">
        <x:f>I10*J10</x:f>
        <x:v>16</x:v>
      </x:c>
      <x:c r="L10" s="14" t="str">
        <x:f>IF(K10&gt;=20,"Critical",IF(K10&gt;=15,"High",IF(K10&gt;=8,"Medium","Low")))</x:f>
        <x:v>High</x:v>
      </x:c>
      <x:c r="M10" s="14" t="str">
        <x:v>High</x:v>
      </x:c>
      <x:c r="N10" s="14" t="str">
        <x:v>Credential Access; Exfiltration</x:v>
      </x:c>
      <x:c r="O10" s="14" t="str">
        <x:v>Legitimate startups, internal prototypes, sanctioned SaaS applications</x:v>
      </x:c>
      <x:c r="P10" s="14" t="str">
        <x:v>Combine domain age, brand mismatch, referrer, user population, form behavior, and destination project reputation; avoid blocking BaaS platforms globally.</x:v>
      </x:c>
      <x:c r="Q10" s="14" t="str">
        <x:v>Block the source domain and project endpoint; reset submitted credentials; search for related lures; notify the BaaS provider where appropriate.</x:v>
      </x:c>
      <x:c r="R10" s="14" t="str">
        <x:v>Planned</x:v>
      </x:c>
      <x:c r="S10" s="14" t="str"/>
      <x:c r="T10" s="34" t="n">
        <x:v>0.05</x:v>
      </x:c>
      <x:c r="U10" s="14" t="str">
        <x:v>Medium</x:v>
      </x:c>
      <x:c r="V10" s="36"/>
      <x:c r="W10" s="36"/>
      <x:c r="X10" s="14" t="str"/>
    </x:row>
    <x:row r="11" ht="72" customHeight="1">
      <x:c r="A11" s="14" t="str">
        <x:v>AIH-007</x:v>
      </x:c>
      <x:c r="B11" s="14" t="str">
        <x:v>Unusual AI Traffic from a Server</x:v>
      </x:c>
      <x:c r="C11" s="14" t="str">
        <x:v>Detect production servers, domain controllers, appliances, or workloads without an approved AI use case communicating with external model endpoints.</x:v>
      </x:c>
      <x:c r="D11" s="14" t="str">
        <x:v>Malware or an intruder is using an LLM from a server for dynamic command generation, analysis, or control.</x:v>
      </x:c>
      <x:c r="E11" s="14" t="str">
        <x:v>Firewall; proxy; DNS; workload network telemetry; cloud flow logs</x:v>
      </x:c>
      <x:c r="F11" s="14" t="str">
        <x:v>AI gateway logs; EDR; container logs; service inventory</x:v>
      </x:c>
      <x:c r="G11" s="14" t="str">
        <x:v>Server; workload identity; process; destination; bytes transferred; API model</x:v>
      </x:c>
      <x:c r="H11" s="14" t="str">
        <x:v>5-60 minutes</x:v>
      </x:c>
      <x:c r="I11" s="32" t="n">
        <x:v>4</x:v>
      </x:c>
      <x:c r="J11" s="32" t="n">
        <x:v>5</x:v>
      </x:c>
      <x:c r="K11" s="32" t="n">
        <x:f>I11*J11</x:f>
        <x:v>20</x:v>
      </x:c>
      <x:c r="L11" s="14" t="str">
        <x:f>IF(K11&gt;=20,"Critical",IF(K11&gt;=15,"High",IF(K11&gt;=8,"Medium","Low")))</x:f>
        <x:v>Critical</x:v>
      </x:c>
      <x:c r="M11" s="14" t="str">
        <x:v>Critical</x:v>
      </x:c>
      <x:c r="N11" s="14" t="str">
        <x:v>Command and Control; Execution</x:v>
      </x:c>
      <x:c r="O11" s="14" t="str">
        <x:v>Approved analytics workloads, observability agents, embedded AI features</x:v>
      </x:c>
      <x:c r="P11" s="14" t="str">
        <x:v>Use asset-role baselines; require approved workload identities; alert on first-seen destinations and direct-to-provider access that bypasses the AI gateway.</x:v>
      </x:c>
      <x:c r="Q11" s="14" t="str">
        <x:v>Restrict egress; identify the initiating process; revoke workload credentials; inspect for persistence and lateral movement.</x:v>
      </x:c>
      <x:c r="R11" s="14" t="str">
        <x:v>Planned</x:v>
      </x:c>
      <x:c r="S11" s="14" t="str"/>
      <x:c r="T11" s="34" t="n">
        <x:v>0.1</x:v>
      </x:c>
      <x:c r="U11" s="14" t="str">
        <x:v>High</x:v>
      </x:c>
      <x:c r="V11" s="36"/>
      <x:c r="W11" s="36"/>
      <x:c r="X11" s="14" t="str"/>
    </x:row>
    <x:row r="12" ht="72" customHeight="1">
      <x:c r="A12" s="14" t="str">
        <x:v>AIH-008</x:v>
      </x:c>
      <x:c r="B12" s="14" t="str">
        <x:v>Self-Modification After Model Interaction</x:v>
      </x:c>
      <x:c r="C12" s="14" t="str">
        <x:v>Detect a process receiving model output and then modifying its own source, executable, startup entry, scheduled task, or persistence configuration.</x:v>
      </x:c>
      <x:c r="D12" s="14" t="str">
        <x:v>AI is being used to generate polymorphic or self-modifying code and to alter execution or persistence dynamically.</x:v>
      </x:c>
      <x:c r="E12" s="14" t="str">
        <x:v>EDR file integrity; process telemetry; AI API logs; registry and scheduled task events</x:v>
      </x:c>
      <x:c r="F12" s="14" t="str">
        <x:v>Version control; application logs; sandbox telemetry</x:v>
      </x:c>
      <x:c r="G12" s="14" t="str">
        <x:v>Process; modified file; persistence object; model session; hash; signer</x:v>
      </x:c>
      <x:c r="H12" s="14" t="str">
        <x:v>0-30 minutes</x:v>
      </x:c>
      <x:c r="I12" s="32" t="n">
        <x:v>3</x:v>
      </x:c>
      <x:c r="J12" s="32" t="n">
        <x:v>5</x:v>
      </x:c>
      <x:c r="K12" s="32" t="n">
        <x:f>I12*J12</x:f>
        <x:v>15</x:v>
      </x:c>
      <x:c r="L12" s="14" t="str">
        <x:f>IF(K12&gt;=20,"Critical",IF(K12&gt;=15,"High",IF(K12&gt;=8,"Medium","Low")))</x:f>
        <x:v>High</x:v>
      </x:c>
      <x:c r="M12" s="14" t="str">
        <x:v>High</x:v>
      </x:c>
      <x:c r="N12" s="14" t="str">
        <x:v>Defense Evasion; Persistence</x:v>
      </x:c>
      <x:c r="O12" s="14" t="str">
        <x:v>Self-updating applications, legitimate agents, development hot reload, software patching</x:v>
      </x:c>
      <x:c r="P12" s="14" t="str">
        <x:v>Require signed updates; correlate changes with approved update channels; prioritize changes in user-writable and startup locations.</x:v>
      </x:c>
      <x:c r="Q12" s="14" t="str">
        <x:v>Quarantine modified files; stop the process; preserve pre-change and post-change versions; inspect persistence and outbound communication.</x:v>
      </x:c>
      <x:c r="R12" s="14" t="str">
        <x:v>Planned</x:v>
      </x:c>
      <x:c r="S12" s="14" t="str"/>
      <x:c r="T12" s="34" t="n">
        <x:v>0.05</x:v>
      </x:c>
      <x:c r="U12" s="14" t="str">
        <x:v>Medium</x:v>
      </x:c>
      <x:c r="V12" s="36"/>
      <x:c r="W12" s="36"/>
      <x:c r="X12" s="14" t="str"/>
    </x:row>
    <x:row r="13" ht="72" customHeight="1">
      <x:c r="A13" s="14" t="str">
        <x:v>AIH-009</x:v>
      </x:c>
      <x:c r="B13" s="14" t="str">
        <x:v>Abnormal GPU or Local Inference Activity</x:v>
      </x:c>
      <x:c r="C13" s="14" t="str">
        <x:v>Detect non-ML endpoints loading large model weights, starting inference runtimes, or showing sustained GPU utilization inconsistent with their role.</x:v>
      </x:c>
      <x:c r="D13" s="14" t="str">
        <x:v>A threat actor is running a local model to avoid cloud-provider monitoring, analyze stolen data, or generate payloads offline.</x:v>
      </x:c>
      <x:c r="E13" s="14" t="str">
        <x:v>Endpoint process telemetry; GPU monitoring; file inventory; container runtime</x:v>
      </x:c>
      <x:c r="F13" s="14" t="str">
        <x:v>Software inventory; EDR network data; local listening ports; package manager logs</x:v>
      </x:c>
      <x:c r="G13" s="14" t="str">
        <x:v>Host; GPU process; model file; runtime; local port; user; container</x:v>
      </x:c>
      <x:c r="H13" s="14" t="str">
        <x:v>15-120 minutes</x:v>
      </x:c>
      <x:c r="I13" s="32" t="n">
        <x:v>3</x:v>
      </x:c>
      <x:c r="J13" s="32" t="n">
        <x:v>4</x:v>
      </x:c>
      <x:c r="K13" s="32" t="n">
        <x:f>I13*J13</x:f>
        <x:v>12</x:v>
      </x:c>
      <x:c r="L13" s="14" t="str">
        <x:f>IF(K13&gt;=20,"Critical",IF(K13&gt;=15,"High",IF(K13&gt;=8,"Medium","Low")))</x:f>
        <x:v>Medium</x:v>
      </x:c>
      <x:c r="M13" s="14" t="str">
        <x:v>Medium</x:v>
      </x:c>
      <x:c r="N13" s="14" t="str">
        <x:v>Execution; Defense Evasion</x:v>
      </x:c>
      <x:c r="O13" s="14" t="str">
        <x:v>Graphics workloads, approved local AI applications, video processing, data science</x:v>
      </x:c>
      <x:c r="P13" s="14" t="str">
        <x:v>Baseline GPU and model usage by asset class; detect model files in temporary or user profile paths; allowlist approved runtimes and hashes.</x:v>
      </x:c>
      <x:c r="Q13" s="14" t="str">
        <x:v>Validate business purpose; isolate unauthorized runtimes; preserve model files and prompts; inspect local services and accessed data.</x:v>
      </x:c>
      <x:c r="R13" s="14" t="str">
        <x:v>Planned</x:v>
      </x:c>
      <x:c r="S13" s="14" t="str"/>
      <x:c r="T13" s="34" t="n">
        <x:v>0.05</x:v>
      </x:c>
      <x:c r="U13" s="14" t="str">
        <x:v>Medium</x:v>
      </x:c>
      <x:c r="V13" s="36"/>
      <x:c r="W13" s="36"/>
      <x:c r="X13" s="14" t="str"/>
    </x:row>
    <x:row r="14" ht="72" customHeight="1">
      <x:c r="A14" s="14" t="str">
        <x:v>AIH-010</x:v>
      </x:c>
      <x:c r="B14" s="14" t="str">
        <x:v>Multi-Provider AI Usage in a Short Sequence</x:v>
      </x:c>
      <x:c r="C14" s="14" t="str">
        <x:v>Detect the same user, host, API gateway identity, or workload accessing multiple AI providers in an unusual sequence or volume.</x:v>
      </x:c>
      <x:c r="D14" s="14" t="str">
        <x:v>The operator is splitting a malicious workflow across providers to reduce context visibility, evade safeguards, or select the least restrictive model.</x:v>
      </x:c>
      <x:c r="E14" s="14" t="str">
        <x:v>AI gateway; proxy; DNS; identity logs; SaaS access logs</x:v>
      </x:c>
      <x:c r="F14" s="14" t="str">
        <x:v>CASB/SSE; browser telemetry; API management; billing logs</x:v>
      </x:c>
      <x:c r="G14" s="14" t="str">
        <x:v>User; device; workload; provider; model; session; API key</x:v>
      </x:c>
      <x:c r="H14" s="14" t="str">
        <x:v>30 minutes to 24 hours</x:v>
      </x:c>
      <x:c r="I14" s="32" t="n">
        <x:v>3</x:v>
      </x:c>
      <x:c r="J14" s="32" t="n">
        <x:v>4</x:v>
      </x:c>
      <x:c r="K14" s="32" t="n">
        <x:f>I14*J14</x:f>
        <x:v>12</x:v>
      </x:c>
      <x:c r="L14" s="14" t="str">
        <x:f>IF(K14&gt;=20,"Critical",IF(K14&gt;=15,"High",IF(K14&gt;=8,"Medium","Low")))</x:f>
        <x:v>Medium</x:v>
      </x:c>
      <x:c r="M14" s="14" t="str">
        <x:v>Medium</x:v>
      </x:c>
      <x:c r="N14" s="14" t="str">
        <x:v>Defense Evasion; Command and Control</x:v>
      </x:c>
      <x:c r="O14" s="14" t="str">
        <x:v>Researchers, developers comparing models, approved multi-model applications</x:v>
      </x:c>
      <x:c r="P14" s="14" t="str">
        <x:v>Baseline by role and project; correlate with sensitive file access, code execution, or provider switching after refusals and quota errors.</x:v>
      </x:c>
      <x:c r="Q14" s="14" t="str">
        <x:v>Review session intent and accessed data; restrict unapproved providers; rotate exposed keys; examine follow-on endpoint actions.</x:v>
      </x:c>
      <x:c r="R14" s="14" t="str">
        <x:v>Planned</x:v>
      </x:c>
      <x:c r="S14" s="14" t="str"/>
      <x:c r="T14" s="34" t="n">
        <x:v>0.05</x:v>
      </x:c>
      <x:c r="U14" s="14" t="str">
        <x:v>Medium</x:v>
      </x:c>
      <x:c r="V14" s="36"/>
      <x:c r="W14" s="36"/>
      <x:c r="X14" s="14" t="str"/>
    </x:row>
    <x:row r="15" ht="72" customHeight="1">
      <x:c r="A15" s="14" t="str">
        <x:v>AIH-011</x:v>
      </x:c>
      <x:c r="B15" s="14" t="str">
        <x:v>Service Account Performs Agentic Actions</x:v>
      </x:c>
      <x:c r="C15" s="14" t="str">
        <x:v>Detect a service account using shell, browser automation, Git, cloud administration, scanners, or remote management tools without an approved workflow.</x:v>
      </x:c>
      <x:c r="D15" s="14" t="str">
        <x:v>A compromised or overprivileged agent identity is autonomously chaining tools to execute an intrusion.</x:v>
      </x:c>
      <x:c r="E15" s="14" t="str">
        <x:v>IAM and cloud audit logs; agent tool logs; EDR; Git and CI/CD audit logs</x:v>
      </x:c>
      <x:c r="F15" s="14" t="str">
        <x:v>Browser automation logs; PAM; API gateway; network telemetry</x:v>
      </x:c>
      <x:c r="G15" s="14" t="str">
        <x:v>Service account; workload identity; tool; target resource; authorization decision; session</x:v>
      </x:c>
      <x:c r="H15" s="14" t="str">
        <x:v>1-15 minutes</x:v>
      </x:c>
      <x:c r="I15" s="32" t="n">
        <x:v>4</x:v>
      </x:c>
      <x:c r="J15" s="32" t="n">
        <x:v>5</x:v>
      </x:c>
      <x:c r="K15" s="32" t="n">
        <x:f>I15*J15</x:f>
        <x:v>20</x:v>
      </x:c>
      <x:c r="L15" s="14" t="str">
        <x:f>IF(K15&gt;=20,"Critical",IF(K15&gt;=15,"High",IF(K15&gt;=8,"Medium","Low")))</x:f>
        <x:v>Critical</x:v>
      </x:c>
      <x:c r="M15" s="14" t="str">
        <x:v>Critical</x:v>
      </x:c>
      <x:c r="N15" s="14" t="str">
        <x:v>Execution; Privilege Escalation; Collection</x:v>
      </x:c>
      <x:c r="O15" s="14" t="str">
        <x:v>Approved automation, deployment pipelines, security orchestration</x:v>
      </x:c>
      <x:c r="P15" s="14" t="str">
        <x:v>Define tool-level entitlements and expected sequences; require correlation IDs; alert on interactive behavior, new targets, or cross-environment access.</x:v>
      </x:c>
      <x:c r="Q15" s="14" t="str">
        <x:v>Disable the identity or specific tool permission; revoke tokens; preserve agent traces and memory; review all actions in the session.</x:v>
      </x:c>
      <x:c r="R15" s="14" t="str">
        <x:v>Planned</x:v>
      </x:c>
      <x:c r="S15" s="14" t="str"/>
      <x:c r="T15" s="34" t="n">
        <x:v>0.05</x:v>
      </x:c>
      <x:c r="U15" s="14" t="str">
        <x:v>High</x:v>
      </x:c>
      <x:c r="V15" s="36"/>
      <x:c r="W15" s="36"/>
      <x:c r="X15" s="14" t="str"/>
    </x:row>
    <x:row r="16" ht="72" customHeight="1">
      <x:c r="A16" s="14" t="str">
        <x:v>AIH-012</x:v>
      </x:c>
      <x:c r="B16" s="14" t="str">
        <x:v>Excessive Dead or AI-Generated Decoy Code</x:v>
      </x:c>
      <x:c r="C16" s="14" t="str">
        <x:v>Identify files with unusually high volumes of unreferenced functions, repetitive administrative logic, verbose generated comments, or code unrelated to the primary behavior.</x:v>
      </x:c>
      <x:c r="D16" s="14" t="str">
        <x:v>AI-generated dead code is being used to delay analysis, alter signatures, or conceal malicious functionality.</x:v>
      </x:c>
      <x:c r="E16" s="14" t="str">
        <x:v>Static analysis; source code scanning; malware sandbox; code similarity tooling</x:v>
      </x:c>
      <x:c r="F16" s="14" t="str">
        <x:v>Compiler warnings; call-graph analysis; repository history; binary analysis</x:v>
      </x:c>
      <x:c r="G16" s="14" t="str">
        <x:v>File; function; call graph; comment patterns; repository; author identity</x:v>
      </x:c>
      <x:c r="H16" s="14" t="str">
        <x:v>Batch or on file submission</x:v>
      </x:c>
      <x:c r="I16" s="32" t="n">
        <x:v>3</x:v>
      </x:c>
      <x:c r="J16" s="32" t="n">
        <x:v>3</x:v>
      </x:c>
      <x:c r="K16" s="32" t="n">
        <x:f>I16*J16</x:f>
        <x:v>9</x:v>
      </x:c>
      <x:c r="L16" s="14" t="str">
        <x:f>IF(K16&gt;=20,"Critical",IF(K16&gt;=15,"High",IF(K16&gt;=8,"Medium","Low")))</x:f>
        <x:v>Medium</x:v>
      </x:c>
      <x:c r="M16" s="14" t="str">
        <x:v>Medium</x:v>
      </x:c>
      <x:c r="N16" s="14" t="str">
        <x:v>Defense Evasion</x:v>
      </x:c>
      <x:c r="O16" s="14" t="str">
        <x:v>Generated boilerplate, legacy code, test scaffolding, code obfuscation for intellectual property protection</x:v>
      </x:c>
      <x:c r="P16" s="14" t="str">
        <x:v>Use call-graph reachability and behavioral execution rather than comment style alone; compare with prior versions and build artifacts.</x:v>
      </x:c>
      <x:c r="Q16" s="14" t="str">
        <x:v>Escalate for reverse engineering; isolate reachable malicious logic; compare generated variants; identify the source repository or build pipeline.</x:v>
      </x:c>
      <x:c r="R16" s="14" t="str">
        <x:v>Planned</x:v>
      </x:c>
      <x:c r="S16" s="14" t="str"/>
      <x:c r="T16" s="34" t="n">
        <x:v>0.1</x:v>
      </x:c>
      <x:c r="U16" s="14" t="str">
        <x:v>Medium</x:v>
      </x:c>
      <x:c r="V16" s="36"/>
      <x:c r="W16" s="36"/>
      <x:c r="X16" s="14" t="str"/>
    </x:row>
    <x:row r="17" ht="72" customHeight="1">
      <x:c r="A17" s="14" t="str">
        <x:v>AIH-013</x:v>
      </x:c>
      <x:c r="B17" s="14" t="str">
        <x:v>Lateral Movement After Agent Activity</x:v>
      </x:c>
      <x:c r="C17" s="14" t="str">
        <x:v>Correlate coding agent or orchestrator activity with network scanning, credential access, remote administration, SSH, WinRM, RDP, SMB, or cloud role switching.</x:v>
      </x:c>
      <x:c r="D17" s="14" t="str">
        <x:v>An attacker-controlled agent is using discovered credentials and tools to move laterally and expand access.</x:v>
      </x:c>
      <x:c r="E17" s="14" t="str">
        <x:v>EDR; network detection; authentication logs; agent tool calls; cloud audit logs</x:v>
      </x:c>
      <x:c r="F17" s="14" t="str">
        <x:v>PAM; firewall; asset inventory; deception telemetry</x:v>
      </x:c>
      <x:c r="G17" s="14" t="str">
        <x:v>Agent session; account; source host; destination host; remote protocol; credential</x:v>
      </x:c>
      <x:c r="H17" s="14" t="str">
        <x:v>0-60 minutes</x:v>
      </x:c>
      <x:c r="I17" s="32" t="n">
        <x:v>4</x:v>
      </x:c>
      <x:c r="J17" s="32" t="n">
        <x:v>5</x:v>
      </x:c>
      <x:c r="K17" s="32" t="n">
        <x:f>I17*J17</x:f>
        <x:v>20</x:v>
      </x:c>
      <x:c r="L17" s="14" t="str">
        <x:f>IF(K17&gt;=20,"Critical",IF(K17&gt;=15,"High",IF(K17&gt;=8,"Medium","Low")))</x:f>
        <x:v>Critical</x:v>
      </x:c>
      <x:c r="M17" s="14" t="str">
        <x:v>Critical</x:v>
      </x:c>
      <x:c r="N17" s="14" t="str">
        <x:v>Lateral Movement; Credential Access</x:v>
      </x:c>
      <x:c r="O17" s="14" t="str">
        <x:v>Authorized penetration testing, IT administration, deployment orchestration</x:v>
      </x:c>
      <x:c r="P17" s="14" t="str">
        <x:v>Require authorized change or test context; correlate with unusual account-host pairs, first-seen destinations, rapid fan-out, and credential file access.</x:v>
      </x:c>
      <x:c r="Q17" s="14" t="str">
        <x:v>Suspend the agent and account; contain source systems; reset credentials; block remote protocols where feasible; scope all reached assets.</x:v>
      </x:c>
      <x:c r="R17" s="14" t="str">
        <x:v>Planned</x:v>
      </x:c>
      <x:c r="S17" s="14" t="str"/>
      <x:c r="T17" s="34" t="n">
        <x:v>0.05</x:v>
      </x:c>
      <x:c r="U17" s="14" t="str">
        <x:v>High</x:v>
      </x:c>
      <x:c r="V17" s="36"/>
      <x:c r="W17" s="36"/>
      <x:c r="X17" s="14" t="str"/>
    </x:row>
    <x:row r="18" ht="72" customHeight="1">
      <x:c r="A18" s="14" t="str">
        <x:v>AIH-014</x:v>
      </x:c>
      <x:c r="B18" s="14" t="str">
        <x:v>Frequent API Key Rotation or Pooling</x:v>
      </x:c>
      <x:c r="C18" s="14" t="str">
        <x:v>Detect many keys for one workload, repeated quota failures, rapid key changes, use from multiple countries, or inconsistent user agents.</x:v>
      </x:c>
      <x:c r="D18" s="14" t="str">
        <x:v>A threat actor is pooling stolen or disposable AI API keys to evade rate limits, attribution, and account enforcement.</x:v>
      </x:c>
      <x:c r="E18" s="14" t="str">
        <x:v>API management; AI provider usage logs; secret manager; identity logs</x:v>
      </x:c>
      <x:c r="F18" s="14" t="str">
        <x:v>Billing; proxy; geolocation; endpoint telemetry; source code scanning</x:v>
      </x:c>
      <x:c r="G18" s="14" t="str">
        <x:v>API key; workload; user; source IP; country; user agent; provider</x:v>
      </x:c>
      <x:c r="H18" s="14" t="str">
        <x:v>1 hour to 30 days</x:v>
      </x:c>
      <x:c r="I18" s="32" t="n">
        <x:v>4</x:v>
      </x:c>
      <x:c r="J18" s="32" t="n">
        <x:v>4</x:v>
      </x:c>
      <x:c r="K18" s="32" t="n">
        <x:f>I18*J18</x:f>
        <x:v>16</x:v>
      </x:c>
      <x:c r="L18" s="14" t="str">
        <x:f>IF(K18&gt;=20,"Critical",IF(K18&gt;=15,"High",IF(K18&gt;=8,"Medium","Low")))</x:f>
        <x:v>High</x:v>
      </x:c>
      <x:c r="M18" s="14" t="str">
        <x:v>High</x:v>
      </x:c>
      <x:c r="N18" s="14" t="str">
        <x:v>Credential Access; Defense Evasion</x:v>
      </x:c>
      <x:c r="O18" s="14" t="str">
        <x:v>Key rotation programs, distributed applications, disaster recovery, multi-region services</x:v>
      </x:c>
      <x:c r="P18" s="14" t="str">
        <x:v>Bind keys to workload identity and network location; use short-lived tokens; detect overlapping validity and usage inconsistent with deployment topology.</x:v>
      </x:c>
      <x:c r="Q18" s="14" t="str">
        <x:v>Revoke affected keys; rotate related secrets; identify exposed repositories or systems; review provider usage and downstream activity.</x:v>
      </x:c>
      <x:c r="R18" s="14" t="str">
        <x:v>Planned</x:v>
      </x:c>
      <x:c r="S18" s="14" t="str"/>
      <x:c r="T18" s="34" t="n">
        <x:v>0.05</x:v>
      </x:c>
      <x:c r="U18" s="14" t="str">
        <x:v>High</x:v>
      </x:c>
      <x:c r="V18" s="36"/>
      <x:c r="W18" s="36"/>
      <x:c r="X18" s="14" t="str"/>
    </x:row>
  </x:sheetData>
  <x:mergeCells>
    <x:mergeCell ref="A1:X1"/>
    <x:mergeCell ref="A2:X2"/>
  </x:mergeCells>
  <x:conditionalFormatting sqref="K5:K18">
    <x:cfRule type="colorScale" priority="1">
      <x:colorScale>
        <x:cfvo type="min"/>
        <x:cfvo type="percentile" val="50"/>
        <x:cfvo type="max"/>
        <x:color rgb="FFE2F0D9"/>
        <x:color rgb="FFFFF2CC"/>
        <x:color rgb="FFF4CCCC"/>
      </x:colorScale>
    </x:cfRule>
  </x:conditionalFormatting>
  <x:conditionalFormatting sqref="T5:T18">
    <x:cfRule type="dataBar" priority="2">
      <x:dataBar>
        <x:cfvo type="min"/>
        <x:cfvo type="max"/>
        <x:color rgb="FF1F4E78"/>
      </x:dataBar>
      <x:extLst>
        <x:ext xmlns:x14="http://schemas.microsoft.com/office/spreadsheetml/2009/9/main" uri="{B025F937-C7B1-47D3-B67F-A62EFF666E3E}">
          <x14:id>{E85FF79E-B275-D51F-2C14-3E6DBCCF08C0}</x14:id>
        </x:ext>
      </x:extLst>
    </x:cfRule>
  </x:conditionalFormatting>
  <x:conditionalFormatting sqref="L5:L18">
    <x:cfRule type="expression" dxfId="0" priority="3">
      <x:formula>L5="Critical"</x:formula>
    </x:cfRule>
    <x:cfRule type="expression" dxfId="1" priority="4">
      <x:formula>L5="High"</x:formula>
    </x:cfRule>
    <x:cfRule type="expression" dxfId="2" priority="5">
      <x:formula>L5="Medium"</x:formula>
    </x:cfRule>
  </x:conditionalFormatting>
  <x:conditionalFormatting sqref="R5:R18">
    <x:cfRule type="expression" dxfId="3" priority="6">
      <x:formula>R5="Implemented"</x:formula>
    </x:cfRule>
    <x:cfRule type="expression" dxfId="4" priority="7">
      <x:formula>R5="Needs Testing"</x:formula>
    </x:cfRule>
    <x:cfRule type="expression" dxfId="5" priority="8">
      <x:formula>R5="Retired"</x:formula>
    </x:cfRule>
  </x:conditionalFormatting>
  <x:dataValidations count="5">
    <x:dataValidation operator="between" sqref="I5:J18">
      <x:formula1>1</x:formula1>
      <x:formula2>5</x:formula2>
    </x:dataValidation>
    <x:dataValidation type="list" sqref="M5:M18">
      <x:formula1>'Reference Lists'!$C$2:$C$6</x:formula1>
    </x:dataValidation>
    <x:dataValidation type="list" sqref="R5:R18">
      <x:formula1>'Reference Lists'!$A$2:$A$7</x:formula1>
    </x:dataValidation>
    <x:dataValidation type="list" sqref="U5:U18">
      <x:formula1>'Reference Lists'!$D$2:$D$4</x:formula1>
    </x:dataValidation>
    <x:dataValidation type="decimal" operator="between" sqref="T5:T18">
      <x:formula1>0</x:formula1>
      <x:formula2>1</x:formula2>
    </x:dataValidation>
  </x:dataValidations>
  <x:pageMargins left="0.7" right="0.7" top="0.75" bottom="0.75" header="0.3" footer="0.3"/>
  <x:tableParts count="1">
    <x:tablePart xmlns:r="http://schemas.openxmlformats.org/officeDocument/2006/relationships" r:id="Rf7035ab1d0e7450d"/>
  </x:tableParts>
  <x:extLst>
    <x:ext xmlns:x14="http://schemas.microsoft.com/office/spreadsheetml/2009/9/main" xmlns:xm="http://schemas.microsoft.com/office/excel/2006/main" uri="{78C0D931-6437-407d-A8EE-F0AAD7539E65}">
      <x14:conditionalFormattings>
        <x14:conditionalFormatting>
          <x14:cfRule type="dataBar" priority="2" id="{E85FF79E-B275-D51F-2C14-3E6DBCCF08C0}">
            <x14:dataBar gradient="1">
              <x14:cfvo type="min"/>
              <x14:cfvo type="max"/>
              <x14:fillColor rgb="FF1F4E78"/>
            </x14:dataBar>
          </x14:cfRule>
          <xm:sqref>T5:T18</xm:sqref>
        </x14:conditionalFormatting>
      </x14:conditionalFormattings>
    </x:ext>
  </x:extLst>
</x:worksheet>
</file>

<file path=xl/worksheets/sheet4.xml><?xml version="1.0" encoding="utf-8"?>
<x:worksheet xmlns:x="http://schemas.openxmlformats.org/spreadsheetml/2006/main">
  <x:sheetFormatPr defaultRowHeight="15"/>
  <x:cols>
    <x:col min="1" max="1" width="12" hidden="0" customWidth="1"/>
    <x:col min="2" max="2" width="12" hidden="0" customWidth="1"/>
    <x:col min="3" max="3" width="30" hidden="0" customWidth="1"/>
    <x:col min="4" max="4" width="38" hidden="0" customWidth="1"/>
    <x:col min="5" max="5" width="13" hidden="0" customWidth="1"/>
    <x:col min="6" max="6" width="13" hidden="0" customWidth="1"/>
    <x:col min="7" max="7" width="18" hidden="0" customWidth="1"/>
    <x:col min="8" max="8" width="17" hidden="0" customWidth="1"/>
    <x:col min="9" max="9" width="17" hidden="0" customWidth="1"/>
    <x:col min="10" max="10" width="17" hidden="0" customWidth="1"/>
    <x:col min="11" max="11" width="24" hidden="0" customWidth="1"/>
    <x:col min="12" max="12" width="28" hidden="0" customWidth="1"/>
    <x:col min="13" max="13" width="38" hidden="0" customWidth="1"/>
    <x:col min="14" max="14" width="30" hidden="0" customWidth="1"/>
    <x:col min="15" max="15" width="11" hidden="0" customWidth="1"/>
    <x:col min="16" max="16" width="18" hidden="0" customWidth="1"/>
    <x:col min="17" max="17" width="32" hidden="0" customWidth="1"/>
    <x:col min="18" max="18" width="13" hidden="0" customWidth="1"/>
    <x:col min="19" max="19" width="11" hidden="0" customWidth="1"/>
    <x:col min="20" max="20" width="34" hidden="0" customWidth="1"/>
  </x:cols>
  <x:sheetData>
    <x:row r="1">
      <x:c r="A1" s="21" t="str">
        <x:v>Threat Hunt Execution Worksheet</x:v>
      </x:c>
      <x:c r="B1" s="21"/>
      <x:c r="C1" s="21"/>
      <x:c r="D1" s="21"/>
      <x:c r="E1" s="21"/>
      <x:c r="F1" s="21"/>
      <x:c r="G1" s="21"/>
      <x:c r="H1" s="21"/>
      <x:c r="I1" s="21"/>
      <x:c r="J1" s="21"/>
      <x:c r="K1" s="21"/>
      <x:c r="L1" s="21"/>
      <x:c r="M1" s="21"/>
      <x:c r="N1" s="21"/>
      <x:c r="O1" s="21"/>
      <x:c r="P1" s="21"/>
      <x:c r="Q1" s="21"/>
      <x:c r="R1" s="21"/>
      <x:c r="S1" s="21"/>
      <x:c r="T1" s="21"/>
    </x:row>
    <x:row r="2">
      <x:c r="A2" s="38" t="str">
        <x:v>Create one row per hunt execution. Select a scenario ID and document scope, evidence, outcome, and follow-up actions.</x:v>
      </x:c>
      <x:c r="B2" s="38"/>
      <x:c r="C2" s="38"/>
      <x:c r="D2" s="38"/>
      <x:c r="E2" s="38"/>
      <x:c r="F2" s="38"/>
      <x:c r="G2" s="38"/>
      <x:c r="H2" s="38"/>
      <x:c r="I2" s="38"/>
      <x:c r="J2" s="38"/>
      <x:c r="K2" s="38"/>
      <x:c r="L2" s="38"/>
      <x:c r="M2" s="38"/>
      <x:c r="N2" s="38"/>
      <x:c r="O2" s="38"/>
      <x:c r="P2" s="38"/>
      <x:c r="Q2" s="38"/>
      <x:c r="R2" s="38"/>
      <x:c r="S2" s="38"/>
      <x:c r="T2" s="38"/>
    </x:row>
    <x:row r="4">
      <x:c r="A4" s="6" t="str">
        <x:v>Hunt ID</x:v>
      </x:c>
      <x:c r="B4" s="6" t="str">
        <x:v>Scenario ID</x:v>
      </x:c>
      <x:c r="C4" s="6" t="str">
        <x:v>Scenario Name</x:v>
      </x:c>
      <x:c r="D4" s="6" t="str">
        <x:v>Hypothesis / Scope</x:v>
      </x:c>
      <x:c r="E4" s="6" t="str">
        <x:v>Start Date</x:v>
      </x:c>
      <x:c r="F4" s="6" t="str">
        <x:v>End Date</x:v>
      </x:c>
      <x:c r="G4" s="6" t="str">
        <x:v>Analyst</x:v>
      </x:c>
      <x:c r="H4" s="6" t="str">
        <x:v>Environment</x:v>
      </x:c>
      <x:c r="I4" s="6" t="str">
        <x:v>Status</x:v>
      </x:c>
      <x:c r="J4" s="6" t="str">
        <x:v>Outcome</x:v>
      </x:c>
      <x:c r="K4" s="6" t="str">
        <x:v>Systems Reviewed</x:v>
      </x:c>
      <x:c r="L4" s="6" t="str">
        <x:v>Queries / Tools Used</x:v>
      </x:c>
      <x:c r="M4" s="6" t="str">
        <x:v>Findings Summary</x:v>
      </x:c>
      <x:c r="N4" s="6" t="str">
        <x:v>Evidence Link</x:v>
      </x:c>
      <x:c r="O4" s="6" t="str">
        <x:v>Escalated</x:v>
      </x:c>
      <x:c r="P4" s="6" t="str">
        <x:v>Ticket / Case ID</x:v>
      </x:c>
      <x:c r="Q4" s="6" t="str">
        <x:v>Next Action</x:v>
      </x:c>
      <x:c r="R4" s="6" t="str">
        <x:v>Review Date</x:v>
      </x:c>
      <x:c r="S4" s="6" t="str">
        <x:v>Days Open</x:v>
      </x:c>
      <x:c r="T4" s="6" t="str">
        <x:v>Lessons Learned</x:v>
      </x:c>
    </x:row>
    <x:row r="5" ht="42" customHeight="1">
      <x:c r="A5" s="14" t="str">
        <x:v>HUNT-001</x:v>
      </x:c>
      <x:c r="B5" s="14" t="str"/>
      <x:c r="C5" s="14" t="str">
        <x:f>IFERROR(VLOOKUP(B5,'Detection Catalog'!$A$5:$X$18,2,FALSE),"")</x:f>
      </x:c>
      <x:c r="D5" s="14" t="str"/>
      <x:c r="E5" s="36"/>
      <x:c r="F5" s="36"/>
      <x:c r="G5" s="14" t="str"/>
      <x:c r="H5" s="14" t="str"/>
      <x:c r="I5" s="14" t="str">
        <x:v>Planned</x:v>
      </x:c>
      <x:c r="J5" s="14" t="str"/>
      <x:c r="K5" s="14" t="str"/>
      <x:c r="L5" s="14" t="str"/>
      <x:c r="M5" s="14" t="str"/>
      <x:c r="N5" s="14" t="str"/>
      <x:c r="O5" s="14" t="str">
        <x:v>No</x:v>
      </x:c>
      <x:c r="P5" s="14" t="str"/>
      <x:c r="Q5" s="14" t="str"/>
      <x:c r="R5" s="36"/>
      <x:c r="S5" s="32" t="str">
        <x:f>IF(E5="","",IF(F5="",TODAY()-E5,F5-E5))</x:f>
      </x:c>
      <x:c r="T5" s="14" t="str"/>
    </x:row>
    <x:row r="6" ht="42" customHeight="1">
      <x:c r="A6" s="14" t="str">
        <x:v>HUNT-002</x:v>
      </x:c>
      <x:c r="B6" s="14" t="str"/>
      <x:c r="C6" s="14" t="str">
        <x:f>IFERROR(VLOOKUP(B6,'Detection Catalog'!$A$5:$X$18,2,FALSE),"")</x:f>
      </x:c>
      <x:c r="D6" s="14" t="str"/>
      <x:c r="E6" s="36"/>
      <x:c r="F6" s="36"/>
      <x:c r="G6" s="14" t="str"/>
      <x:c r="H6" s="14" t="str"/>
      <x:c r="I6" s="14" t="str">
        <x:v>Planned</x:v>
      </x:c>
      <x:c r="J6" s="14" t="str"/>
      <x:c r="K6" s="14" t="str"/>
      <x:c r="L6" s="14" t="str"/>
      <x:c r="M6" s="14" t="str"/>
      <x:c r="N6" s="14" t="str"/>
      <x:c r="O6" s="14" t="str">
        <x:v>No</x:v>
      </x:c>
      <x:c r="P6" s="14" t="str"/>
      <x:c r="Q6" s="14" t="str"/>
      <x:c r="R6" s="36"/>
      <x:c r="S6" s="32" t="str">
        <x:f>IF(E6="","",IF(F6="",TODAY()-E6,F6-E6))</x:f>
      </x:c>
      <x:c r="T6" s="14" t="str"/>
    </x:row>
    <x:row r="7" ht="42" customHeight="1">
      <x:c r="A7" s="14" t="str">
        <x:v>HUNT-003</x:v>
      </x:c>
      <x:c r="B7" s="14" t="str"/>
      <x:c r="C7" s="14" t="str">
        <x:f>IFERROR(VLOOKUP(B7,'Detection Catalog'!$A$5:$X$18,2,FALSE),"")</x:f>
      </x:c>
      <x:c r="D7" s="14" t="str"/>
      <x:c r="E7" s="36"/>
      <x:c r="F7" s="36"/>
      <x:c r="G7" s="14" t="str"/>
      <x:c r="H7" s="14" t="str"/>
      <x:c r="I7" s="14" t="str">
        <x:v>Planned</x:v>
      </x:c>
      <x:c r="J7" s="14" t="str"/>
      <x:c r="K7" s="14" t="str"/>
      <x:c r="L7" s="14" t="str"/>
      <x:c r="M7" s="14" t="str"/>
      <x:c r="N7" s="14" t="str"/>
      <x:c r="O7" s="14" t="str">
        <x:v>No</x:v>
      </x:c>
      <x:c r="P7" s="14" t="str"/>
      <x:c r="Q7" s="14" t="str"/>
      <x:c r="R7" s="36"/>
      <x:c r="S7" s="32" t="str">
        <x:f>IF(E7="","",IF(F7="",TODAY()-E7,F7-E7))</x:f>
      </x:c>
      <x:c r="T7" s="14" t="str"/>
    </x:row>
    <x:row r="8" ht="42" customHeight="1">
      <x:c r="A8" s="14" t="str">
        <x:v>HUNT-004</x:v>
      </x:c>
      <x:c r="B8" s="14" t="str"/>
      <x:c r="C8" s="14" t="str">
        <x:f>IFERROR(VLOOKUP(B8,'Detection Catalog'!$A$5:$X$18,2,FALSE),"")</x:f>
      </x:c>
      <x:c r="D8" s="14" t="str"/>
      <x:c r="E8" s="36"/>
      <x:c r="F8" s="36"/>
      <x:c r="G8" s="14" t="str"/>
      <x:c r="H8" s="14" t="str"/>
      <x:c r="I8" s="14" t="str">
        <x:v>Planned</x:v>
      </x:c>
      <x:c r="J8" s="14" t="str"/>
      <x:c r="K8" s="14" t="str"/>
      <x:c r="L8" s="14" t="str"/>
      <x:c r="M8" s="14" t="str"/>
      <x:c r="N8" s="14" t="str"/>
      <x:c r="O8" s="14" t="str">
        <x:v>No</x:v>
      </x:c>
      <x:c r="P8" s="14" t="str"/>
      <x:c r="Q8" s="14" t="str"/>
      <x:c r="R8" s="36"/>
      <x:c r="S8" s="32" t="str">
        <x:f>IF(E8="","",IF(F8="",TODAY()-E8,F8-E8))</x:f>
      </x:c>
      <x:c r="T8" s="14" t="str"/>
    </x:row>
    <x:row r="9" ht="42" customHeight="1">
      <x:c r="A9" s="14" t="str">
        <x:v>HUNT-005</x:v>
      </x:c>
      <x:c r="B9" s="14" t="str"/>
      <x:c r="C9" s="14" t="str">
        <x:f>IFERROR(VLOOKUP(B9,'Detection Catalog'!$A$5:$X$18,2,FALSE),"")</x:f>
      </x:c>
      <x:c r="D9" s="14" t="str"/>
      <x:c r="E9" s="36"/>
      <x:c r="F9" s="36"/>
      <x:c r="G9" s="14" t="str"/>
      <x:c r="H9" s="14" t="str"/>
      <x:c r="I9" s="14" t="str">
        <x:v>Planned</x:v>
      </x:c>
      <x:c r="J9" s="14" t="str"/>
      <x:c r="K9" s="14" t="str"/>
      <x:c r="L9" s="14" t="str"/>
      <x:c r="M9" s="14" t="str"/>
      <x:c r="N9" s="14" t="str"/>
      <x:c r="O9" s="14" t="str">
        <x:v>No</x:v>
      </x:c>
      <x:c r="P9" s="14" t="str"/>
      <x:c r="Q9" s="14" t="str"/>
      <x:c r="R9" s="36"/>
      <x:c r="S9" s="32" t="str">
        <x:f>IF(E9="","",IF(F9="",TODAY()-E9,F9-E9))</x:f>
      </x:c>
      <x:c r="T9" s="14" t="str"/>
    </x:row>
    <x:row r="10" ht="42" customHeight="1">
      <x:c r="A10" s="14" t="str">
        <x:v>HUNT-006</x:v>
      </x:c>
      <x:c r="B10" s="14" t="str"/>
      <x:c r="C10" s="14" t="str">
        <x:f>IFERROR(VLOOKUP(B10,'Detection Catalog'!$A$5:$X$18,2,FALSE),"")</x:f>
      </x:c>
      <x:c r="D10" s="14" t="str"/>
      <x:c r="E10" s="36"/>
      <x:c r="F10" s="36"/>
      <x:c r="G10" s="14" t="str"/>
      <x:c r="H10" s="14" t="str"/>
      <x:c r="I10" s="14" t="str">
        <x:v>Planned</x:v>
      </x:c>
      <x:c r="J10" s="14" t="str"/>
      <x:c r="K10" s="14" t="str"/>
      <x:c r="L10" s="14" t="str"/>
      <x:c r="M10" s="14" t="str"/>
      <x:c r="N10" s="14" t="str"/>
      <x:c r="O10" s="14" t="str">
        <x:v>No</x:v>
      </x:c>
      <x:c r="P10" s="14" t="str"/>
      <x:c r="Q10" s="14" t="str"/>
      <x:c r="R10" s="36"/>
      <x:c r="S10" s="32" t="str">
        <x:f>IF(E10="","",IF(F10="",TODAY()-E10,F10-E10))</x:f>
      </x:c>
      <x:c r="T10" s="14" t="str"/>
    </x:row>
    <x:row r="11" ht="42" customHeight="1">
      <x:c r="A11" s="14" t="str">
        <x:v>HUNT-007</x:v>
      </x:c>
      <x:c r="B11" s="14" t="str"/>
      <x:c r="C11" s="14" t="str">
        <x:f>IFERROR(VLOOKUP(B11,'Detection Catalog'!$A$5:$X$18,2,FALSE),"")</x:f>
      </x:c>
      <x:c r="D11" s="14" t="str"/>
      <x:c r="E11" s="36"/>
      <x:c r="F11" s="36"/>
      <x:c r="G11" s="14" t="str"/>
      <x:c r="H11" s="14" t="str"/>
      <x:c r="I11" s="14" t="str">
        <x:v>Planned</x:v>
      </x:c>
      <x:c r="J11" s="14" t="str"/>
      <x:c r="K11" s="14" t="str"/>
      <x:c r="L11" s="14" t="str"/>
      <x:c r="M11" s="14" t="str"/>
      <x:c r="N11" s="14" t="str"/>
      <x:c r="O11" s="14" t="str">
        <x:v>No</x:v>
      </x:c>
      <x:c r="P11" s="14" t="str"/>
      <x:c r="Q11" s="14" t="str"/>
      <x:c r="R11" s="36"/>
      <x:c r="S11" s="32" t="str">
        <x:f>IF(E11="","",IF(F11="",TODAY()-E11,F11-E11))</x:f>
      </x:c>
      <x:c r="T11" s="14" t="str"/>
    </x:row>
    <x:row r="12" ht="42" customHeight="1">
      <x:c r="A12" s="14" t="str">
        <x:v>HUNT-008</x:v>
      </x:c>
      <x:c r="B12" s="14" t="str"/>
      <x:c r="C12" s="14" t="str">
        <x:f>IFERROR(VLOOKUP(B12,'Detection Catalog'!$A$5:$X$18,2,FALSE),"")</x:f>
      </x:c>
      <x:c r="D12" s="14" t="str"/>
      <x:c r="E12" s="36"/>
      <x:c r="F12" s="36"/>
      <x:c r="G12" s="14" t="str"/>
      <x:c r="H12" s="14" t="str"/>
      <x:c r="I12" s="14" t="str">
        <x:v>Planned</x:v>
      </x:c>
      <x:c r="J12" s="14" t="str"/>
      <x:c r="K12" s="14" t="str"/>
      <x:c r="L12" s="14" t="str"/>
      <x:c r="M12" s="14" t="str"/>
      <x:c r="N12" s="14" t="str"/>
      <x:c r="O12" s="14" t="str">
        <x:v>No</x:v>
      </x:c>
      <x:c r="P12" s="14" t="str"/>
      <x:c r="Q12" s="14" t="str"/>
      <x:c r="R12" s="36"/>
      <x:c r="S12" s="32" t="str">
        <x:f>IF(E12="","",IF(F12="",TODAY()-E12,F12-E12))</x:f>
      </x:c>
      <x:c r="T12" s="14" t="str"/>
    </x:row>
    <x:row r="13" ht="42" customHeight="1">
      <x:c r="A13" s="14" t="str">
        <x:v>HUNT-009</x:v>
      </x:c>
      <x:c r="B13" s="14" t="str"/>
      <x:c r="C13" s="14" t="str">
        <x:f>IFERROR(VLOOKUP(B13,'Detection Catalog'!$A$5:$X$18,2,FALSE),"")</x:f>
      </x:c>
      <x:c r="D13" s="14" t="str"/>
      <x:c r="E13" s="36"/>
      <x:c r="F13" s="36"/>
      <x:c r="G13" s="14" t="str"/>
      <x:c r="H13" s="14" t="str"/>
      <x:c r="I13" s="14" t="str">
        <x:v>Planned</x:v>
      </x:c>
      <x:c r="J13" s="14" t="str"/>
      <x:c r="K13" s="14" t="str"/>
      <x:c r="L13" s="14" t="str"/>
      <x:c r="M13" s="14" t="str"/>
      <x:c r="N13" s="14" t="str"/>
      <x:c r="O13" s="14" t="str">
        <x:v>No</x:v>
      </x:c>
      <x:c r="P13" s="14" t="str"/>
      <x:c r="Q13" s="14" t="str"/>
      <x:c r="R13" s="36"/>
      <x:c r="S13" s="32" t="str">
        <x:f>IF(E13="","",IF(F13="",TODAY()-E13,F13-E13))</x:f>
      </x:c>
      <x:c r="T13" s="14" t="str"/>
    </x:row>
    <x:row r="14" ht="42" customHeight="1">
      <x:c r="A14" s="14" t="str">
        <x:v>HUNT-010</x:v>
      </x:c>
      <x:c r="B14" s="14" t="str"/>
      <x:c r="C14" s="14" t="str">
        <x:f>IFERROR(VLOOKUP(B14,'Detection Catalog'!$A$5:$X$18,2,FALSE),"")</x:f>
      </x:c>
      <x:c r="D14" s="14" t="str"/>
      <x:c r="E14" s="36"/>
      <x:c r="F14" s="36"/>
      <x:c r="G14" s="14" t="str"/>
      <x:c r="H14" s="14" t="str"/>
      <x:c r="I14" s="14" t="str">
        <x:v>Planned</x:v>
      </x:c>
      <x:c r="J14" s="14" t="str"/>
      <x:c r="K14" s="14" t="str"/>
      <x:c r="L14" s="14" t="str"/>
      <x:c r="M14" s="14" t="str"/>
      <x:c r="N14" s="14" t="str"/>
      <x:c r="O14" s="14" t="str">
        <x:v>No</x:v>
      </x:c>
      <x:c r="P14" s="14" t="str"/>
      <x:c r="Q14" s="14" t="str"/>
      <x:c r="R14" s="36"/>
      <x:c r="S14" s="32" t="str">
        <x:f>IF(E14="","",IF(F14="",TODAY()-E14,F14-E14))</x:f>
      </x:c>
      <x:c r="T14" s="14" t="str"/>
    </x:row>
    <x:row r="15" ht="42" customHeight="1">
      <x:c r="A15" s="14" t="str">
        <x:v>HUNT-011</x:v>
      </x:c>
      <x:c r="B15" s="14" t="str"/>
      <x:c r="C15" s="14" t="str">
        <x:f>IFERROR(VLOOKUP(B15,'Detection Catalog'!$A$5:$X$18,2,FALSE),"")</x:f>
      </x:c>
      <x:c r="D15" s="14" t="str"/>
      <x:c r="E15" s="36"/>
      <x:c r="F15" s="36"/>
      <x:c r="G15" s="14" t="str"/>
      <x:c r="H15" s="14" t="str"/>
      <x:c r="I15" s="14" t="str">
        <x:v>Planned</x:v>
      </x:c>
      <x:c r="J15" s="14" t="str"/>
      <x:c r="K15" s="14" t="str"/>
      <x:c r="L15" s="14" t="str"/>
      <x:c r="M15" s="14" t="str"/>
      <x:c r="N15" s="14" t="str"/>
      <x:c r="O15" s="14" t="str">
        <x:v>No</x:v>
      </x:c>
      <x:c r="P15" s="14" t="str"/>
      <x:c r="Q15" s="14" t="str"/>
      <x:c r="R15" s="36"/>
      <x:c r="S15" s="32" t="str">
        <x:f>IF(E15="","",IF(F15="",TODAY()-E15,F15-E15))</x:f>
      </x:c>
      <x:c r="T15" s="14" t="str"/>
    </x:row>
    <x:row r="16" ht="42" customHeight="1">
      <x:c r="A16" s="14" t="str">
        <x:v>HUNT-012</x:v>
      </x:c>
      <x:c r="B16" s="14" t="str"/>
      <x:c r="C16" s="14" t="str">
        <x:f>IFERROR(VLOOKUP(B16,'Detection Catalog'!$A$5:$X$18,2,FALSE),"")</x:f>
      </x:c>
      <x:c r="D16" s="14" t="str"/>
      <x:c r="E16" s="36"/>
      <x:c r="F16" s="36"/>
      <x:c r="G16" s="14" t="str"/>
      <x:c r="H16" s="14" t="str"/>
      <x:c r="I16" s="14" t="str">
        <x:v>Planned</x:v>
      </x:c>
      <x:c r="J16" s="14" t="str"/>
      <x:c r="K16" s="14" t="str"/>
      <x:c r="L16" s="14" t="str"/>
      <x:c r="M16" s="14" t="str"/>
      <x:c r="N16" s="14" t="str"/>
      <x:c r="O16" s="14" t="str">
        <x:v>No</x:v>
      </x:c>
      <x:c r="P16" s="14" t="str"/>
      <x:c r="Q16" s="14" t="str"/>
      <x:c r="R16" s="36"/>
      <x:c r="S16" s="32" t="str">
        <x:f>IF(E16="","",IF(F16="",TODAY()-E16,F16-E16))</x:f>
      </x:c>
      <x:c r="T16" s="14" t="str"/>
    </x:row>
    <x:row r="17" ht="42" customHeight="1">
      <x:c r="A17" s="14" t="str">
        <x:v>HUNT-013</x:v>
      </x:c>
      <x:c r="B17" s="14" t="str"/>
      <x:c r="C17" s="14" t="str">
        <x:f>IFERROR(VLOOKUP(B17,'Detection Catalog'!$A$5:$X$18,2,FALSE),"")</x:f>
      </x:c>
      <x:c r="D17" s="14" t="str"/>
      <x:c r="E17" s="36"/>
      <x:c r="F17" s="36"/>
      <x:c r="G17" s="14" t="str"/>
      <x:c r="H17" s="14" t="str"/>
      <x:c r="I17" s="14" t="str">
        <x:v>Planned</x:v>
      </x:c>
      <x:c r="J17" s="14" t="str"/>
      <x:c r="K17" s="14" t="str"/>
      <x:c r="L17" s="14" t="str"/>
      <x:c r="M17" s="14" t="str"/>
      <x:c r="N17" s="14" t="str"/>
      <x:c r="O17" s="14" t="str">
        <x:v>No</x:v>
      </x:c>
      <x:c r="P17" s="14" t="str"/>
      <x:c r="Q17" s="14" t="str"/>
      <x:c r="R17" s="36"/>
      <x:c r="S17" s="32" t="str">
        <x:f>IF(E17="","",IF(F17="",TODAY()-E17,F17-E17))</x:f>
      </x:c>
      <x:c r="T17" s="14" t="str"/>
    </x:row>
    <x:row r="18" ht="42" customHeight="1">
      <x:c r="A18" s="14" t="str">
        <x:v>HUNT-014</x:v>
      </x:c>
      <x:c r="B18" s="14" t="str"/>
      <x:c r="C18" s="14" t="str">
        <x:f>IFERROR(VLOOKUP(B18,'Detection Catalog'!$A$5:$X$18,2,FALSE),"")</x:f>
      </x:c>
      <x:c r="D18" s="14" t="str"/>
      <x:c r="E18" s="36"/>
      <x:c r="F18" s="36"/>
      <x:c r="G18" s="14" t="str"/>
      <x:c r="H18" s="14" t="str"/>
      <x:c r="I18" s="14" t="str">
        <x:v>Planned</x:v>
      </x:c>
      <x:c r="J18" s="14" t="str"/>
      <x:c r="K18" s="14" t="str"/>
      <x:c r="L18" s="14" t="str"/>
      <x:c r="M18" s="14" t="str"/>
      <x:c r="N18" s="14" t="str"/>
      <x:c r="O18" s="14" t="str">
        <x:v>No</x:v>
      </x:c>
      <x:c r="P18" s="14" t="str"/>
      <x:c r="Q18" s="14" t="str"/>
      <x:c r="R18" s="36"/>
      <x:c r="S18" s="32" t="str">
        <x:f>IF(E18="","",IF(F18="",TODAY()-E18,F18-E18))</x:f>
      </x:c>
      <x:c r="T18" s="14" t="str"/>
    </x:row>
    <x:row r="19" ht="42" customHeight="1">
      <x:c r="A19" s="14" t="str">
        <x:v>HUNT-015</x:v>
      </x:c>
      <x:c r="B19" s="14" t="str"/>
      <x:c r="C19" s="14" t="str">
        <x:f>IFERROR(VLOOKUP(B19,'Detection Catalog'!$A$5:$X$18,2,FALSE),"")</x:f>
      </x:c>
      <x:c r="D19" s="14" t="str"/>
      <x:c r="E19" s="36"/>
      <x:c r="F19" s="36"/>
      <x:c r="G19" s="14" t="str"/>
      <x:c r="H19" s="14" t="str"/>
      <x:c r="I19" s="14" t="str">
        <x:v>Planned</x:v>
      </x:c>
      <x:c r="J19" s="14" t="str"/>
      <x:c r="K19" s="14" t="str"/>
      <x:c r="L19" s="14" t="str"/>
      <x:c r="M19" s="14" t="str"/>
      <x:c r="N19" s="14" t="str"/>
      <x:c r="O19" s="14" t="str">
        <x:v>No</x:v>
      </x:c>
      <x:c r="P19" s="14" t="str"/>
      <x:c r="Q19" s="14" t="str"/>
      <x:c r="R19" s="36"/>
      <x:c r="S19" s="32" t="str">
        <x:f>IF(E19="","",IF(F19="",TODAY()-E19,F19-E19))</x:f>
      </x:c>
      <x:c r="T19" s="14" t="str"/>
    </x:row>
    <x:row r="20" ht="42" customHeight="1">
      <x:c r="A20" s="14" t="str">
        <x:v>HUNT-016</x:v>
      </x:c>
      <x:c r="B20" s="14" t="str"/>
      <x:c r="C20" s="14" t="str">
        <x:f>IFERROR(VLOOKUP(B20,'Detection Catalog'!$A$5:$X$18,2,FALSE),"")</x:f>
      </x:c>
      <x:c r="D20" s="14" t="str"/>
      <x:c r="E20" s="36"/>
      <x:c r="F20" s="36"/>
      <x:c r="G20" s="14" t="str"/>
      <x:c r="H20" s="14" t="str"/>
      <x:c r="I20" s="14" t="str">
        <x:v>Planned</x:v>
      </x:c>
      <x:c r="J20" s="14" t="str"/>
      <x:c r="K20" s="14" t="str"/>
      <x:c r="L20" s="14" t="str"/>
      <x:c r="M20" s="14" t="str"/>
      <x:c r="N20" s="14" t="str"/>
      <x:c r="O20" s="14" t="str">
        <x:v>No</x:v>
      </x:c>
      <x:c r="P20" s="14" t="str"/>
      <x:c r="Q20" s="14" t="str"/>
      <x:c r="R20" s="36"/>
      <x:c r="S20" s="32" t="str">
        <x:f>IF(E20="","",IF(F20="",TODAY()-E20,F20-E20))</x:f>
      </x:c>
      <x:c r="T20" s="14" t="str"/>
    </x:row>
    <x:row r="21" ht="42" customHeight="1">
      <x:c r="A21" s="14" t="str">
        <x:v>HUNT-017</x:v>
      </x:c>
      <x:c r="B21" s="14" t="str"/>
      <x:c r="C21" s="14" t="str">
        <x:f>IFERROR(VLOOKUP(B21,'Detection Catalog'!$A$5:$X$18,2,FALSE),"")</x:f>
      </x:c>
      <x:c r="D21" s="14" t="str"/>
      <x:c r="E21" s="36"/>
      <x:c r="F21" s="36"/>
      <x:c r="G21" s="14" t="str"/>
      <x:c r="H21" s="14" t="str"/>
      <x:c r="I21" s="14" t="str">
        <x:v>Planned</x:v>
      </x:c>
      <x:c r="J21" s="14" t="str"/>
      <x:c r="K21" s="14" t="str"/>
      <x:c r="L21" s="14" t="str"/>
      <x:c r="M21" s="14" t="str"/>
      <x:c r="N21" s="14" t="str"/>
      <x:c r="O21" s="14" t="str">
        <x:v>No</x:v>
      </x:c>
      <x:c r="P21" s="14" t="str"/>
      <x:c r="Q21" s="14" t="str"/>
      <x:c r="R21" s="36"/>
      <x:c r="S21" s="32" t="str">
        <x:f>IF(E21="","",IF(F21="",TODAY()-E21,F21-E21))</x:f>
      </x:c>
      <x:c r="T21" s="14" t="str"/>
    </x:row>
    <x:row r="22" ht="42" customHeight="1">
      <x:c r="A22" s="14" t="str">
        <x:v>HUNT-018</x:v>
      </x:c>
      <x:c r="B22" s="14" t="str"/>
      <x:c r="C22" s="14" t="str">
        <x:f>IFERROR(VLOOKUP(B22,'Detection Catalog'!$A$5:$X$18,2,FALSE),"")</x:f>
      </x:c>
      <x:c r="D22" s="14" t="str"/>
      <x:c r="E22" s="36"/>
      <x:c r="F22" s="36"/>
      <x:c r="G22" s="14" t="str"/>
      <x:c r="H22" s="14" t="str"/>
      <x:c r="I22" s="14" t="str">
        <x:v>Planned</x:v>
      </x:c>
      <x:c r="J22" s="14" t="str"/>
      <x:c r="K22" s="14" t="str"/>
      <x:c r="L22" s="14" t="str"/>
      <x:c r="M22" s="14" t="str"/>
      <x:c r="N22" s="14" t="str"/>
      <x:c r="O22" s="14" t="str">
        <x:v>No</x:v>
      </x:c>
      <x:c r="P22" s="14" t="str"/>
      <x:c r="Q22" s="14" t="str"/>
      <x:c r="R22" s="36"/>
      <x:c r="S22" s="32" t="str">
        <x:f>IF(E22="","",IF(F22="",TODAY()-E22,F22-E22))</x:f>
      </x:c>
      <x:c r="T22" s="14" t="str"/>
    </x:row>
    <x:row r="23" ht="42" customHeight="1">
      <x:c r="A23" s="14" t="str">
        <x:v>HUNT-019</x:v>
      </x:c>
      <x:c r="B23" s="14" t="str"/>
      <x:c r="C23" s="14" t="str">
        <x:f>IFERROR(VLOOKUP(B23,'Detection Catalog'!$A$5:$X$18,2,FALSE),"")</x:f>
      </x:c>
      <x:c r="D23" s="14" t="str"/>
      <x:c r="E23" s="36"/>
      <x:c r="F23" s="36"/>
      <x:c r="G23" s="14" t="str"/>
      <x:c r="H23" s="14" t="str"/>
      <x:c r="I23" s="14" t="str">
        <x:v>Planned</x:v>
      </x:c>
      <x:c r="J23" s="14" t="str"/>
      <x:c r="K23" s="14" t="str"/>
      <x:c r="L23" s="14" t="str"/>
      <x:c r="M23" s="14" t="str"/>
      <x:c r="N23" s="14" t="str"/>
      <x:c r="O23" s="14" t="str">
        <x:v>No</x:v>
      </x:c>
      <x:c r="P23" s="14" t="str"/>
      <x:c r="Q23" s="14" t="str"/>
      <x:c r="R23" s="36"/>
      <x:c r="S23" s="32" t="str">
        <x:f>IF(E23="","",IF(F23="",TODAY()-E23,F23-E23))</x:f>
      </x:c>
      <x:c r="T23" s="14" t="str"/>
    </x:row>
    <x:row r="24" ht="42" customHeight="1">
      <x:c r="A24" s="14" t="str">
        <x:v>HUNT-020</x:v>
      </x:c>
      <x:c r="B24" s="14" t="str"/>
      <x:c r="C24" s="14" t="str">
        <x:f>IFERROR(VLOOKUP(B24,'Detection Catalog'!$A$5:$X$18,2,FALSE),"")</x:f>
      </x:c>
      <x:c r="D24" s="14" t="str"/>
      <x:c r="E24" s="36"/>
      <x:c r="F24" s="36"/>
      <x:c r="G24" s="14" t="str"/>
      <x:c r="H24" s="14" t="str"/>
      <x:c r="I24" s="14" t="str">
        <x:v>Planned</x:v>
      </x:c>
      <x:c r="J24" s="14" t="str"/>
      <x:c r="K24" s="14" t="str"/>
      <x:c r="L24" s="14" t="str"/>
      <x:c r="M24" s="14" t="str"/>
      <x:c r="N24" s="14" t="str"/>
      <x:c r="O24" s="14" t="str">
        <x:v>No</x:v>
      </x:c>
      <x:c r="P24" s="14" t="str"/>
      <x:c r="Q24" s="14" t="str"/>
      <x:c r="R24" s="36"/>
      <x:c r="S24" s="32" t="str">
        <x:f>IF(E24="","",IF(F24="",TODAY()-E24,F24-E24))</x:f>
      </x:c>
      <x:c r="T24" s="14" t="str"/>
    </x:row>
    <x:row r="25" ht="42" customHeight="1">
      <x:c r="A25" s="14" t="str">
        <x:v>HUNT-021</x:v>
      </x:c>
      <x:c r="B25" s="14" t="str"/>
      <x:c r="C25" s="14" t="str">
        <x:f>IFERROR(VLOOKUP(B25,'Detection Catalog'!$A$5:$X$18,2,FALSE),"")</x:f>
      </x:c>
      <x:c r="D25" s="14" t="str"/>
      <x:c r="E25" s="36"/>
      <x:c r="F25" s="36"/>
      <x:c r="G25" s="14" t="str"/>
      <x:c r="H25" s="14" t="str"/>
      <x:c r="I25" s="14" t="str">
        <x:v>Planned</x:v>
      </x:c>
      <x:c r="J25" s="14" t="str"/>
      <x:c r="K25" s="14" t="str"/>
      <x:c r="L25" s="14" t="str"/>
      <x:c r="M25" s="14" t="str"/>
      <x:c r="N25" s="14" t="str"/>
      <x:c r="O25" s="14" t="str">
        <x:v>No</x:v>
      </x:c>
      <x:c r="P25" s="14" t="str"/>
      <x:c r="Q25" s="14" t="str"/>
      <x:c r="R25" s="36"/>
      <x:c r="S25" s="32" t="str">
        <x:f>IF(E25="","",IF(F25="",TODAY()-E25,F25-E25))</x:f>
      </x:c>
      <x:c r="T25" s="14" t="str"/>
    </x:row>
    <x:row r="26" ht="42" customHeight="1">
      <x:c r="A26" s="14" t="str">
        <x:v>HUNT-022</x:v>
      </x:c>
      <x:c r="B26" s="14" t="str"/>
      <x:c r="C26" s="14" t="str">
        <x:f>IFERROR(VLOOKUP(B26,'Detection Catalog'!$A$5:$X$18,2,FALSE),"")</x:f>
      </x:c>
      <x:c r="D26" s="14" t="str"/>
      <x:c r="E26" s="36"/>
      <x:c r="F26" s="36"/>
      <x:c r="G26" s="14" t="str"/>
      <x:c r="H26" s="14" t="str"/>
      <x:c r="I26" s="14" t="str">
        <x:v>Planned</x:v>
      </x:c>
      <x:c r="J26" s="14" t="str"/>
      <x:c r="K26" s="14" t="str"/>
      <x:c r="L26" s="14" t="str"/>
      <x:c r="M26" s="14" t="str"/>
      <x:c r="N26" s="14" t="str"/>
      <x:c r="O26" s="14" t="str">
        <x:v>No</x:v>
      </x:c>
      <x:c r="P26" s="14" t="str"/>
      <x:c r="Q26" s="14" t="str"/>
      <x:c r="R26" s="36"/>
      <x:c r="S26" s="32" t="str">
        <x:f>IF(E26="","",IF(F26="",TODAY()-E26,F26-E26))</x:f>
      </x:c>
      <x:c r="T26" s="14" t="str"/>
    </x:row>
    <x:row r="27" ht="42" customHeight="1">
      <x:c r="A27" s="14" t="str">
        <x:v>HUNT-023</x:v>
      </x:c>
      <x:c r="B27" s="14" t="str"/>
      <x:c r="C27" s="14" t="str">
        <x:f>IFERROR(VLOOKUP(B27,'Detection Catalog'!$A$5:$X$18,2,FALSE),"")</x:f>
      </x:c>
      <x:c r="D27" s="14" t="str"/>
      <x:c r="E27" s="36"/>
      <x:c r="F27" s="36"/>
      <x:c r="G27" s="14" t="str"/>
      <x:c r="H27" s="14" t="str"/>
      <x:c r="I27" s="14" t="str">
        <x:v>Planned</x:v>
      </x:c>
      <x:c r="J27" s="14" t="str"/>
      <x:c r="K27" s="14" t="str"/>
      <x:c r="L27" s="14" t="str"/>
      <x:c r="M27" s="14" t="str"/>
      <x:c r="N27" s="14" t="str"/>
      <x:c r="O27" s="14" t="str">
        <x:v>No</x:v>
      </x:c>
      <x:c r="P27" s="14" t="str"/>
      <x:c r="Q27" s="14" t="str"/>
      <x:c r="R27" s="36"/>
      <x:c r="S27" s="32" t="str">
        <x:f>IF(E27="","",IF(F27="",TODAY()-E27,F27-E27))</x:f>
      </x:c>
      <x:c r="T27" s="14" t="str"/>
    </x:row>
    <x:row r="28" ht="42" customHeight="1">
      <x:c r="A28" s="14" t="str">
        <x:v>HUNT-024</x:v>
      </x:c>
      <x:c r="B28" s="14" t="str"/>
      <x:c r="C28" s="14" t="str">
        <x:f>IFERROR(VLOOKUP(B28,'Detection Catalog'!$A$5:$X$18,2,FALSE),"")</x:f>
      </x:c>
      <x:c r="D28" s="14" t="str"/>
      <x:c r="E28" s="36"/>
      <x:c r="F28" s="36"/>
      <x:c r="G28" s="14" t="str"/>
      <x:c r="H28" s="14" t="str"/>
      <x:c r="I28" s="14" t="str">
        <x:v>Planned</x:v>
      </x:c>
      <x:c r="J28" s="14" t="str"/>
      <x:c r="K28" s="14" t="str"/>
      <x:c r="L28" s="14" t="str"/>
      <x:c r="M28" s="14" t="str"/>
      <x:c r="N28" s="14" t="str"/>
      <x:c r="O28" s="14" t="str">
        <x:v>No</x:v>
      </x:c>
      <x:c r="P28" s="14" t="str"/>
      <x:c r="Q28" s="14" t="str"/>
      <x:c r="R28" s="36"/>
      <x:c r="S28" s="32" t="str">
        <x:f>IF(E28="","",IF(F28="",TODAY()-E28,F28-E28))</x:f>
      </x:c>
      <x:c r="T28" s="14" t="str"/>
    </x:row>
    <x:row r="29" ht="42" customHeight="1">
      <x:c r="A29" s="14" t="str">
        <x:v>HUNT-025</x:v>
      </x:c>
      <x:c r="B29" s="14" t="str"/>
      <x:c r="C29" s="14" t="str">
        <x:f>IFERROR(VLOOKUP(B29,'Detection Catalog'!$A$5:$X$18,2,FALSE),"")</x:f>
      </x:c>
      <x:c r="D29" s="14" t="str"/>
      <x:c r="E29" s="36"/>
      <x:c r="F29" s="36"/>
      <x:c r="G29" s="14" t="str"/>
      <x:c r="H29" s="14" t="str"/>
      <x:c r="I29" s="14" t="str">
        <x:v>Planned</x:v>
      </x:c>
      <x:c r="J29" s="14" t="str"/>
      <x:c r="K29" s="14" t="str"/>
      <x:c r="L29" s="14" t="str"/>
      <x:c r="M29" s="14" t="str"/>
      <x:c r="N29" s="14" t="str"/>
      <x:c r="O29" s="14" t="str">
        <x:v>No</x:v>
      </x:c>
      <x:c r="P29" s="14" t="str"/>
      <x:c r="Q29" s="14" t="str"/>
      <x:c r="R29" s="36"/>
      <x:c r="S29" s="32" t="str">
        <x:f>IF(E29="","",IF(F29="",TODAY()-E29,F29-E29))</x:f>
      </x:c>
      <x:c r="T29" s="14" t="str"/>
    </x:row>
    <x:row r="30" ht="42" customHeight="1">
      <x:c r="A30" s="14" t="str">
        <x:v>HUNT-026</x:v>
      </x:c>
      <x:c r="B30" s="14" t="str"/>
      <x:c r="C30" s="14" t="str">
        <x:f>IFERROR(VLOOKUP(B30,'Detection Catalog'!$A$5:$X$18,2,FALSE),"")</x:f>
      </x:c>
      <x:c r="D30" s="14" t="str"/>
      <x:c r="E30" s="36"/>
      <x:c r="F30" s="36"/>
      <x:c r="G30" s="14" t="str"/>
      <x:c r="H30" s="14" t="str"/>
      <x:c r="I30" s="14" t="str">
        <x:v>Planned</x:v>
      </x:c>
      <x:c r="J30" s="14" t="str"/>
      <x:c r="K30" s="14" t="str"/>
      <x:c r="L30" s="14" t="str"/>
      <x:c r="M30" s="14" t="str"/>
      <x:c r="N30" s="14" t="str"/>
      <x:c r="O30" s="14" t="str">
        <x:v>No</x:v>
      </x:c>
      <x:c r="P30" s="14" t="str"/>
      <x:c r="Q30" s="14" t="str"/>
      <x:c r="R30" s="36"/>
      <x:c r="S30" s="32" t="str">
        <x:f>IF(E30="","",IF(F30="",TODAY()-E30,F30-E30))</x:f>
      </x:c>
      <x:c r="T30" s="14" t="str"/>
    </x:row>
    <x:row r="31" ht="42" customHeight="1">
      <x:c r="A31" s="14" t="str">
        <x:v>HUNT-027</x:v>
      </x:c>
      <x:c r="B31" s="14" t="str"/>
      <x:c r="C31" s="14" t="str">
        <x:f>IFERROR(VLOOKUP(B31,'Detection Catalog'!$A$5:$X$18,2,FALSE),"")</x:f>
      </x:c>
      <x:c r="D31" s="14" t="str"/>
      <x:c r="E31" s="36"/>
      <x:c r="F31" s="36"/>
      <x:c r="G31" s="14" t="str"/>
      <x:c r="H31" s="14" t="str"/>
      <x:c r="I31" s="14" t="str">
        <x:v>Planned</x:v>
      </x:c>
      <x:c r="J31" s="14" t="str"/>
      <x:c r="K31" s="14" t="str"/>
      <x:c r="L31" s="14" t="str"/>
      <x:c r="M31" s="14" t="str"/>
      <x:c r="N31" s="14" t="str"/>
      <x:c r="O31" s="14" t="str">
        <x:v>No</x:v>
      </x:c>
      <x:c r="P31" s="14" t="str"/>
      <x:c r="Q31" s="14" t="str"/>
      <x:c r="R31" s="36"/>
      <x:c r="S31" s="32" t="str">
        <x:f>IF(E31="","",IF(F31="",TODAY()-E31,F31-E31))</x:f>
      </x:c>
      <x:c r="T31" s="14" t="str"/>
    </x:row>
    <x:row r="32" ht="42" customHeight="1">
      <x:c r="A32" s="14" t="str">
        <x:v>HUNT-028</x:v>
      </x:c>
      <x:c r="B32" s="14" t="str"/>
      <x:c r="C32" s="14" t="str">
        <x:f>IFERROR(VLOOKUP(B32,'Detection Catalog'!$A$5:$X$18,2,FALSE),"")</x:f>
      </x:c>
      <x:c r="D32" s="14" t="str"/>
      <x:c r="E32" s="36"/>
      <x:c r="F32" s="36"/>
      <x:c r="G32" s="14" t="str"/>
      <x:c r="H32" s="14" t="str"/>
      <x:c r="I32" s="14" t="str">
        <x:v>Planned</x:v>
      </x:c>
      <x:c r="J32" s="14" t="str"/>
      <x:c r="K32" s="14" t="str"/>
      <x:c r="L32" s="14" t="str"/>
      <x:c r="M32" s="14" t="str"/>
      <x:c r="N32" s="14" t="str"/>
      <x:c r="O32" s="14" t="str">
        <x:v>No</x:v>
      </x:c>
      <x:c r="P32" s="14" t="str"/>
      <x:c r="Q32" s="14" t="str"/>
      <x:c r="R32" s="36"/>
      <x:c r="S32" s="32" t="str">
        <x:f>IF(E32="","",IF(F32="",TODAY()-E32,F32-E32))</x:f>
      </x:c>
      <x:c r="T32" s="14" t="str"/>
    </x:row>
    <x:row r="33" ht="42" customHeight="1">
      <x:c r="A33" s="14" t="str">
        <x:v>HUNT-029</x:v>
      </x:c>
      <x:c r="B33" s="14" t="str"/>
      <x:c r="C33" s="14" t="str">
        <x:f>IFERROR(VLOOKUP(B33,'Detection Catalog'!$A$5:$X$18,2,FALSE),"")</x:f>
      </x:c>
      <x:c r="D33" s="14" t="str"/>
      <x:c r="E33" s="36"/>
      <x:c r="F33" s="36"/>
      <x:c r="G33" s="14" t="str"/>
      <x:c r="H33" s="14" t="str"/>
      <x:c r="I33" s="14" t="str">
        <x:v>Planned</x:v>
      </x:c>
      <x:c r="J33" s="14" t="str"/>
      <x:c r="K33" s="14" t="str"/>
      <x:c r="L33" s="14" t="str"/>
      <x:c r="M33" s="14" t="str"/>
      <x:c r="N33" s="14" t="str"/>
      <x:c r="O33" s="14" t="str">
        <x:v>No</x:v>
      </x:c>
      <x:c r="P33" s="14" t="str"/>
      <x:c r="Q33" s="14" t="str"/>
      <x:c r="R33" s="36"/>
      <x:c r="S33" s="32" t="str">
        <x:f>IF(E33="","",IF(F33="",TODAY()-E33,F33-E33))</x:f>
      </x:c>
      <x:c r="T33" s="14" t="str"/>
    </x:row>
    <x:row r="34" ht="42" customHeight="1">
      <x:c r="A34" s="14" t="str">
        <x:v>HUNT-030</x:v>
      </x:c>
      <x:c r="B34" s="14" t="str"/>
      <x:c r="C34" s="14" t="str">
        <x:f>IFERROR(VLOOKUP(B34,'Detection Catalog'!$A$5:$X$18,2,FALSE),"")</x:f>
      </x:c>
      <x:c r="D34" s="14" t="str"/>
      <x:c r="E34" s="36"/>
      <x:c r="F34" s="36"/>
      <x:c r="G34" s="14" t="str"/>
      <x:c r="H34" s="14" t="str"/>
      <x:c r="I34" s="14" t="str">
        <x:v>Planned</x:v>
      </x:c>
      <x:c r="J34" s="14" t="str"/>
      <x:c r="K34" s="14" t="str"/>
      <x:c r="L34" s="14" t="str"/>
      <x:c r="M34" s="14" t="str"/>
      <x:c r="N34" s="14" t="str"/>
      <x:c r="O34" s="14" t="str">
        <x:v>No</x:v>
      </x:c>
      <x:c r="P34" s="14" t="str"/>
      <x:c r="Q34" s="14" t="str"/>
      <x:c r="R34" s="36"/>
      <x:c r="S34" s="32" t="str">
        <x:f>IF(E34="","",IF(F34="",TODAY()-E34,F34-E34))</x:f>
      </x:c>
      <x:c r="T34" s="14" t="str"/>
    </x:row>
    <x:row r="35" ht="42" customHeight="1">
      <x:c r="A35" s="14" t="str">
        <x:v>HUNT-031</x:v>
      </x:c>
      <x:c r="B35" s="14" t="str"/>
      <x:c r="C35" s="14" t="str">
        <x:f>IFERROR(VLOOKUP(B35,'Detection Catalog'!$A$5:$X$18,2,FALSE),"")</x:f>
      </x:c>
      <x:c r="D35" s="14" t="str"/>
      <x:c r="E35" s="36"/>
      <x:c r="F35" s="36"/>
      <x:c r="G35" s="14" t="str"/>
      <x:c r="H35" s="14" t="str"/>
      <x:c r="I35" s="14" t="str">
        <x:v>Planned</x:v>
      </x:c>
      <x:c r="J35" s="14" t="str"/>
      <x:c r="K35" s="14" t="str"/>
      <x:c r="L35" s="14" t="str"/>
      <x:c r="M35" s="14" t="str"/>
      <x:c r="N35" s="14" t="str"/>
      <x:c r="O35" s="14" t="str">
        <x:v>No</x:v>
      </x:c>
      <x:c r="P35" s="14" t="str"/>
      <x:c r="Q35" s="14" t="str"/>
      <x:c r="R35" s="36"/>
      <x:c r="S35" s="32" t="str">
        <x:f>IF(E35="","",IF(F35="",TODAY()-E35,F35-E35))</x:f>
      </x:c>
      <x:c r="T35" s="14" t="str"/>
    </x:row>
    <x:row r="36" ht="42" customHeight="1">
      <x:c r="A36" s="14" t="str">
        <x:v>HUNT-032</x:v>
      </x:c>
      <x:c r="B36" s="14" t="str"/>
      <x:c r="C36" s="14" t="str">
        <x:f>IFERROR(VLOOKUP(B36,'Detection Catalog'!$A$5:$X$18,2,FALSE),"")</x:f>
      </x:c>
      <x:c r="D36" s="14" t="str"/>
      <x:c r="E36" s="36"/>
      <x:c r="F36" s="36"/>
      <x:c r="G36" s="14" t="str"/>
      <x:c r="H36" s="14" t="str"/>
      <x:c r="I36" s="14" t="str">
        <x:v>Planned</x:v>
      </x:c>
      <x:c r="J36" s="14" t="str"/>
      <x:c r="K36" s="14" t="str"/>
      <x:c r="L36" s="14" t="str"/>
      <x:c r="M36" s="14" t="str"/>
      <x:c r="N36" s="14" t="str"/>
      <x:c r="O36" s="14" t="str">
        <x:v>No</x:v>
      </x:c>
      <x:c r="P36" s="14" t="str"/>
      <x:c r="Q36" s="14" t="str"/>
      <x:c r="R36" s="36"/>
      <x:c r="S36" s="32" t="str">
        <x:f>IF(E36="","",IF(F36="",TODAY()-E36,F36-E36))</x:f>
      </x:c>
      <x:c r="T36" s="14" t="str"/>
    </x:row>
    <x:row r="37" ht="42" customHeight="1">
      <x:c r="A37" s="14" t="str">
        <x:v>HUNT-033</x:v>
      </x:c>
      <x:c r="B37" s="14" t="str"/>
      <x:c r="C37" s="14" t="str">
        <x:f>IFERROR(VLOOKUP(B37,'Detection Catalog'!$A$5:$X$18,2,FALSE),"")</x:f>
      </x:c>
      <x:c r="D37" s="14" t="str"/>
      <x:c r="E37" s="36"/>
      <x:c r="F37" s="36"/>
      <x:c r="G37" s="14" t="str"/>
      <x:c r="H37" s="14" t="str"/>
      <x:c r="I37" s="14" t="str">
        <x:v>Planned</x:v>
      </x:c>
      <x:c r="J37" s="14" t="str"/>
      <x:c r="K37" s="14" t="str"/>
      <x:c r="L37" s="14" t="str"/>
      <x:c r="M37" s="14" t="str"/>
      <x:c r="N37" s="14" t="str"/>
      <x:c r="O37" s="14" t="str">
        <x:v>No</x:v>
      </x:c>
      <x:c r="P37" s="14" t="str"/>
      <x:c r="Q37" s="14" t="str"/>
      <x:c r="R37" s="36"/>
      <x:c r="S37" s="32" t="str">
        <x:f>IF(E37="","",IF(F37="",TODAY()-E37,F37-E37))</x:f>
      </x:c>
      <x:c r="T37" s="14" t="str"/>
    </x:row>
    <x:row r="38" ht="42" customHeight="1">
      <x:c r="A38" s="14" t="str">
        <x:v>HUNT-034</x:v>
      </x:c>
      <x:c r="B38" s="14" t="str"/>
      <x:c r="C38" s="14" t="str">
        <x:f>IFERROR(VLOOKUP(B38,'Detection Catalog'!$A$5:$X$18,2,FALSE),"")</x:f>
      </x:c>
      <x:c r="D38" s="14" t="str"/>
      <x:c r="E38" s="36"/>
      <x:c r="F38" s="36"/>
      <x:c r="G38" s="14" t="str"/>
      <x:c r="H38" s="14" t="str"/>
      <x:c r="I38" s="14" t="str">
        <x:v>Planned</x:v>
      </x:c>
      <x:c r="J38" s="14" t="str"/>
      <x:c r="K38" s="14" t="str"/>
      <x:c r="L38" s="14" t="str"/>
      <x:c r="M38" s="14" t="str"/>
      <x:c r="N38" s="14" t="str"/>
      <x:c r="O38" s="14" t="str">
        <x:v>No</x:v>
      </x:c>
      <x:c r="P38" s="14" t="str"/>
      <x:c r="Q38" s="14" t="str"/>
      <x:c r="R38" s="36"/>
      <x:c r="S38" s="32" t="str">
        <x:f>IF(E38="","",IF(F38="",TODAY()-E38,F38-E38))</x:f>
      </x:c>
      <x:c r="T38" s="14" t="str"/>
    </x:row>
    <x:row r="39" ht="42" customHeight="1">
      <x:c r="A39" s="14" t="str">
        <x:v>HUNT-035</x:v>
      </x:c>
      <x:c r="B39" s="14" t="str"/>
      <x:c r="C39" s="14" t="str">
        <x:f>IFERROR(VLOOKUP(B39,'Detection Catalog'!$A$5:$X$18,2,FALSE),"")</x:f>
      </x:c>
      <x:c r="D39" s="14" t="str"/>
      <x:c r="E39" s="36"/>
      <x:c r="F39" s="36"/>
      <x:c r="G39" s="14" t="str"/>
      <x:c r="H39" s="14" t="str"/>
      <x:c r="I39" s="14" t="str">
        <x:v>Planned</x:v>
      </x:c>
      <x:c r="J39" s="14" t="str"/>
      <x:c r="K39" s="14" t="str"/>
      <x:c r="L39" s="14" t="str"/>
      <x:c r="M39" s="14" t="str"/>
      <x:c r="N39" s="14" t="str"/>
      <x:c r="O39" s="14" t="str">
        <x:v>No</x:v>
      </x:c>
      <x:c r="P39" s="14" t="str"/>
      <x:c r="Q39" s="14" t="str"/>
      <x:c r="R39" s="36"/>
      <x:c r="S39" s="32" t="str">
        <x:f>IF(E39="","",IF(F39="",TODAY()-E39,F39-E39))</x:f>
      </x:c>
      <x:c r="T39" s="14" t="str"/>
    </x:row>
    <x:row r="40" ht="42" customHeight="1">
      <x:c r="A40" s="14" t="str">
        <x:v>HUNT-036</x:v>
      </x:c>
      <x:c r="B40" s="14" t="str"/>
      <x:c r="C40" s="14" t="str">
        <x:f>IFERROR(VLOOKUP(B40,'Detection Catalog'!$A$5:$X$18,2,FALSE),"")</x:f>
      </x:c>
      <x:c r="D40" s="14" t="str"/>
      <x:c r="E40" s="36"/>
      <x:c r="F40" s="36"/>
      <x:c r="G40" s="14" t="str"/>
      <x:c r="H40" s="14" t="str"/>
      <x:c r="I40" s="14" t="str">
        <x:v>Planned</x:v>
      </x:c>
      <x:c r="J40" s="14" t="str"/>
      <x:c r="K40" s="14" t="str"/>
      <x:c r="L40" s="14" t="str"/>
      <x:c r="M40" s="14" t="str"/>
      <x:c r="N40" s="14" t="str"/>
      <x:c r="O40" s="14" t="str">
        <x:v>No</x:v>
      </x:c>
      <x:c r="P40" s="14" t="str"/>
      <x:c r="Q40" s="14" t="str"/>
      <x:c r="R40" s="36"/>
      <x:c r="S40" s="32" t="str">
        <x:f>IF(E40="","",IF(F40="",TODAY()-E40,F40-E40))</x:f>
      </x:c>
      <x:c r="T40" s="14" t="str"/>
    </x:row>
    <x:row r="41" ht="42" customHeight="1">
      <x:c r="A41" s="14" t="str">
        <x:v>HUNT-037</x:v>
      </x:c>
      <x:c r="B41" s="14" t="str"/>
      <x:c r="C41" s="14" t="str">
        <x:f>IFERROR(VLOOKUP(B41,'Detection Catalog'!$A$5:$X$18,2,FALSE),"")</x:f>
      </x:c>
      <x:c r="D41" s="14" t="str"/>
      <x:c r="E41" s="36"/>
      <x:c r="F41" s="36"/>
      <x:c r="G41" s="14" t="str"/>
      <x:c r="H41" s="14" t="str"/>
      <x:c r="I41" s="14" t="str">
        <x:v>Planned</x:v>
      </x:c>
      <x:c r="J41" s="14" t="str"/>
      <x:c r="K41" s="14" t="str"/>
      <x:c r="L41" s="14" t="str"/>
      <x:c r="M41" s="14" t="str"/>
      <x:c r="N41" s="14" t="str"/>
      <x:c r="O41" s="14" t="str">
        <x:v>No</x:v>
      </x:c>
      <x:c r="P41" s="14" t="str"/>
      <x:c r="Q41" s="14" t="str"/>
      <x:c r="R41" s="36"/>
      <x:c r="S41" s="32" t="str">
        <x:f>IF(E41="","",IF(F41="",TODAY()-E41,F41-E41))</x:f>
      </x:c>
      <x:c r="T41" s="14" t="str"/>
    </x:row>
    <x:row r="42" ht="42" customHeight="1">
      <x:c r="A42" s="14" t="str">
        <x:v>HUNT-038</x:v>
      </x:c>
      <x:c r="B42" s="14" t="str"/>
      <x:c r="C42" s="14" t="str">
        <x:f>IFERROR(VLOOKUP(B42,'Detection Catalog'!$A$5:$X$18,2,FALSE),"")</x:f>
      </x:c>
      <x:c r="D42" s="14" t="str"/>
      <x:c r="E42" s="36"/>
      <x:c r="F42" s="36"/>
      <x:c r="G42" s="14" t="str"/>
      <x:c r="H42" s="14" t="str"/>
      <x:c r="I42" s="14" t="str">
        <x:v>Planned</x:v>
      </x:c>
      <x:c r="J42" s="14" t="str"/>
      <x:c r="K42" s="14" t="str"/>
      <x:c r="L42" s="14" t="str"/>
      <x:c r="M42" s="14" t="str"/>
      <x:c r="N42" s="14" t="str"/>
      <x:c r="O42" s="14" t="str">
        <x:v>No</x:v>
      </x:c>
      <x:c r="P42" s="14" t="str"/>
      <x:c r="Q42" s="14" t="str"/>
      <x:c r="R42" s="36"/>
      <x:c r="S42" s="32" t="str">
        <x:f>IF(E42="","",IF(F42="",TODAY()-E42,F42-E42))</x:f>
      </x:c>
      <x:c r="T42" s="14" t="str"/>
    </x:row>
    <x:row r="43" ht="42" customHeight="1">
      <x:c r="A43" s="14" t="str">
        <x:v>HUNT-039</x:v>
      </x:c>
      <x:c r="B43" s="14" t="str"/>
      <x:c r="C43" s="14" t="str">
        <x:f>IFERROR(VLOOKUP(B43,'Detection Catalog'!$A$5:$X$18,2,FALSE),"")</x:f>
      </x:c>
      <x:c r="D43" s="14" t="str"/>
      <x:c r="E43" s="36"/>
      <x:c r="F43" s="36"/>
      <x:c r="G43" s="14" t="str"/>
      <x:c r="H43" s="14" t="str"/>
      <x:c r="I43" s="14" t="str">
        <x:v>Planned</x:v>
      </x:c>
      <x:c r="J43" s="14" t="str"/>
      <x:c r="K43" s="14" t="str"/>
      <x:c r="L43" s="14" t="str"/>
      <x:c r="M43" s="14" t="str"/>
      <x:c r="N43" s="14" t="str"/>
      <x:c r="O43" s="14" t="str">
        <x:v>No</x:v>
      </x:c>
      <x:c r="P43" s="14" t="str"/>
      <x:c r="Q43" s="14" t="str"/>
      <x:c r="R43" s="36"/>
      <x:c r="S43" s="32" t="str">
        <x:f>IF(E43="","",IF(F43="",TODAY()-E43,F43-E43))</x:f>
      </x:c>
      <x:c r="T43" s="14" t="str"/>
    </x:row>
    <x:row r="44" ht="42" customHeight="1">
      <x:c r="A44" s="14" t="str">
        <x:v>HUNT-040</x:v>
      </x:c>
      <x:c r="B44" s="14" t="str"/>
      <x:c r="C44" s="14" t="str">
        <x:f>IFERROR(VLOOKUP(B44,'Detection Catalog'!$A$5:$X$18,2,FALSE),"")</x:f>
      </x:c>
      <x:c r="D44" s="14" t="str"/>
      <x:c r="E44" s="36"/>
      <x:c r="F44" s="36"/>
      <x:c r="G44" s="14" t="str"/>
      <x:c r="H44" s="14" t="str"/>
      <x:c r="I44" s="14" t="str">
        <x:v>Planned</x:v>
      </x:c>
      <x:c r="J44" s="14" t="str"/>
      <x:c r="K44" s="14" t="str"/>
      <x:c r="L44" s="14" t="str"/>
      <x:c r="M44" s="14" t="str"/>
      <x:c r="N44" s="14" t="str"/>
      <x:c r="O44" s="14" t="str">
        <x:v>No</x:v>
      </x:c>
      <x:c r="P44" s="14" t="str"/>
      <x:c r="Q44" s="14" t="str"/>
      <x:c r="R44" s="36"/>
      <x:c r="S44" s="32" t="str">
        <x:f>IF(E44="","",IF(F44="",TODAY()-E44,F44-E44))</x:f>
      </x:c>
      <x:c r="T44" s="14" t="str"/>
    </x:row>
  </x:sheetData>
  <x:mergeCells>
    <x:mergeCell ref="A1:T1"/>
    <x:mergeCell ref="A2:T2"/>
  </x:mergeCells>
  <x:conditionalFormatting sqref="S5:S44">
    <x:cfRule type="dataBar" priority="1">
      <x:dataBar>
        <x:cfvo type="min"/>
        <x:cfvo type="max"/>
        <x:color rgb="FFF4B183"/>
      </x:dataBar>
      <x:extLst>
        <x:ext xmlns:x14="http://schemas.microsoft.com/office/spreadsheetml/2009/9/main" uri="{B025F937-C7B1-47D3-B67F-A62EFF666E3E}">
          <x14:id>{CBDB48C8-9C09-1745-B71A-C456301B83E2}</x14:id>
        </x:ext>
      </x:extLst>
    </x:cfRule>
  </x:conditionalFormatting>
  <x:conditionalFormatting sqref="I5:I44">
    <x:cfRule type="expression" dxfId="50" priority="2">
      <x:formula>I5="Implemented"</x:formula>
    </x:cfRule>
  </x:conditionalFormatting>
  <x:conditionalFormatting sqref="J5:J44">
    <x:cfRule type="expression" dxfId="51" priority="3">
      <x:formula>J5="Confirmed Malicious"</x:formula>
    </x:cfRule>
    <x:cfRule type="expression" dxfId="52" priority="4">
      <x:formula>J5="Suspicious"</x:formula>
    </x:cfRule>
  </x:conditionalFormatting>
  <x:dataValidations count="5">
    <x:dataValidation type="list" sqref="B5:B44">
      <x:formula1>'Detection Catalog'!$A$5:$A$18</x:formula1>
    </x:dataValidation>
    <x:dataValidation type="list" sqref="H5:H44">
      <x:formula1>'Reference Lists'!$H$2:$H$7</x:formula1>
    </x:dataValidation>
    <x:dataValidation type="list" sqref="I5:I44">
      <x:formula1>'Reference Lists'!$A$2:$A$7</x:formula1>
    </x:dataValidation>
    <x:dataValidation type="list" sqref="J5:J44">
      <x:formula1>'Reference Lists'!$E$2:$E$5</x:formula1>
    </x:dataValidation>
    <x:dataValidation type="list" sqref="O5:O44">
      <x:formula1>'Reference Lists'!$F$2:$F$3</x:formula1>
    </x:dataValidation>
  </x:dataValidations>
  <x:pageMargins left="0.7" right="0.7" top="0.75" bottom="0.75" header="0.3" footer="0.3"/>
  <x:tableParts count="1">
    <x:tablePart xmlns:r="http://schemas.openxmlformats.org/officeDocument/2006/relationships" r:id="R9dff0598d9f14205"/>
  </x:tableParts>
  <x:extLst>
    <x:ext xmlns:x14="http://schemas.microsoft.com/office/spreadsheetml/2009/9/main" xmlns:xm="http://schemas.microsoft.com/office/excel/2006/main" uri="{78C0D931-6437-407d-A8EE-F0AAD7539E65}">
      <x14:conditionalFormattings>
        <x14:conditionalFormatting>
          <x14:cfRule type="dataBar" priority="1" id="{CBDB48C8-9C09-1745-B71A-C456301B83E2}">
            <x14:dataBar gradient="1">
              <x14:cfvo type="min"/>
              <x14:cfvo type="max"/>
              <x14:fillColor rgb="FFF4B183"/>
            </x14:dataBar>
          </x14:cfRule>
          <xm:sqref>S5:S44</xm:sqref>
        </x14:conditionalFormatting>
      </x14:conditionalFormattings>
    </x:ext>
  </x:extLst>
</x:worksheet>
</file>

<file path=xl/worksheets/sheet5.xml><?xml version="1.0" encoding="utf-8"?>
<x:worksheet xmlns:x="http://schemas.openxmlformats.org/spreadsheetml/2006/main">
  <x:sheetFormatPr defaultRowHeight="15"/>
  <x:cols>
    <x:col min="1" max="1" width="12" hidden="0" customWidth="1"/>
    <x:col min="2" max="2" width="31"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34" hidden="0" customWidth="1"/>
  </x:cols>
  <x:sheetData>
    <x:row r="1">
      <x:c r="A1" s="21" t="str">
        <x:v>Telemetry Coverage Matrix</x:v>
      </x:c>
      <x:c r="B1" s="21"/>
      <x:c r="C1" s="21"/>
      <x:c r="D1" s="21"/>
      <x:c r="E1" s="21"/>
      <x:c r="F1" s="21"/>
      <x:c r="G1" s="21"/>
      <x:c r="H1" s="21"/>
      <x:c r="I1" s="21"/>
      <x:c r="J1" s="21"/>
      <x:c r="K1" s="21"/>
      <x:c r="L1" s="21"/>
      <x:c r="M1" s="21"/>
      <x:c r="N1" s="21"/>
    </x:row>
    <x:row r="2">
      <x:c r="A2" s="38" t="str">
        <x:v>Use this matrix to identify the minimum data sources required to operationalize each analytic.</x:v>
      </x:c>
      <x:c r="B2" s="38"/>
      <x:c r="C2" s="38"/>
      <x:c r="D2" s="38"/>
      <x:c r="E2" s="38"/>
      <x:c r="F2" s="38"/>
      <x:c r="G2" s="38"/>
      <x:c r="H2" s="38"/>
      <x:c r="I2" s="38"/>
      <x:c r="J2" s="38"/>
      <x:c r="K2" s="38"/>
      <x:c r="L2" s="38"/>
      <x:c r="M2" s="38"/>
      <x:c r="N2" s="38"/>
    </x:row>
    <x:row r="4">
      <x:c r="A4" s="6" t="str">
        <x:v>Scenario ID</x:v>
      </x:c>
      <x:c r="B4" s="6" t="str">
        <x:v>Scenario</x:v>
      </x:c>
      <x:c r="C4" s="6" t="str">
        <x:v>EDR / Process</x:v>
      </x:c>
      <x:c r="D4" s="6" t="str">
        <x:v>File / Registry</x:v>
      </x:c>
      <x:c r="E4" s="6" t="str">
        <x:v>DNS / Proxy</x:v>
      </x:c>
      <x:c r="F4" s="6" t="str">
        <x:v>Network / TLS</x:v>
      </x:c>
      <x:c r="G4" s="6" t="str">
        <x:v>AI Gateway / API</x:v>
      </x:c>
      <x:c r="H4" s="6" t="str">
        <x:v>Cloud / IAM</x:v>
      </x:c>
      <x:c r="I4" s="6" t="str">
        <x:v>Git / CI-CD</x:v>
      </x:c>
      <x:c r="J4" s="6" t="str">
        <x:v>DLP / CASB</x:v>
      </x:c>
      <x:c r="K4" s="6" t="str">
        <x:v>GPU / ML Runtime</x:v>
      </x:c>
      <x:c r="L4" s="6" t="str">
        <x:v>SaaS / BaaS</x:v>
      </x:c>
      <x:c r="M4" s="6" t="str">
        <x:v>Email / Web</x:v>
      </x:c>
      <x:c r="N4" s="6" t="str">
        <x:v>Priority Notes</x:v>
      </x:c>
    </x:row>
    <x:row r="5" ht="38" customHeight="1">
      <x:c r="A5" s="14" t="str">
        <x:v>AIH-001</x:v>
      </x:c>
      <x:c r="B5" s="14" t="str">
        <x:v>Unexpected Process Calls an LLM</x:v>
      </x:c>
      <x:c r="C5" s="14" t="str">
        <x:v>Required</x:v>
      </x:c>
      <x:c r="D5" s="14" t="str">
        <x:v>Recommended</x:v>
      </x:c>
      <x:c r="E5" s="14" t="str">
        <x:v>Required</x:v>
      </x:c>
      <x:c r="F5" s="14" t="str">
        <x:v>Required</x:v>
      </x:c>
      <x:c r="G5" s="14" t="str">
        <x:v>Required</x:v>
      </x:c>
      <x:c r="H5" s="14" t="str">
        <x:v>Optional</x:v>
      </x:c>
      <x:c r="I5" s="14" t="str">
        <x:v>Optional</x:v>
      </x:c>
      <x:c r="J5" s="14" t="str">
        <x:v>Recommended</x:v>
      </x:c>
      <x:c r="K5" s="14" t="str">
        <x:v>Optional</x:v>
      </x:c>
      <x:c r="L5" s="14" t="str">
        <x:v>Optional</x:v>
      </x:c>
      <x:c r="M5" s="14" t="str">
        <x:v>Optional</x:v>
      </x:c>
      <x:c r="N5" s="14" t="str">
        <x:v>Process-to-destination correlation is essential.</x:v>
      </x:c>
    </x:row>
    <x:row r="6" ht="38" customHeight="1">
      <x:c r="A6" s="14" t="str">
        <x:v>AIH-002</x:v>
      </x:c>
      <x:c r="B6" s="14" t="str">
        <x:v>AI Response Followed by Code Execution</x:v>
      </x:c>
      <x:c r="C6" s="14" t="str">
        <x:v>Required</x:v>
      </x:c>
      <x:c r="D6" s="14" t="str">
        <x:v>Required</x:v>
      </x:c>
      <x:c r="E6" s="14" t="str">
        <x:v>Recommended</x:v>
      </x:c>
      <x:c r="F6" s="14" t="str">
        <x:v>Recommended</x:v>
      </x:c>
      <x:c r="G6" s="14" t="str">
        <x:v>Required</x:v>
      </x:c>
      <x:c r="H6" s="14" t="str">
        <x:v>Optional</x:v>
      </x:c>
      <x:c r="I6" s="14" t="str">
        <x:v>Recommended</x:v>
      </x:c>
      <x:c r="J6" s="14" t="str">
        <x:v>Optional</x:v>
      </x:c>
      <x:c r="K6" s="14" t="str">
        <x:v>Optional</x:v>
      </x:c>
      <x:c r="L6" s="14" t="str">
        <x:v>Optional</x:v>
      </x:c>
      <x:c r="M6" s="14" t="str">
        <x:v>Optional</x:v>
      </x:c>
      <x:c r="N6" s="14" t="str">
        <x:v>Use a shared session or correlation ID.</x:v>
      </x:c>
    </x:row>
    <x:row r="7" ht="38" customHeight="1">
      <x:c r="A7" s="14" t="str">
        <x:v>AIH-003</x:v>
      </x:c>
      <x:c r="B7" s="14" t="str">
        <x:v>Runtime Compilation Outside Development</x:v>
      </x:c>
      <x:c r="C7" s="14" t="str">
        <x:v>Required</x:v>
      </x:c>
      <x:c r="D7" s="14" t="str">
        <x:v>Required</x:v>
      </x:c>
      <x:c r="E7" s="14" t="str">
        <x:v>Optional</x:v>
      </x:c>
      <x:c r="F7" s="14" t="str">
        <x:v>Optional</x:v>
      </x:c>
      <x:c r="G7" s="14" t="str">
        <x:v>Recommended</x:v>
      </x:c>
      <x:c r="H7" s="14" t="str">
        <x:v>Optional</x:v>
      </x:c>
      <x:c r="I7" s="14" t="str">
        <x:v>Recommended</x:v>
      </x:c>
      <x:c r="J7" s="14" t="str">
        <x:v>Optional</x:v>
      </x:c>
      <x:c r="K7" s="14" t="str">
        <x:v>Optional</x:v>
      </x:c>
      <x:c r="L7" s="14" t="str">
        <x:v>Optional</x:v>
      </x:c>
      <x:c r="M7" s="14" t="str">
        <x:v>Optional</x:v>
      </x:c>
      <x:c r="N7" s="14" t="str">
        <x:v>Asset-role context reduces false positives.</x:v>
      </x:c>
    </x:row>
    <x:row r="8" ht="38" customHeight="1">
      <x:c r="A8" s="14" t="str">
        <x:v>AIH-004</x:v>
      </x:c>
      <x:c r="B8" s="14" t="str">
        <x:v>AI Agent or CLI Accesses Secrets</x:v>
      </x:c>
      <x:c r="C8" s="14" t="str">
        <x:v>Required</x:v>
      </x:c>
      <x:c r="D8" s="14" t="str">
        <x:v>Required</x:v>
      </x:c>
      <x:c r="E8" s="14" t="str">
        <x:v>Optional</x:v>
      </x:c>
      <x:c r="F8" s="14" t="str">
        <x:v>Optional</x:v>
      </x:c>
      <x:c r="G8" s="14" t="str">
        <x:v>Required</x:v>
      </x:c>
      <x:c r="H8" s="14" t="str">
        <x:v>Required</x:v>
      </x:c>
      <x:c r="I8" s="14" t="str">
        <x:v>Required</x:v>
      </x:c>
      <x:c r="J8" s="14" t="str">
        <x:v>Required</x:v>
      </x:c>
      <x:c r="K8" s="14" t="str">
        <x:v>Optional</x:v>
      </x:c>
      <x:c r="L8" s="14" t="str">
        <x:v>Optional</x:v>
      </x:c>
      <x:c r="M8" s="14" t="str">
        <x:v>Optional</x:v>
      </x:c>
      <x:c r="N8" s="14" t="str">
        <x:v>Protect high-value secret paths and stores.</x:v>
      </x:c>
    </x:row>
    <x:row r="9" ht="38" customHeight="1">
      <x:c r="A9" s="14" t="str">
        <x:v>AIH-005</x:v>
      </x:c>
      <x:c r="B9" s="14" t="str">
        <x:v>AI Share Link Followed by Shell Execution</x:v>
      </x:c>
      <x:c r="C9" s="14" t="str">
        <x:v>Required</x:v>
      </x:c>
      <x:c r="D9" s="14" t="str">
        <x:v>Recommended</x:v>
      </x:c>
      <x:c r="E9" s="14" t="str">
        <x:v>Required</x:v>
      </x:c>
      <x:c r="F9" s="14" t="str">
        <x:v>Recommended</x:v>
      </x:c>
      <x:c r="G9" s="14" t="str">
        <x:v>Optional</x:v>
      </x:c>
      <x:c r="H9" s="14" t="str">
        <x:v>Optional</x:v>
      </x:c>
      <x:c r="I9" s="14" t="str">
        <x:v>Optional</x:v>
      </x:c>
      <x:c r="J9" s="14" t="str">
        <x:v>Recommended</x:v>
      </x:c>
      <x:c r="K9" s="14" t="str">
        <x:v>Optional</x:v>
      </x:c>
      <x:c r="L9" s="14" t="str">
        <x:v>Optional</x:v>
      </x:c>
      <x:c r="M9" s="14" t="str">
        <x:v>Required</x:v>
      </x:c>
      <x:c r="N9" s="14" t="str">
        <x:v>Browser-to-shell timing is the key analytic.</x:v>
      </x:c>
    </x:row>
    <x:row r="10" ht="38" customHeight="1">
      <x:c r="A10" s="14" t="str">
        <x:v>AIH-006</x:v>
      </x:c>
      <x:c r="B10" s="14" t="str">
        <x:v>New-Domain BaaS Credential Collection</x:v>
      </x:c>
      <x:c r="C10" s="14" t="str">
        <x:v>Optional</x:v>
      </x:c>
      <x:c r="D10" s="14" t="str">
        <x:v>Optional</x:v>
      </x:c>
      <x:c r="E10" s="14" t="str">
        <x:v>Required</x:v>
      </x:c>
      <x:c r="F10" s="14" t="str">
        <x:v>Required</x:v>
      </x:c>
      <x:c r="G10" s="14" t="str">
        <x:v>Optional</x:v>
      </x:c>
      <x:c r="H10" s="14" t="str">
        <x:v>Optional</x:v>
      </x:c>
      <x:c r="I10" s="14" t="str">
        <x:v>Optional</x:v>
      </x:c>
      <x:c r="J10" s="14" t="str">
        <x:v>Required</x:v>
      </x:c>
      <x:c r="K10" s="14" t="str">
        <x:v>Optional</x:v>
      </x:c>
      <x:c r="L10" s="14" t="str">
        <x:v>Required</x:v>
      </x:c>
      <x:c r="M10" s="14" t="str">
        <x:v>Required</x:v>
      </x:c>
      <x:c r="N10" s="14" t="str">
        <x:v>Combine domain age and submitted data type.</x:v>
      </x:c>
    </x:row>
    <x:row r="11" ht="38" customHeight="1">
      <x:c r="A11" s="14" t="str">
        <x:v>AIH-007</x:v>
      </x:c>
      <x:c r="B11" s="14" t="str">
        <x:v>Unusual AI Traffic from a Server</x:v>
      </x:c>
      <x:c r="C11" s="14" t="str">
        <x:v>Required</x:v>
      </x:c>
      <x:c r="D11" s="14" t="str">
        <x:v>Optional</x:v>
      </x:c>
      <x:c r="E11" s="14" t="str">
        <x:v>Required</x:v>
      </x:c>
      <x:c r="F11" s="14" t="str">
        <x:v>Required</x:v>
      </x:c>
      <x:c r="G11" s="14" t="str">
        <x:v>Required</x:v>
      </x:c>
      <x:c r="H11" s="14" t="str">
        <x:v>Required</x:v>
      </x:c>
      <x:c r="I11" s="14" t="str">
        <x:v>Optional</x:v>
      </x:c>
      <x:c r="J11" s="14" t="str">
        <x:v>Optional</x:v>
      </x:c>
      <x:c r="K11" s="14" t="str">
        <x:v>Optional</x:v>
      </x:c>
      <x:c r="L11" s="14" t="str">
        <x:v>Optional</x:v>
      </x:c>
      <x:c r="M11" s="14" t="str">
        <x:v>Optional</x:v>
      </x:c>
      <x:c r="N11" s="14" t="str">
        <x:v>Start with server and workload allowlists.</x:v>
      </x:c>
    </x:row>
    <x:row r="12" ht="38" customHeight="1">
      <x:c r="A12" s="14" t="str">
        <x:v>AIH-008</x:v>
      </x:c>
      <x:c r="B12" s="14" t="str">
        <x:v>Self-Modification After Model Interaction</x:v>
      </x:c>
      <x:c r="C12" s="14" t="str">
        <x:v>Required</x:v>
      </x:c>
      <x:c r="D12" s="14" t="str">
        <x:v>Required</x:v>
      </x:c>
      <x:c r="E12" s="14" t="str">
        <x:v>Optional</x:v>
      </x:c>
      <x:c r="F12" s="14" t="str">
        <x:v>Optional</x:v>
      </x:c>
      <x:c r="G12" s="14" t="str">
        <x:v>Required</x:v>
      </x:c>
      <x:c r="H12" s="14" t="str">
        <x:v>Optional</x:v>
      </x:c>
      <x:c r="I12" s="14" t="str">
        <x:v>Recommended</x:v>
      </x:c>
      <x:c r="J12" s="14" t="str">
        <x:v>Optional</x:v>
      </x:c>
      <x:c r="K12" s="14" t="str">
        <x:v>Optional</x:v>
      </x:c>
      <x:c r="L12" s="14" t="str">
        <x:v>Optional</x:v>
      </x:c>
      <x:c r="M12" s="14" t="str">
        <x:v>Optional</x:v>
      </x:c>
      <x:c r="N12" s="14" t="str">
        <x:v>Capture both pre-change and post-change artifacts.</x:v>
      </x:c>
    </x:row>
    <x:row r="13" ht="38" customHeight="1">
      <x:c r="A13" s="14" t="str">
        <x:v>AIH-009</x:v>
      </x:c>
      <x:c r="B13" s="14" t="str">
        <x:v>Abnormal GPU or Local Inference Activity</x:v>
      </x:c>
      <x:c r="C13" s="14" t="str">
        <x:v>Required</x:v>
      </x:c>
      <x:c r="D13" s="14" t="str">
        <x:v>Recommended</x:v>
      </x:c>
      <x:c r="E13" s="14" t="str">
        <x:v>Optional</x:v>
      </x:c>
      <x:c r="F13" s="14" t="str">
        <x:v>Recommended</x:v>
      </x:c>
      <x:c r="G13" s="14" t="str">
        <x:v>Optional</x:v>
      </x:c>
      <x:c r="H13" s="14" t="str">
        <x:v>Optional</x:v>
      </x:c>
      <x:c r="I13" s="14" t="str">
        <x:v>Optional</x:v>
      </x:c>
      <x:c r="J13" s="14" t="str">
        <x:v>Optional</x:v>
      </x:c>
      <x:c r="K13" s="14" t="str">
        <x:v>Required</x:v>
      </x:c>
      <x:c r="L13" s="14" t="str">
        <x:v>Optional</x:v>
      </x:c>
      <x:c r="M13" s="14" t="str">
        <x:v>Optional</x:v>
      </x:c>
      <x:c r="N13" s="14" t="str">
        <x:v>Monitor model files, runtimes, and local ports.</x:v>
      </x:c>
    </x:row>
    <x:row r="14" ht="38" customHeight="1">
      <x:c r="A14" s="14" t="str">
        <x:v>AIH-010</x:v>
      </x:c>
      <x:c r="B14" s="14" t="str">
        <x:v>Multi-Provider AI Usage in a Short Sequence</x:v>
      </x:c>
      <x:c r="C14" s="14" t="str">
        <x:v>Recommended</x:v>
      </x:c>
      <x:c r="D14" s="14" t="str">
        <x:v>Optional</x:v>
      </x:c>
      <x:c r="E14" s="14" t="str">
        <x:v>Required</x:v>
      </x:c>
      <x:c r="F14" s="14" t="str">
        <x:v>Recommended</x:v>
      </x:c>
      <x:c r="G14" s="14" t="str">
        <x:v>Required</x:v>
      </x:c>
      <x:c r="H14" s="14" t="str">
        <x:v>Recommended</x:v>
      </x:c>
      <x:c r="I14" s="14" t="str">
        <x:v>Optional</x:v>
      </x:c>
      <x:c r="J14" s="14" t="str">
        <x:v>Required</x:v>
      </x:c>
      <x:c r="K14" s="14" t="str">
        <x:v>Optional</x:v>
      </x:c>
      <x:c r="L14" s="14" t="str">
        <x:v>Optional</x:v>
      </x:c>
      <x:c r="M14" s="14" t="str">
        <x:v>Recommended</x:v>
      </x:c>
      <x:c r="N14" s="14" t="str">
        <x:v>Baseline by role, project, and device.</x:v>
      </x:c>
    </x:row>
    <x:row r="15" ht="38" customHeight="1">
      <x:c r="A15" s="14" t="str">
        <x:v>AIH-011</x:v>
      </x:c>
      <x:c r="B15" s="14" t="str">
        <x:v>Service Account Performs Agentic Actions</x:v>
      </x:c>
      <x:c r="C15" s="14" t="str">
        <x:v>Required</x:v>
      </x:c>
      <x:c r="D15" s="14" t="str">
        <x:v>Recommended</x:v>
      </x:c>
      <x:c r="E15" s="14" t="str">
        <x:v>Recommended</x:v>
      </x:c>
      <x:c r="F15" s="14" t="str">
        <x:v>Required</x:v>
      </x:c>
      <x:c r="G15" s="14" t="str">
        <x:v>Required</x:v>
      </x:c>
      <x:c r="H15" s="14" t="str">
        <x:v>Required</x:v>
      </x:c>
      <x:c r="I15" s="14" t="str">
        <x:v>Required</x:v>
      </x:c>
      <x:c r="J15" s="14" t="str">
        <x:v>Optional</x:v>
      </x:c>
      <x:c r="K15" s="14" t="str">
        <x:v>Optional</x:v>
      </x:c>
      <x:c r="L15" s="14" t="str">
        <x:v>Optional</x:v>
      </x:c>
      <x:c r="M15" s="14" t="str">
        <x:v>Optional</x:v>
      </x:c>
      <x:c r="N15" s="14" t="str">
        <x:v>Tool-level authorization logs are critical.</x:v>
      </x:c>
    </x:row>
    <x:row r="16" ht="38" customHeight="1">
      <x:c r="A16" s="14" t="str">
        <x:v>AIH-012</x:v>
      </x:c>
      <x:c r="B16" s="14" t="str">
        <x:v>Excessive Dead or AI-Generated Decoy Code</x:v>
      </x:c>
      <x:c r="C16" s="14" t="str">
        <x:v>Recommended</x:v>
      </x:c>
      <x:c r="D16" s="14" t="str">
        <x:v>Required</x:v>
      </x:c>
      <x:c r="E16" s="14" t="str">
        <x:v>Optional</x:v>
      </x:c>
      <x:c r="F16" s="14" t="str">
        <x:v>Optional</x:v>
      </x:c>
      <x:c r="G16" s="14" t="str">
        <x:v>Optional</x:v>
      </x:c>
      <x:c r="H16" s="14" t="str">
        <x:v>Optional</x:v>
      </x:c>
      <x:c r="I16" s="14" t="str">
        <x:v>Required</x:v>
      </x:c>
      <x:c r="J16" s="14" t="str">
        <x:v>Optional</x:v>
      </x:c>
      <x:c r="K16" s="14" t="str">
        <x:v>Optional</x:v>
      </x:c>
      <x:c r="L16" s="14" t="str">
        <x:v>Optional</x:v>
      </x:c>
      <x:c r="M16" s="14" t="str">
        <x:v>Optional</x:v>
      </x:c>
      <x:c r="N16" s="14" t="str">
        <x:v>Use call-graph and behavioral execution evidence.</x:v>
      </x:c>
    </x:row>
    <x:row r="17" ht="38" customHeight="1">
      <x:c r="A17" s="14" t="str">
        <x:v>AIH-013</x:v>
      </x:c>
      <x:c r="B17" s="14" t="str">
        <x:v>Lateral Movement After Agent Activity</x:v>
      </x:c>
      <x:c r="C17" s="14" t="str">
        <x:v>Required</x:v>
      </x:c>
      <x:c r="D17" s="14" t="str">
        <x:v>Recommended</x:v>
      </x:c>
      <x:c r="E17" s="14" t="str">
        <x:v>Recommended</x:v>
      </x:c>
      <x:c r="F17" s="14" t="str">
        <x:v>Required</x:v>
      </x:c>
      <x:c r="G17" s="14" t="str">
        <x:v>Required</x:v>
      </x:c>
      <x:c r="H17" s="14" t="str">
        <x:v>Required</x:v>
      </x:c>
      <x:c r="I17" s="14" t="str">
        <x:v>Optional</x:v>
      </x:c>
      <x:c r="J17" s="14" t="str">
        <x:v>Optional</x:v>
      </x:c>
      <x:c r="K17" s="14" t="str">
        <x:v>Optional</x:v>
      </x:c>
      <x:c r="L17" s="14" t="str">
        <x:v>Optional</x:v>
      </x:c>
      <x:c r="M17" s="14" t="str">
        <x:v>Optional</x:v>
      </x:c>
      <x:c r="N17" s="14" t="str">
        <x:v>Correlate agent sessions with remote protocols.</x:v>
      </x:c>
    </x:row>
    <x:row r="18" ht="38" customHeight="1">
      <x:c r="A18" s="14" t="str">
        <x:v>AIH-014</x:v>
      </x:c>
      <x:c r="B18" s="14" t="str">
        <x:v>Frequent API Key Rotation or Pooling</x:v>
      </x:c>
      <x:c r="C18" s="14" t="str">
        <x:v>Recommended</x:v>
      </x:c>
      <x:c r="D18" s="14" t="str">
        <x:v>Optional</x:v>
      </x:c>
      <x:c r="E18" s="14" t="str">
        <x:v>Required</x:v>
      </x:c>
      <x:c r="F18" s="14" t="str">
        <x:v>Recommended</x:v>
      </x:c>
      <x:c r="G18" s="14" t="str">
        <x:v>Required</x:v>
      </x:c>
      <x:c r="H18" s="14" t="str">
        <x:v>Required</x:v>
      </x:c>
      <x:c r="I18" s="14" t="str">
        <x:v>Recommended</x:v>
      </x:c>
      <x:c r="J18" s="14" t="str">
        <x:v>Recommended</x:v>
      </x:c>
      <x:c r="K18" s="14" t="str">
        <x:v>Optional</x:v>
      </x:c>
      <x:c r="L18" s="14" t="str">
        <x:v>Optional</x:v>
      </x:c>
      <x:c r="M18" s="14" t="str">
        <x:v>Optional</x:v>
      </x:c>
      <x:c r="N18" s="14" t="str">
        <x:v>Use identity, geography, and user-agent consistency.</x:v>
      </x:c>
    </x:row>
  </x:sheetData>
  <x:mergeCells>
    <x:mergeCell ref="A1:N1"/>
    <x:mergeCell ref="A2:N2"/>
  </x:mergeCells>
  <x:conditionalFormatting sqref="C5:C18">
    <x:cfRule type="expression" dxfId="6" priority="1">
      <x:formula>C5="Required"</x:formula>
    </x:cfRule>
    <x:cfRule type="expression" dxfId="7" priority="2">
      <x:formula>C5="Recommended"</x:formula>
    </x:cfRule>
    <x:cfRule type="expression" dxfId="8" priority="3">
      <x:formula>C5="Optional"</x:formula>
    </x:cfRule>
    <x:cfRule type="expression" dxfId="9" priority="4">
      <x:formula>C5="Not Applicable"</x:formula>
    </x:cfRule>
  </x:conditionalFormatting>
  <x:conditionalFormatting sqref="D5:D18">
    <x:cfRule type="expression" dxfId="10" priority="5">
      <x:formula>D5="Required"</x:formula>
    </x:cfRule>
    <x:cfRule type="expression" dxfId="11" priority="6">
      <x:formula>D5="Recommended"</x:formula>
    </x:cfRule>
    <x:cfRule type="expression" dxfId="12" priority="7">
      <x:formula>D5="Optional"</x:formula>
    </x:cfRule>
    <x:cfRule type="expression" dxfId="13" priority="8">
      <x:formula>D5="Not Applicable"</x:formula>
    </x:cfRule>
  </x:conditionalFormatting>
  <x:conditionalFormatting sqref="E5:E18">
    <x:cfRule type="expression" dxfId="14" priority="9">
      <x:formula>E5="Required"</x:formula>
    </x:cfRule>
    <x:cfRule type="expression" dxfId="15" priority="10">
      <x:formula>E5="Recommended"</x:formula>
    </x:cfRule>
    <x:cfRule type="expression" dxfId="16" priority="11">
      <x:formula>E5="Optional"</x:formula>
    </x:cfRule>
    <x:cfRule type="expression" dxfId="17" priority="12">
      <x:formula>E5="Not Applicable"</x:formula>
    </x:cfRule>
  </x:conditionalFormatting>
  <x:conditionalFormatting sqref="F5:F18">
    <x:cfRule type="expression" dxfId="18" priority="13">
      <x:formula>F5="Required"</x:formula>
    </x:cfRule>
    <x:cfRule type="expression" dxfId="19" priority="14">
      <x:formula>F5="Recommended"</x:formula>
    </x:cfRule>
    <x:cfRule type="expression" dxfId="20" priority="15">
      <x:formula>F5="Optional"</x:formula>
    </x:cfRule>
    <x:cfRule type="expression" dxfId="21" priority="16">
      <x:formula>F5="Not Applicable"</x:formula>
    </x:cfRule>
  </x:conditionalFormatting>
  <x:conditionalFormatting sqref="G5:G18">
    <x:cfRule type="expression" dxfId="22" priority="17">
      <x:formula>G5="Required"</x:formula>
    </x:cfRule>
    <x:cfRule type="expression" dxfId="23" priority="18">
      <x:formula>G5="Recommended"</x:formula>
    </x:cfRule>
    <x:cfRule type="expression" dxfId="24" priority="19">
      <x:formula>G5="Optional"</x:formula>
    </x:cfRule>
    <x:cfRule type="expression" dxfId="25" priority="20">
      <x:formula>G5="Not Applicable"</x:formula>
    </x:cfRule>
  </x:conditionalFormatting>
  <x:conditionalFormatting sqref="H5:H18">
    <x:cfRule type="expression" dxfId="26" priority="21">
      <x:formula>H5="Required"</x:formula>
    </x:cfRule>
    <x:cfRule type="expression" dxfId="27" priority="22">
      <x:formula>H5="Recommended"</x:formula>
    </x:cfRule>
    <x:cfRule type="expression" dxfId="28" priority="23">
      <x:formula>H5="Optional"</x:formula>
    </x:cfRule>
    <x:cfRule type="expression" dxfId="29" priority="24">
      <x:formula>H5="Not Applicable"</x:formula>
    </x:cfRule>
  </x:conditionalFormatting>
  <x:conditionalFormatting sqref="I5:I18">
    <x:cfRule type="expression" dxfId="30" priority="25">
      <x:formula>I5="Required"</x:formula>
    </x:cfRule>
    <x:cfRule type="expression" dxfId="31" priority="26">
      <x:formula>I5="Recommended"</x:formula>
    </x:cfRule>
    <x:cfRule type="expression" dxfId="32" priority="27">
      <x:formula>I5="Optional"</x:formula>
    </x:cfRule>
    <x:cfRule type="expression" dxfId="33" priority="28">
      <x:formula>I5="Not Applicable"</x:formula>
    </x:cfRule>
  </x:conditionalFormatting>
  <x:conditionalFormatting sqref="J5:J18">
    <x:cfRule type="expression" dxfId="34" priority="29">
      <x:formula>J5="Required"</x:formula>
    </x:cfRule>
    <x:cfRule type="expression" dxfId="35" priority="30">
      <x:formula>J5="Recommended"</x:formula>
    </x:cfRule>
    <x:cfRule type="expression" dxfId="36" priority="31">
      <x:formula>J5="Optional"</x:formula>
    </x:cfRule>
    <x:cfRule type="expression" dxfId="37" priority="32">
      <x:formula>J5="Not Applicable"</x:formula>
    </x:cfRule>
  </x:conditionalFormatting>
  <x:conditionalFormatting sqref="K5:K18">
    <x:cfRule type="expression" dxfId="38" priority="33">
      <x:formula>K5="Required"</x:formula>
    </x:cfRule>
    <x:cfRule type="expression" dxfId="39" priority="34">
      <x:formula>K5="Recommended"</x:formula>
    </x:cfRule>
    <x:cfRule type="expression" dxfId="40" priority="35">
      <x:formula>K5="Optional"</x:formula>
    </x:cfRule>
    <x:cfRule type="expression" dxfId="41" priority="36">
      <x:formula>K5="Not Applicable"</x:formula>
    </x:cfRule>
  </x:conditionalFormatting>
  <x:conditionalFormatting sqref="L5:L18">
    <x:cfRule type="expression" dxfId="42" priority="37">
      <x:formula>L5="Required"</x:formula>
    </x:cfRule>
    <x:cfRule type="expression" dxfId="43" priority="38">
      <x:formula>L5="Recommended"</x:formula>
    </x:cfRule>
    <x:cfRule type="expression" dxfId="44" priority="39">
      <x:formula>L5="Optional"</x:formula>
    </x:cfRule>
    <x:cfRule type="expression" dxfId="45" priority="40">
      <x:formula>L5="Not Applicable"</x:formula>
    </x:cfRule>
  </x:conditionalFormatting>
  <x:conditionalFormatting sqref="M5:M18">
    <x:cfRule type="expression" dxfId="46" priority="41">
      <x:formula>M5="Required"</x:formula>
    </x:cfRule>
    <x:cfRule type="expression" dxfId="47" priority="42">
      <x:formula>M5="Recommended"</x:formula>
    </x:cfRule>
    <x:cfRule type="expression" dxfId="48" priority="43">
      <x:formula>M5="Optional"</x:formula>
    </x:cfRule>
    <x:cfRule type="expression" dxfId="49" priority="44">
      <x:formula>M5="Not Applicable"</x:formula>
    </x:cfRule>
  </x:conditionalFormatting>
  <x:dataValidations count="11">
    <x:dataValidation type="list" sqref="C5:C18">
      <x:formula1>'Reference Lists'!$G$2:$G$5</x:formula1>
    </x:dataValidation>
    <x:dataValidation type="list" sqref="D5:D18">
      <x:formula1>'Reference Lists'!$G$2:$G$5</x:formula1>
    </x:dataValidation>
    <x:dataValidation type="list" sqref="E5:E18">
      <x:formula1>'Reference Lists'!$G$2:$G$5</x:formula1>
    </x:dataValidation>
    <x:dataValidation type="list" sqref="F5:F18">
      <x:formula1>'Reference Lists'!$G$2:$G$5</x:formula1>
    </x:dataValidation>
    <x:dataValidation type="list" sqref="G5:G18">
      <x:formula1>'Reference Lists'!$G$2:$G$5</x:formula1>
    </x:dataValidation>
    <x:dataValidation type="list" sqref="H5:H18">
      <x:formula1>'Reference Lists'!$G$2:$G$5</x:formula1>
    </x:dataValidation>
    <x:dataValidation type="list" sqref="I5:I18">
      <x:formula1>'Reference Lists'!$G$2:$G$5</x:formula1>
    </x:dataValidation>
    <x:dataValidation type="list" sqref="J5:J18">
      <x:formula1>'Reference Lists'!$G$2:$G$5</x:formula1>
    </x:dataValidation>
    <x:dataValidation type="list" sqref="K5:K18">
      <x:formula1>'Reference Lists'!$G$2:$G$5</x:formula1>
    </x:dataValidation>
    <x:dataValidation type="list" sqref="L5:L18">
      <x:formula1>'Reference Lists'!$G$2:$G$5</x:formula1>
    </x:dataValidation>
    <x:dataValidation type="list" sqref="M5:M18">
      <x:formula1>'Reference Lists'!$G$2:$G$5</x:formula1>
    </x:dataValidation>
  </x:dataValidations>
  <x:pageMargins left="0.7" right="0.7" top="0.75" bottom="0.75" header="0.3" footer="0.3"/>
  <x:tableParts count="1">
    <x:tablePart xmlns:r="http://schemas.openxmlformats.org/officeDocument/2006/relationships" r:id="R0910d1c3ed0a428f"/>
  </x:tableParts>
</x:worksheet>
</file>

<file path=xl/worksheets/sheet6.xml><?xml version="1.0" encoding="utf-8"?>
<x:worksheet xmlns:x="http://schemas.openxmlformats.org/spreadsheetml/2006/main">
  <x:sheetFormatPr defaultRowHeight="15"/>
  <x:cols>
    <x:col min="1" max="1" width="11.380000114440918" hidden="0" customWidth="1"/>
    <x:col min="2" max="2" width="6.25" hidden="0" customWidth="1"/>
    <x:col min="3" max="3" width="9.75" hidden="0" customWidth="1"/>
    <x:col min="4" max="4" width="8.25" hidden="0" customWidth="1"/>
    <x:col min="5" max="5" width="14.5" hidden="0" customWidth="1"/>
    <x:col min="6" max="6" width="5.5" hidden="0" customWidth="1"/>
    <x:col min="7" max="7" width="11.380000114440918" hidden="0" customWidth="1"/>
    <x:col min="8" max="8" width="9.630000114440918" hidden="0" customWidth="1"/>
  </x:cols>
  <x:sheetData>
    <x:row r="1" ht="22" customHeight="1">
      <x:c r="A1" s="6" t="str">
        <x:v>Status</x:v>
      </x:c>
      <x:c r="B1" s="6" t="str">
        <x:v>Priority</x:v>
      </x:c>
      <x:c r="C1" s="6" t="str">
        <x:v>Severity</x:v>
      </x:c>
      <x:c r="D1" s="6" t="str">
        <x:v>Confidence</x:v>
      </x:c>
      <x:c r="E1" s="6" t="str">
        <x:v>Outcome</x:v>
      </x:c>
      <x:c r="F1" s="6" t="str">
        <x:v>Yes/No</x:v>
      </x:c>
      <x:c r="G1" s="6" t="str">
        <x:v>Telemetry Level</x:v>
      </x:c>
      <x:c r="H1" s="6" t="str">
        <x:v>Environment</x:v>
      </x:c>
    </x:row>
    <x:row r="2" ht="22" customHeight="1">
      <x:c r="A2" s="14" t="str">
        <x:v>Planned</x:v>
      </x:c>
      <x:c r="B2" s="14" t="str">
        <x:v>Critical</x:v>
      </x:c>
      <x:c r="C2" s="14" t="str">
        <x:v>Critical</x:v>
      </x:c>
      <x:c r="D2" s="14" t="str">
        <x:v>High</x:v>
      </x:c>
      <x:c r="E2" s="14" t="str">
        <x:v>Confirmed Malicious</x:v>
      </x:c>
      <x:c r="F2" s="14" t="str">
        <x:v>Yes</x:v>
      </x:c>
      <x:c r="G2" s="14" t="str">
        <x:v>Required</x:v>
      </x:c>
      <x:c r="H2" s="14" t="str">
        <x:v>Production</x:v>
      </x:c>
    </x:row>
    <x:row r="3" ht="22" customHeight="1">
      <x:c r="A3" s="14" t="str">
        <x:v>In Development</x:v>
      </x:c>
      <x:c r="B3" s="14" t="str">
        <x:v>High</x:v>
      </x:c>
      <x:c r="C3" s="14" t="str">
        <x:v>High</x:v>
      </x:c>
      <x:c r="D3" s="14" t="str">
        <x:v>Medium</x:v>
      </x:c>
      <x:c r="E3" s="14" t="str">
        <x:v>Suspicious</x:v>
      </x:c>
      <x:c r="F3" s="14" t="str">
        <x:v>No</x:v>
      </x:c>
      <x:c r="G3" s="14" t="str">
        <x:v>Recommended</x:v>
      </x:c>
      <x:c r="H3" s="14" t="str">
        <x:v>Development</x:v>
      </x:c>
    </x:row>
    <x:row r="4" ht="22" customHeight="1">
      <x:c r="A4" s="14" t="str">
        <x:v>Needs Testing</x:v>
      </x:c>
      <x:c r="B4" s="14" t="str">
        <x:v>Medium</x:v>
      </x:c>
      <x:c r="C4" s="14" t="str">
        <x:v>Medium</x:v>
      </x:c>
      <x:c r="D4" s="14" t="str">
        <x:v>Low</x:v>
      </x:c>
      <x:c r="E4" s="14" t="str">
        <x:v>Benign</x:v>
      </x:c>
      <x:c r="F4" s="14" t="str"/>
      <x:c r="G4" s="14" t="str">
        <x:v>Optional</x:v>
      </x:c>
      <x:c r="H4" s="14" t="str">
        <x:v>Test</x:v>
      </x:c>
    </x:row>
    <x:row r="5" ht="22" customHeight="1">
      <x:c r="A5" s="14" t="str">
        <x:v>Implemented</x:v>
      </x:c>
      <x:c r="B5" s="14" t="str">
        <x:v>Low</x:v>
      </x:c>
      <x:c r="C5" s="14" t="str">
        <x:v>Low</x:v>
      </x:c>
      <x:c r="D5" s="14" t="str"/>
      <x:c r="E5" s="14" t="str">
        <x:v>Inconclusive</x:v>
      </x:c>
      <x:c r="F5" s="14" t="str"/>
      <x:c r="G5" s="14" t="str">
        <x:v>Not Applicable</x:v>
      </x:c>
      <x:c r="H5" s="14" t="str">
        <x:v>Cloud</x:v>
      </x:c>
    </x:row>
    <x:row r="6" ht="22" customHeight="1">
      <x:c r="A6" s="14" t="str">
        <x:v>Tuned</x:v>
      </x:c>
      <x:c r="B6" s="14" t="str"/>
      <x:c r="C6" s="14" t="str">
        <x:v>Informational</x:v>
      </x:c>
      <x:c r="D6" s="14" t="str"/>
      <x:c r="E6" s="14" t="str"/>
      <x:c r="F6" s="14" t="str"/>
      <x:c r="G6" s="14" t="str"/>
      <x:c r="H6" s="14" t="str">
        <x:v>Endpoint</x:v>
      </x:c>
    </x:row>
    <x:row r="7" ht="22" customHeight="1">
      <x:c r="A7" s="14" t="str">
        <x:v>Retired</x:v>
      </x:c>
      <x:c r="B7" s="14" t="str"/>
      <x:c r="C7" s="14" t="str"/>
      <x:c r="D7" s="14" t="str"/>
      <x:c r="E7" s="14" t="str"/>
      <x:c r="F7" s="14" t="str"/>
      <x:c r="G7" s="14" t="str"/>
      <x:c r="H7" s="14" t="str">
        <x:v>Hybrid</x:v>
      </x:c>
    </x:row>
  </x:sheetData>
  <x:pageMargins left="0.7" right="0.7" top="0.75" bottom="0.75" header="0.3" footer="0.3"/>
</x:worksheet>
</file>