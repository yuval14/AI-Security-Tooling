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עבודה\מצגות\מדוע פרויקטי AI כושלים, ואיך זה קשור לסייבר\מסמכים ישימים\"/>
    </mc:Choice>
  </mc:AlternateContent>
  <xr:revisionPtr revIDLastSave="0" documentId="13_ncr:1_{887E0FC7-D020-4002-A22C-E87AE11B4D3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I SOC Dashboard" sheetId="1" r:id="rId1"/>
    <sheet name="AI Observability Metrics" sheetId="2" r:id="rId2"/>
    <sheet name="Trace Model" sheetId="3" r:id="rId3"/>
    <sheet name="Detection Response Matrix" sheetId="4" r:id="rId4"/>
    <sheet name="Telemetry Sources" sheetId="5" r:id="rId5"/>
    <sheet name="Incident Repository Mapping" sheetId="6" r:id="rId6"/>
    <sheet name="Incident Detection Use Cases" sheetId="7" r:id="rId7"/>
    <sheet name="Harness Observability" sheetId="8" r:id="rId8"/>
    <sheet name="Coding Agent Use Cas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6" i="2" l="1"/>
  <c r="J56" i="2" s="1"/>
  <c r="I55" i="2"/>
  <c r="J55" i="2" s="1"/>
  <c r="J54" i="2"/>
  <c r="I54" i="2"/>
  <c r="I53" i="2"/>
  <c r="J53" i="2" s="1"/>
  <c r="I52" i="2"/>
  <c r="J52" i="2" s="1"/>
  <c r="I51" i="2"/>
  <c r="J51" i="2" s="1"/>
  <c r="J50" i="2"/>
  <c r="I50" i="2"/>
  <c r="I49" i="2"/>
  <c r="J49" i="2" s="1"/>
  <c r="I48" i="2"/>
  <c r="J48" i="2" s="1"/>
  <c r="I47" i="2"/>
  <c r="J47" i="2" s="1"/>
  <c r="J46" i="2"/>
  <c r="I46" i="2"/>
  <c r="I45" i="2"/>
  <c r="J45" i="2" s="1"/>
  <c r="I44" i="2"/>
  <c r="J44" i="2" s="1"/>
  <c r="I43" i="2"/>
  <c r="J43" i="2" s="1"/>
  <c r="J42" i="2"/>
  <c r="I42" i="2"/>
  <c r="I41" i="2"/>
  <c r="J41" i="2" s="1"/>
  <c r="I40" i="2"/>
  <c r="J40" i="2" s="1"/>
  <c r="I39" i="2"/>
  <c r="J39" i="2" s="1"/>
  <c r="J38" i="2"/>
  <c r="I38" i="2"/>
  <c r="I37" i="2"/>
  <c r="J37" i="2" s="1"/>
  <c r="I36" i="2"/>
  <c r="J36" i="2" s="1"/>
  <c r="I35" i="2"/>
  <c r="J35" i="2" s="1"/>
  <c r="J34" i="2"/>
  <c r="I34" i="2"/>
  <c r="I33" i="2"/>
  <c r="J33" i="2" s="1"/>
  <c r="I32" i="2"/>
  <c r="J32" i="2" s="1"/>
  <c r="I31" i="2"/>
  <c r="J31" i="2" s="1"/>
  <c r="J30" i="2"/>
  <c r="I30" i="2"/>
  <c r="I29" i="2"/>
  <c r="J29" i="2" s="1"/>
  <c r="I28" i="2"/>
  <c r="J28" i="2" s="1"/>
  <c r="I27" i="2"/>
  <c r="J27" i="2" s="1"/>
  <c r="J26" i="2"/>
  <c r="I26" i="2"/>
  <c r="I25" i="2"/>
  <c r="J25" i="2" s="1"/>
  <c r="I24" i="2"/>
  <c r="J24" i="2" s="1"/>
  <c r="I23" i="2"/>
  <c r="J23" i="2" s="1"/>
  <c r="J22" i="2"/>
  <c r="I22" i="2"/>
  <c r="I21" i="2"/>
  <c r="J21" i="2" s="1"/>
  <c r="I20" i="2"/>
  <c r="J20" i="2" s="1"/>
  <c r="I19" i="2"/>
  <c r="J19" i="2" s="1"/>
  <c r="J18" i="2"/>
  <c r="I18" i="2"/>
  <c r="I17" i="2"/>
  <c r="J17" i="2" s="1"/>
  <c r="I16" i="2"/>
  <c r="J16" i="2" s="1"/>
  <c r="I15" i="2"/>
  <c r="J15" i="2" s="1"/>
  <c r="J14" i="2"/>
  <c r="I14" i="2"/>
  <c r="I13" i="2"/>
  <c r="J13" i="2" s="1"/>
  <c r="I12" i="2"/>
  <c r="J12" i="2" s="1"/>
  <c r="I11" i="2"/>
  <c r="J11" i="2" s="1"/>
  <c r="J10" i="2"/>
  <c r="I10" i="2"/>
  <c r="I9" i="2"/>
  <c r="J9" i="2" s="1"/>
  <c r="I8" i="2"/>
  <c r="J8" i="2" s="1"/>
  <c r="I7" i="2"/>
  <c r="J7" i="2" s="1"/>
  <c r="J6" i="2"/>
  <c r="I6" i="2"/>
  <c r="I5" i="2"/>
  <c r="I12" i="1" s="1"/>
  <c r="I4" i="2"/>
  <c r="J4" i="2" s="1"/>
  <c r="I3" i="2"/>
  <c r="I13" i="1" s="1"/>
  <c r="J2" i="2"/>
  <c r="I2" i="2"/>
  <c r="L41" i="1"/>
  <c r="K41" i="1"/>
  <c r="J41" i="1"/>
  <c r="I41" i="1"/>
  <c r="H41" i="1"/>
  <c r="G41" i="1"/>
  <c r="F41" i="1"/>
  <c r="E41" i="1"/>
  <c r="D41" i="1"/>
  <c r="C41" i="1"/>
  <c r="B41" i="1"/>
  <c r="A41" i="1"/>
  <c r="C16" i="1"/>
  <c r="B16" i="1"/>
  <c r="C15" i="1"/>
  <c r="B15" i="1"/>
  <c r="C14" i="1"/>
  <c r="B14" i="1"/>
  <c r="C13" i="1"/>
  <c r="B13" i="1"/>
  <c r="C12" i="1"/>
  <c r="B12" i="1"/>
  <c r="J6" i="1"/>
  <c r="G6" i="1"/>
  <c r="A6" i="1"/>
  <c r="L12" i="1" l="1"/>
  <c r="J12" i="1"/>
  <c r="K12" i="1"/>
  <c r="F12" i="1"/>
  <c r="J13" i="1"/>
  <c r="L13" i="1"/>
  <c r="K13" i="1"/>
  <c r="J5" i="2"/>
  <c r="I16" i="1"/>
  <c r="I14" i="1"/>
  <c r="J3" i="2"/>
  <c r="F14" i="1"/>
  <c r="I15" i="1"/>
  <c r="L15" i="1" l="1"/>
  <c r="K15" i="1"/>
  <c r="J15" i="1"/>
  <c r="F15" i="1"/>
  <c r="D6" i="1"/>
  <c r="K14" i="1"/>
  <c r="J14" i="1"/>
  <c r="L14" i="1"/>
  <c r="F13" i="1"/>
  <c r="J16" i="1"/>
  <c r="K16" i="1"/>
  <c r="L16" i="1"/>
</calcChain>
</file>

<file path=xl/sharedStrings.xml><?xml version="1.0" encoding="utf-8"?>
<sst xmlns="http://schemas.openxmlformats.org/spreadsheetml/2006/main" count="1058" uniqueCount="719">
  <si>
    <t>Logs, Metrics, Traces, Runtime Detection, Threat Hunting, and SOAR Response</t>
  </si>
  <si>
    <t>Observability Score</t>
  </si>
  <si>
    <t>Red Metrics</t>
  </si>
  <si>
    <t>Trace Coverage</t>
  </si>
  <si>
    <t>MTTD (Minutes)</t>
  </si>
  <si>
    <t>Observability Pillar</t>
  </si>
  <si>
    <t>Average Score</t>
  </si>
  <si>
    <t>Assessed Metrics</t>
  </si>
  <si>
    <t>Status</t>
  </si>
  <si>
    <t>Count</t>
  </si>
  <si>
    <t>Priority</t>
  </si>
  <si>
    <t>Metric</t>
  </si>
  <si>
    <t>Score</t>
  </si>
  <si>
    <t>Current</t>
  </si>
  <si>
    <t>Target</t>
  </si>
  <si>
    <t>Logs</t>
  </si>
  <si>
    <t>Green</t>
  </si>
  <si>
    <t>Metrics</t>
  </si>
  <si>
    <t>Amber</t>
  </si>
  <si>
    <t>Traces</t>
  </si>
  <si>
    <t>Red</t>
  </si>
  <si>
    <t>Detection</t>
  </si>
  <si>
    <t>Not Assessed</t>
  </si>
  <si>
    <t>Hunting</t>
  </si>
  <si>
    <t>AI Incident Repository Operationalization</t>
  </si>
  <si>
    <t>AI Coding Agent &amp; Harness Observability</t>
  </si>
  <si>
    <t>Operational Readiness</t>
  </si>
  <si>
    <t>Repository Coverage</t>
  </si>
  <si>
    <t>Incident-to-Detection</t>
  </si>
  <si>
    <t>Detection Validation</t>
  </si>
  <si>
    <t>Evidence Trace Completeness</t>
  </si>
  <si>
    <t>Trajectory Coverage</t>
  </si>
  <si>
    <t>Harness Drift Rate</t>
  </si>
  <si>
    <t>Hook Coverage</t>
  </si>
  <si>
    <t>Security Eval Regression</t>
  </si>
  <si>
    <t>Coding Use Cases</t>
  </si>
  <si>
    <t>Operational Use Cases</t>
  </si>
  <si>
    <t>Harness Components</t>
  </si>
  <si>
    <t>Telemetry Sources</t>
  </si>
  <si>
    <t>Pillar</t>
  </si>
  <si>
    <t>Definition / Formula</t>
  </si>
  <si>
    <t>Unit</t>
  </si>
  <si>
    <t>Direction</t>
  </si>
  <si>
    <t>Current Value</t>
  </si>
  <si>
    <t>Weight</t>
  </si>
  <si>
    <t>Review Frequency</t>
  </si>
  <si>
    <t>Owner</t>
  </si>
  <si>
    <t>AI Telemetry Ingestion Coverage</t>
  </si>
  <si>
    <t>Required AI runtime log sources connected to the SIEM / required sources</t>
  </si>
  <si>
    <t>%</t>
  </si>
  <si>
    <t>Higher</t>
  </si>
  <si>
    <t>Hourly</t>
  </si>
  <si>
    <t>SOC Platform</t>
  </si>
  <si>
    <t>SIEM; Model Gateway; API Gateway; AI Model; RAG; IAM; EDR/XDR</t>
  </si>
  <si>
    <t>Critical AI Event Parsing Success</t>
  </si>
  <si>
    <t>Correctly parsed critical AI events / critical AI events received</t>
  </si>
  <si>
    <t>SIEM Engineering</t>
  </si>
  <si>
    <t>SIEM parsers; model and API gateway logs; AI model logs</t>
  </si>
  <si>
    <t>AI Logging Gap Events</t>
  </si>
  <si>
    <t>Periods where required AI telemetry is unavailable or incomplete</t>
  </si>
  <si>
    <t>Lower</t>
  </si>
  <si>
    <t>SIEM collector health; source heartbeats; parser errors</t>
  </si>
  <si>
    <t>AI Telemetry Freshness</t>
  </si>
  <si>
    <t>Average delay from event generation to SIEM availability</t>
  </si>
  <si>
    <t>Seconds</t>
  </si>
  <si>
    <t>5 minutes</t>
  </si>
  <si>
    <t>SIEM ingestion timestamps; collectors; gateways</t>
  </si>
  <si>
    <t>Prompt Injection Attempt Rate</t>
  </si>
  <si>
    <t>Detected prompt-injection attempts per 1,000 AI requests</t>
  </si>
  <si>
    <t>Per 1,000 requests</t>
  </si>
  <si>
    <t>SOC / AI Security</t>
  </si>
  <si>
    <t>Model Gateway; AI Model; WAF; API Gateway; SIEM</t>
  </si>
  <si>
    <t>Prompt Injection Detection Rate</t>
  </si>
  <si>
    <t>Detected confirmed prompt-injection attempts / confirmed attempts</t>
  </si>
  <si>
    <t>Daily</t>
  </si>
  <si>
    <t>Model Gateway; AI Model; SIEM</t>
  </si>
  <si>
    <t>Adversarial Bypass Success Rate</t>
  </si>
  <si>
    <t>Successful jailbreak, evasion, or policy-bypass events / adversarial attempts</t>
  </si>
  <si>
    <t>Model Gateway; AI Model; output classifier; SIEM</t>
  </si>
  <si>
    <t>Sensitive Data Leakage Detection Rate</t>
  </si>
  <si>
    <t>Detected confirmed leakage events / confirmed leakage events</t>
  </si>
  <si>
    <t>SOC / DLP</t>
  </si>
  <si>
    <t>DLP; AI Model; RAG; CASB; SIEM</t>
  </si>
  <si>
    <t>Unauthorized AI Action Events</t>
  </si>
  <si>
    <t>Tool or agent actions executed without valid authorization</t>
  </si>
  <si>
    <t>Real time</t>
  </si>
  <si>
    <t>SOC / IAM</t>
  </si>
  <si>
    <t>IAM; Model Gateway; tool logs; EDR/XDR; SIEM</t>
  </si>
  <si>
    <t>Output Policy Violation Rate</t>
  </si>
  <si>
    <t>Outputs violating approved security, safety, or usage policy / outputs inspected</t>
  </si>
  <si>
    <t>15 minutes</t>
  </si>
  <si>
    <t>SOC / AI Safety</t>
  </si>
  <si>
    <t>AI Model; Model Gateway; output classifier; DLP; SIEM</t>
  </si>
  <si>
    <t>Abnormal Token Consumption Events</t>
  </si>
  <si>
    <t>Requests exceeding approved token, cost, or recursion thresholds</t>
  </si>
  <si>
    <t>SOC / FinOps</t>
  </si>
  <si>
    <t>Model Gateway; API Gateway; AI Model; FinOps; SIEM</t>
  </si>
  <si>
    <t>AI Alert Precision</t>
  </si>
  <si>
    <t>True-positive AI alerts / investigated AI alerts</t>
  </si>
  <si>
    <t>Weekly</t>
  </si>
  <si>
    <t>SOC</t>
  </si>
  <si>
    <t>SIEM; SOAR case dispositions</t>
  </si>
  <si>
    <t>Mean Time to Detect AI Incident</t>
  </si>
  <si>
    <t>Average minutes from malicious activity start to detection</t>
  </si>
  <si>
    <t>Minutes</t>
  </si>
  <si>
    <t>Per incident</t>
  </si>
  <si>
    <t>SIEM; source timestamps; SOAR</t>
  </si>
  <si>
    <t>Mean Time to Triage AI Alert</t>
  </si>
  <si>
    <t>Average minutes from alert creation to analyst disposition</t>
  </si>
  <si>
    <t>SIEM; SOAR case timestamps</t>
  </si>
  <si>
    <t>Mean Time to Contain AI Incident</t>
  </si>
  <si>
    <t>Average minutes from detection to containment</t>
  </si>
  <si>
    <t>SOC / IR</t>
  </si>
  <si>
    <t>SOAR; SIEM; IAM; EDR/XDR; Model Gateway</t>
  </si>
  <si>
    <t>SOAR Containment Success Rate</t>
  </si>
  <si>
    <t>Successful approved automated containment actions / attempts</t>
  </si>
  <si>
    <t>SOC Automation</t>
  </si>
  <si>
    <t>SOAR; EDR/XDR; IAM; API Gateway; Model Gateway</t>
  </si>
  <si>
    <t>End-to-End Trace Coverage</t>
  </si>
  <si>
    <t>AI requests correlated across identity, session, model, RAG, tool calls, and downstream actions</t>
  </si>
  <si>
    <t>Trace IDs across gateways, model runtime, RAG, tools, and SIEM</t>
  </si>
  <si>
    <t>Orphaned AI Trace Rate</t>
  </si>
  <si>
    <t>AI events without a valid parent trace, session, or request identifier / AI events</t>
  </si>
  <si>
    <t>SIEM; distributed tracing; model gateway; tool logs</t>
  </si>
  <si>
    <t>Trace Completeness Score</t>
  </si>
  <si>
    <t>Required trace stages present for sampled AI transactions / required stages</t>
  </si>
  <si>
    <t>Identity; prompt; model; retrieval; tool; policy; output; response</t>
  </si>
  <si>
    <t>Trace-to-Incident Linkage Rate</t>
  </si>
  <si>
    <t>AI incidents linked to complete supporting traces / AI incidents</t>
  </si>
  <si>
    <t>Monthly</t>
  </si>
  <si>
    <t>SIEM incidents; SOAR cases; trace repository</t>
  </si>
  <si>
    <t>Tool Call Trace Coverage</t>
  </si>
  <si>
    <t>Tool calls containing identity, authorization, arguments, result, and parent trace / tool calls</t>
  </si>
  <si>
    <t>AI Platform / SOC</t>
  </si>
  <si>
    <t>Model Gateway; agent runtime; tool logs; SIEM</t>
  </si>
  <si>
    <t>RAG Provenance Trace Coverage</t>
  </si>
  <si>
    <t>Retrieved chunks linked to source, trust score, query, model output, and parent trace / retrieval events</t>
  </si>
  <si>
    <t>Knowledge Platform / SOC</t>
  </si>
  <si>
    <t>RAG logs; vector database; model gateway; SIEM</t>
  </si>
  <si>
    <t>Relevant AI Detection Coverage</t>
  </si>
  <si>
    <t>Approved AI threat scenarios with active SIEM detections / approved scenarios</t>
  </si>
  <si>
    <t>Detection Engineering</t>
  </si>
  <si>
    <t>Detection catalog; MITRE ATLAS mapping; operational matrix</t>
  </si>
  <si>
    <t>Detection Validation Pass Rate</t>
  </si>
  <si>
    <t>AI detections passing simulation or adversary-emulation tests / detections tested</t>
  </si>
  <si>
    <t>Release</t>
  </si>
  <si>
    <t>Validation platform; SIEM; red-team evidence</t>
  </si>
  <si>
    <t>Detection Rule Noise Rate</t>
  </si>
  <si>
    <t>Low-value, duplicate, or false-positive alerts / AI security alerts</t>
  </si>
  <si>
    <t>SIEM; SOAR analyst dispositions</t>
  </si>
  <si>
    <t>AI Hunt Coverage</t>
  </si>
  <si>
    <t>Completed AI hunts / approved AI hunt plan</t>
  </si>
  <si>
    <t>Threat Hunting</t>
  </si>
  <si>
    <t>Hunt plan; SIEM; EDR/XDR; model gateway</t>
  </si>
  <si>
    <t>Hunt-to-Detection Conversion Rate</t>
  </si>
  <si>
    <t>Completed hunts converted to production detection or monitoring improvements / hunts</t>
  </si>
  <si>
    <t>Quarterly</t>
  </si>
  <si>
    <t>Threat Hunting / Detection Engineering</t>
  </si>
  <si>
    <t>Hunt reports; detection backlog; SIEM</t>
  </si>
  <si>
    <t>Incident Repository Coverage</t>
  </si>
  <si>
    <t>Cyber-relevant repository incident classes mapped to at least one SOC use case / approved incident classes</t>
  </si>
  <si>
    <t>Detection Engineering / CTI</t>
  </si>
  <si>
    <t>Incident repository mapping; SIEM use-case catalog</t>
  </si>
  <si>
    <t>Incident-to-Detection Conversion Rate</t>
  </si>
  <si>
    <t>Reviewed cyber-relevant AI incidents converted to a detection, hunt, or control improvement / reviewed incidents</t>
  </si>
  <si>
    <t>SOC / Detection Engineering</t>
  </si>
  <si>
    <t>Incident review records; SIEM rule catalog; hunt backlog</t>
  </si>
  <si>
    <t>Incident Detection Validation Rate</t>
  </si>
  <si>
    <t>Incident-derived detections successfully validated through simulation or replay / incident-derived detections tested</t>
  </si>
  <si>
    <t>Detection test platform; SIEM; replay data</t>
  </si>
  <si>
    <t>Incident-to-Hunt Conversion Rate</t>
  </si>
  <si>
    <t>Reviewed cyber-relevant AI incidents converted to threat-hunting hypotheses / reviewed incidents</t>
  </si>
  <si>
    <t>Threat Hunting / CTI</t>
  </si>
  <si>
    <t>Incident repository review; hunt plan; SIEM</t>
  </si>
  <si>
    <t>Incident Evidence Trace Completeness</t>
  </si>
  <si>
    <t>Required identity, request, model, retrieval, tool, output, and downstream evidence present in AI incident cases / cases sampled</t>
  </si>
  <si>
    <t>SOC / Incident Response</t>
  </si>
  <si>
    <t>Agent Trajectory Trace Coverage</t>
  </si>
  <si>
    <t>Agent executions with complete goal, plan, steps, tool calls, observations, re-plans, and termination trace / agent executions</t>
  </si>
  <si>
    <t>SOC Platform / AI Platform</t>
  </si>
  <si>
    <t>Agent Runtime; Model Gateway; SIEM</t>
  </si>
  <si>
    <t>Multi-Agent Delegation Trace Coverage</t>
  </si>
  <si>
    <t>Delegations linked to parent, child, permissions, shared context, and result / delegations</t>
  </si>
  <si>
    <t>Agent Runtime; A2A; MCP; SIEM</t>
  </si>
  <si>
    <t>MCP Tool Call Trace Coverage</t>
  </si>
  <si>
    <t>MCP calls containing server, tool, identity, arguments, authorization, result, and parent trace / MCP calls</t>
  </si>
  <si>
    <t>MCP Gateway; Agent Runtime; SIEM</t>
  </si>
  <si>
    <t>Harness Configuration Change Coverage</t>
  </si>
  <si>
    <t>Harness changes logged with actor, approval, version, hash, and deployment context / harness changes</t>
  </si>
  <si>
    <t>SOC Platform / DevSecOps</t>
  </si>
  <si>
    <t>Git; CI/CD; Model Gateway; SIEM</t>
  </si>
  <si>
    <t>Harness Configuration Drift Rate</t>
  </si>
  <si>
    <t>Unapproved or mismatched harness configurations / active agent deployments</t>
  </si>
  <si>
    <t>Git; Model Gateway; Agent Runtime; SIEM</t>
  </si>
  <si>
    <t>Rule File Integrity Failure Rate</t>
  </si>
  <si>
    <t>Unsigned, unapproved, or invalid rule-file changes / rule-file changes</t>
  </si>
  <si>
    <t>DevSecOps / SOC</t>
  </si>
  <si>
    <t>Git; CI/CD; Signature Validation; SIEM</t>
  </si>
  <si>
    <t>Guardrail Bypass Attempt Rate</t>
  </si>
  <si>
    <t>Detected attempts to bypass hooks, policies, or guardrails per 1,000 agent actions</t>
  </si>
  <si>
    <t>Per 1,000 actions</t>
  </si>
  <si>
    <t>Policy Engine; Model Gateway; Agent Runtime; SIEM</t>
  </si>
  <si>
    <t>Hook Execution Coverage</t>
  </si>
  <si>
    <t>Required lifecycle hook executions observed / required hook opportunities</t>
  </si>
  <si>
    <t>CI/CD; Git Hooks; Model Gateway; SIEM</t>
  </si>
  <si>
    <t>Hook Failure Rate</t>
  </si>
  <si>
    <t>Failed, skipped, or timed-out hooks / hook executions</t>
  </si>
  <si>
    <t>CI/CD; Policy Engine; SIEM</t>
  </si>
  <si>
    <t>Sandbox Escape Attempt Events</t>
  </si>
  <si>
    <t>Detected attempts to access host, privileged namespace, or prohibited network/file boundary</t>
  </si>
  <si>
    <t>SOC / Platform Security</t>
  </si>
  <si>
    <t>EDR/XDR; Kubernetes; Container Security; SIEM</t>
  </si>
  <si>
    <t>Unauthorized File Access Events</t>
  </si>
  <si>
    <t>Agent file operations outside approved repository or task scope</t>
  </si>
  <si>
    <t>SOC / DevSecOps</t>
  </si>
  <si>
    <t>Agent Runtime; EDR/XDR; Git; SIEM</t>
  </si>
  <si>
    <t>Unauthorized Network Destination Events</t>
  </si>
  <si>
    <t>Agent connections to destinations outside approved allowlist</t>
  </si>
  <si>
    <t>SOC / Network Security</t>
  </si>
  <si>
    <t>Proxy; NDR; Agent Runtime; SIEM</t>
  </si>
  <si>
    <t>Unauthorized Memory Modification Events</t>
  </si>
  <si>
    <t>Persistent memory writes without approved identity, source, or workflow</t>
  </si>
  <si>
    <t>SOC / AI Platform</t>
  </si>
  <si>
    <t>Memory Store; Agent Runtime; SIEM</t>
  </si>
  <si>
    <t>Memory Provenance Coverage</t>
  </si>
  <si>
    <t>Memory objects linked to owner, source, version, integrity, and parent trace / memory objects used</t>
  </si>
  <si>
    <t>Cross-Session Memory Access Anomaly Rate</t>
  </si>
  <si>
    <t>Anomalous cross-user, project, tenant, or session memory accesses / memory accesses</t>
  </si>
  <si>
    <t>Memory Store; IAM; Agent Runtime; SIEM</t>
  </si>
  <si>
    <t>Trajectory Evaluation Pass Rate</t>
  </si>
  <si>
    <t>Agent trajectories passing approved tool-use, step-order, verification, and termination rubrics / trajectories evaluated</t>
  </si>
  <si>
    <t>AI Assurance / SOC</t>
  </si>
  <si>
    <t>Eval Platform; Agent Runtime; CI/CD</t>
  </si>
  <si>
    <t>Security Eval Regression Rate</t>
  </si>
  <si>
    <t>Previously passed security evals failing after model, prompt, tool, skill, or harness change / evals rerun</t>
  </si>
  <si>
    <t>AI Security Assurance</t>
  </si>
  <si>
    <t>Eval Platform; CI/CD; Model Gateway</t>
  </si>
  <si>
    <t>Hallucinated Dependency Rate</t>
  </si>
  <si>
    <t>Non-existent, unapproved, or suspicious dependencies proposed or installed / dependency changes</t>
  </si>
  <si>
    <t>AppSec / SOC</t>
  </si>
  <si>
    <t>Package Registry; SBOM; CI/CD; SIEM</t>
  </si>
  <si>
    <t>Unapproved Agent Spawn Events</t>
  </si>
  <si>
    <t>Child agents created without approved orchestration policy or task need</t>
  </si>
  <si>
    <t>Excessive Delegation Depth Events</t>
  </si>
  <si>
    <t>Agent delegation chains exceeding approved depth or duration</t>
  </si>
  <si>
    <t>Agent Runtime; A2A; SIEM</t>
  </si>
  <si>
    <t>Token Burn Rate</t>
  </si>
  <si>
    <t>Input and output tokens consumed per successful agent task</t>
  </si>
  <si>
    <t>Tokens per task</t>
  </si>
  <si>
    <t>Model Gateway; AI Model; Agent Runtime; FinOps</t>
  </si>
  <si>
    <t>Retry Token Waste Rate</t>
  </si>
  <si>
    <t>Tokens consumed by failed retries and repeated loops / total tokens</t>
  </si>
  <si>
    <t>Agent Runtime; Model Gateway; FinOps; SIEM</t>
  </si>
  <si>
    <t>Model Routing Policy Violation Rate</t>
  </si>
  <si>
    <t>Tasks routed to models outside approved risk, cost, or capability policy / routed tasks</t>
  </si>
  <si>
    <t>Model Gateway; Routing Engine; SIEM</t>
  </si>
  <si>
    <t>Stage</t>
  </si>
  <si>
    <t>Trace Component</t>
  </si>
  <si>
    <t>Required Context</t>
  </si>
  <si>
    <t>Primary Sources</t>
  </si>
  <si>
    <t>Minimum Fields</t>
  </si>
  <si>
    <t>Identity</t>
  </si>
  <si>
    <t>User, workload, service account, role, token, device, source IP</t>
  </si>
  <si>
    <t>IAM/PAM; API Gateway</t>
  </si>
  <si>
    <t>identity_id, principal, role, scope, auth_result, risk_score</t>
  </si>
  <si>
    <t>Request</t>
  </si>
  <si>
    <t>Application, endpoint, request ID, session ID, timestamp</t>
  </si>
  <si>
    <t>API Gateway; Model Gateway</t>
  </si>
  <si>
    <t>request_id, session_id, app_id, route, source_ip, timestamp</t>
  </si>
  <si>
    <t>Prompt</t>
  </si>
  <si>
    <t>Raw prompt, normalized prompt, language, encoding, prompt-risk score</t>
  </si>
  <si>
    <t>Model Gateway; AI Model</t>
  </si>
  <si>
    <t>prompt_hash, normalized_prompt, language, encoding, injection_score</t>
  </si>
  <si>
    <t>Policy Decision</t>
  </si>
  <si>
    <t>Guardrail, safety, authorization, and routing decisions</t>
  </si>
  <si>
    <t>Model Gateway; Policy Engine</t>
  </si>
  <si>
    <t>policy_id, decision, reason, confidence, control_version</t>
  </si>
  <si>
    <t>Model Execution</t>
  </si>
  <si>
    <t>Model ID, model version, parameters, token use, latency, output classification</t>
  </si>
  <si>
    <t>AI Model / Inference Runtime</t>
  </si>
  <si>
    <t>model_id, version, input_tokens, output_tokens, latency, safety_label</t>
  </si>
  <si>
    <t>Retrieval</t>
  </si>
  <si>
    <t>Query, retrieved chunks, source IDs, similarity, trust and provenance</t>
  </si>
  <si>
    <t>RAG; Vector Database</t>
  </si>
  <si>
    <t>retrieval_id, document_id, chunk_id, similarity, trust_score, source_uri</t>
  </si>
  <si>
    <t>Tool Action</t>
  </si>
  <si>
    <t>Tool, arguments, authorization, target resource, result and duration</t>
  </si>
  <si>
    <t>Agent Runtime; Tool Logs</t>
  </si>
  <si>
    <t>tool_call_id, tool_name, args_hash, authz_result, target, result</t>
  </si>
  <si>
    <t>Output</t>
  </si>
  <si>
    <t>Response hash, policy label, DLP classification, destination and delivery status</t>
  </si>
  <si>
    <t>AI Model; DLP; Application</t>
  </si>
  <si>
    <t>output_hash, policy_label, data_classification, destination, delivery_status</t>
  </si>
  <si>
    <t>Downstream Effect</t>
  </si>
  <si>
    <t>Created, modified, transmitted, deleted, or executed business action</t>
  </si>
  <si>
    <t>EDR/XDR; SaaS logs; workflow platform</t>
  </si>
  <si>
    <t>action_id, resource, action_type, before_state, after_state, result</t>
  </si>
  <si>
    <t>SOC Correlation</t>
  </si>
  <si>
    <t>SIEM alert, risk score, incident, analyst decision and SOAR playbook</t>
  </si>
  <si>
    <t>SIEM; SOAR</t>
  </si>
  <si>
    <t>alert_id, incident_id, rule_id, risk_score, analyst_disposition, playbook_id</t>
  </si>
  <si>
    <t>Agent Goal and Plan</t>
  </si>
  <si>
    <t>Goal, constraints, plan version, success criteria and risk classification</t>
  </si>
  <si>
    <t>Agent Runtime; Orchestration</t>
  </si>
  <si>
    <t>goal_id, plan_id, objective, constraints, success_criteria, risk_level</t>
  </si>
  <si>
    <t>Trajectory Step</t>
  </si>
  <si>
    <t>Step number, selected action, reason, observation, retry and re-plan</t>
  </si>
  <si>
    <t>Agent Runtime; Model Gateway</t>
  </si>
  <si>
    <t>step_id, step_number, action, reason, observation, retry_count, replan_reason</t>
  </si>
  <si>
    <t>Delegation</t>
  </si>
  <si>
    <t>Parent and child agents, handoff reason, shared context and delegated permissions</t>
  </si>
  <si>
    <t>Agent Runtime; A2A; MCP</t>
  </si>
  <si>
    <t>parent_agent_id, child_agent_id, delegation_reason, permissions, context_hash</t>
  </si>
  <si>
    <t>Memory</t>
  </si>
  <si>
    <t>Memory read/write, provenance, owner, tenant, version and expiry</t>
  </si>
  <si>
    <t>Memory Store; Agent Runtime</t>
  </si>
  <si>
    <t>memory_id, action, owner, tenant, source, version, expiry, integrity_status</t>
  </si>
  <si>
    <t>Harness Version</t>
  </si>
  <si>
    <t>Rule files, prompts, skills, hooks, tool manifests and sandbox policy versions</t>
  </si>
  <si>
    <t>Git; Model Gateway; CI/CD</t>
  </si>
  <si>
    <t>prompt_version, rule_hash, skill_version, hook_version, tool_manifest_version, sandbox_policy</t>
  </si>
  <si>
    <t>Evaluation</t>
  </si>
  <si>
    <t>Output, trajectory, security and regression evaluation results</t>
  </si>
  <si>
    <t>Eval Platform; CI/CD</t>
  </si>
  <si>
    <t>eval_id, eval_type, rubric, dataset_version, score, failure_cluster, pass_fail</t>
  </si>
  <si>
    <t>Threat</t>
  </si>
  <si>
    <t>Event</t>
  </si>
  <si>
    <t>Detection Logic</t>
  </si>
  <si>
    <t>Investigation</t>
  </si>
  <si>
    <t>Response</t>
  </si>
  <si>
    <t>Response Systems</t>
  </si>
  <si>
    <t>Severity</t>
  </si>
  <si>
    <t>Prompt Injection / Jailbreak</t>
  </si>
  <si>
    <t>Suspicious prompt, encoded instruction, override attempt, or refusal probing</t>
  </si>
  <si>
    <t>Correlate prompt-risk score, user history, policy result, output, and tool calls</t>
  </si>
  <si>
    <t>Model Gateway; AI Model; API Gateway; SIEM</t>
  </si>
  <si>
    <t>Review raw and normalized prompt, policy decisions, and full trace</t>
  </si>
  <si>
    <t>Block session; disable tools; revoke API key; increase inspection</t>
  </si>
  <si>
    <t>SOAR; Model Gateway; API Gateway; IAM</t>
  </si>
  <si>
    <t>High</t>
  </si>
  <si>
    <t>Draft</t>
  </si>
  <si>
    <t>Sensitive Data Leakage</t>
  </si>
  <si>
    <t>Output contains regulated data, secrets, credentials, or internal information</t>
  </si>
  <si>
    <t>Correlate DLP classification, source document, user authorization, output, and destination</t>
  </si>
  <si>
    <t>Validate classification, data owner, source, recipients, and secret reuse</t>
  </si>
  <si>
    <t>Block output; quarantine content; revoke link; rotate secret</t>
  </si>
  <si>
    <t>SOAR; DLP; CASB; Secrets Manager</t>
  </si>
  <si>
    <t>Critical</t>
  </si>
  <si>
    <t>Unauthorized AI Action</t>
  </si>
  <si>
    <t>Tool or agent action lacks valid authorization, scope, or approval</t>
  </si>
  <si>
    <t>Correlate identity, token scope, tool, resource, workflow state, and result</t>
  </si>
  <si>
    <t>IAM/PAM; Model Gateway; Tool Logs; EDR/XDR; SIEM</t>
  </si>
  <si>
    <t>Inspect task objective, role, resource, and whether action completed</t>
  </si>
  <si>
    <t>Terminate action; revoke token; isolate agent; disable connector</t>
  </si>
  <si>
    <t>SOAR; IAM/PAM; Model Gateway; EDR/XDR</t>
  </si>
  <si>
    <t>Malicious RAG Retrieval</t>
  </si>
  <si>
    <t>Retrieved content contains hidden instructions, poisoned content, or an untrusted source</t>
  </si>
  <si>
    <t>Correlate source trust, document history, chunks, output, and tool actions</t>
  </si>
  <si>
    <t>RAG Logs; Vector DB; Model Gateway; AI Model; SIEM</t>
  </si>
  <si>
    <t>Inspect provenance, retrieved chunks, affected outputs, and impacted traces</t>
  </si>
  <si>
    <t>Quarantine source; remove from index; invalidate cache</t>
  </si>
  <si>
    <t>SOAR; RAG Platform; Vector DB; Model Gateway</t>
  </si>
  <si>
    <t>Model Extraction / Scraping</t>
  </si>
  <si>
    <t>High-volume, repetitive, or boundary-probing requests</t>
  </si>
  <si>
    <t>Correlate similarity, token use, identity, IP, rate limits, and session behavior</t>
  </si>
  <si>
    <t>API Gateway; WAF; Model Gateway; AI Model; SIEM</t>
  </si>
  <si>
    <t>Profile actor, request clusters, targeted model behavior, and data volume</t>
  </si>
  <si>
    <t>Throttle or block; require stronger authentication; reduce response detail</t>
  </si>
  <si>
    <t>SOAR; API Gateway; WAF; IAM</t>
  </si>
  <si>
    <t>Denial of Wallet</t>
  </si>
  <si>
    <t>Abnormal token volume, retries, recursion, latency, or tool calls</t>
  </si>
  <si>
    <t>Correlate token cost, workflow, user, retries, model, and downstream tools</t>
  </si>
  <si>
    <t>Identify abusive identity or workflow and calculate cost impact</t>
  </si>
  <si>
    <t>Rate limit; stop recursion; downgrade model; suspend API key</t>
  </si>
  <si>
    <t>SOAR; Model Gateway; API Gateway; FinOps</t>
  </si>
  <si>
    <t>AI Telemetry Loss</t>
  </si>
  <si>
    <t>Expected source stops reporting, parsing fails, or trace correlation breaks</t>
  </si>
  <si>
    <t>Detect missing heartbeat, stale events, parser errors, and orphaned traces</t>
  </si>
  <si>
    <t>SIEM; collectors; Model Gateway; API Gateway; EDR/XDR</t>
  </si>
  <si>
    <t>Check pipeline health, configuration changes, blind window, and affected use cases</t>
  </si>
  <si>
    <t>Open visibility incident; switch to backup logging; fail closed for high-risk actions</t>
  </si>
  <si>
    <t>SOAR; SIEM; Model Gateway; API Gateway</t>
  </si>
  <si>
    <t>Compromised AI Workload</t>
  </si>
  <si>
    <t>Malware, C2, suspicious process, or lateral movement on AI host</t>
  </si>
  <si>
    <t>Correlate process tree, network flow, cloud identity, model inventory, and deployment history</t>
  </si>
  <si>
    <t>EDR/XDR; NDR; Kubernetes; Cloud Logs; SIEM</t>
  </si>
  <si>
    <t>Review host, pod, network, identity, and recent deployment trace</t>
  </si>
  <si>
    <t>Isolate host or pod; revoke identity; stop endpoint; preserve forensic evidence</t>
  </si>
  <si>
    <t>SOAR; EDR/XDR; NDR; Kubernetes; IAM</t>
  </si>
  <si>
    <t>Source</t>
  </si>
  <si>
    <t>SOC Visibility</t>
  </si>
  <si>
    <t>Minimum Events / Fields</t>
  </si>
  <si>
    <t>SIEM</t>
  </si>
  <si>
    <t>Central correlation, risk scoring, alerting, incidents, search, and retention</t>
  </si>
  <si>
    <t>Normalized AI events, entities, rules, alerts, risk scores, incident links</t>
  </si>
  <si>
    <t>SOAR</t>
  </si>
  <si>
    <t>Case management and automated response</t>
  </si>
  <si>
    <t>Playbook trigger, action status, approval, failure reason, outcome, case ID</t>
  </si>
  <si>
    <t>Model Gateway</t>
  </si>
  <si>
    <t>Prompt, policy, routing, token, safety, and cost visibility</t>
  </si>
  <si>
    <t>Prompt metadata, model, policy decision, token use, latency, risk score, trace ID</t>
  </si>
  <si>
    <t>AI Model / Runtime</t>
  </si>
  <si>
    <t>Model execution and output behavior</t>
  </si>
  <si>
    <t>Model ID/version, prompt/output hashes, safety label, refusal, tokens, latency</t>
  </si>
  <si>
    <t>API Gateway</t>
  </si>
  <si>
    <t>Identity, access, abuse, request, and rate-limit visibility</t>
  </si>
  <si>
    <t>Client, API key, route, method, IP, status, latency, rate-limit result, trace ID</t>
  </si>
  <si>
    <t>RAG / Vector Database</t>
  </si>
  <si>
    <t>Retrieval, source trust, poisoning, and provenance</t>
  </si>
  <si>
    <t>Query, chunks, source ID, trust score, similarity, embedding model, trace ID</t>
  </si>
  <si>
    <t>Agent Runtime / Tool Logs</t>
  </si>
  <si>
    <t>Autonomous action and tool-use visibility</t>
  </si>
  <si>
    <t>Agent ID, task, tool, arguments, authorization, result, resource, parent trace</t>
  </si>
  <si>
    <t>IAM / PAM</t>
  </si>
  <si>
    <t>Identity, privilege, token, session, and approval context</t>
  </si>
  <si>
    <t>User/service account, role, scope, auth result, session risk, privilege event</t>
  </si>
  <si>
    <t>EDR / XDR</t>
  </si>
  <si>
    <t>AI host, container, process, file, and network behavior</t>
  </si>
  <si>
    <t>Process tree, command line, file access, connection, workload identity, alert</t>
  </si>
  <si>
    <t>DLP / Data Security</t>
  </si>
  <si>
    <t>Sensitive output and data movement monitoring</t>
  </si>
  <si>
    <t>Classification, matched policy, content type, destination, user, action</t>
  </si>
  <si>
    <t>Proxy / NDR</t>
  </si>
  <si>
    <t>Outbound communication, network anomaly, and exfiltration</t>
  </si>
  <si>
    <t>Destination, DNS, TLS, bytes, category, identity, anomaly score</t>
  </si>
  <si>
    <t>Git / Repository Platform</t>
  </si>
  <si>
    <t>Rule files, source changes, commits, branches, approvals and repository scope</t>
  </si>
  <si>
    <t>Actor, agent identity, repository, branch, commit, diff, file, approval, signature, trace ID</t>
  </si>
  <si>
    <t>CI/CD and Hooks</t>
  </si>
  <si>
    <t>Build, test, eval, security gate, commit and deployment decisions</t>
  </si>
  <si>
    <t>Pipeline ID, hook ID, lifecycle point, result, reason, approver, artifact, trace ID</t>
  </si>
  <si>
    <t>MCP Gateway</t>
  </si>
  <si>
    <t>MCP server discovery, tool manifests, permissions and calls</t>
  </si>
  <si>
    <t>Server ID, certificate, tool ID, manifest hash, identity, arguments, result, parent trace</t>
  </si>
  <si>
    <t>Memory Store</t>
  </si>
  <si>
    <t>Session and persistent memory reads, writes, provenance and tenancy</t>
  </si>
  <si>
    <t>Memory ID, owner, tenant, source, version, read/write, integrity, expiry, trace ID</t>
  </si>
  <si>
    <t>Eval Platform</t>
  </si>
  <si>
    <t>Eval ID, rubric, dataset, score, failure cluster, model version, harness version</t>
  </si>
  <si>
    <t>Package Registry / SBOM</t>
  </si>
  <si>
    <t>Dependency provenance, reputation, version, hash and vulnerability context</t>
  </si>
  <si>
    <t>Package, version, publisher, registry, hash, signature, SBOM component, CVE</t>
  </si>
  <si>
    <t>Repository</t>
  </si>
  <si>
    <t>Repository Type</t>
  </si>
  <si>
    <t>Primary Content</t>
  </si>
  <si>
    <t>Useful Fields</t>
  </si>
  <si>
    <t>SOC Operationalization</t>
  </si>
  <si>
    <t>Source URL</t>
  </si>
  <si>
    <t>MITRE ATLAS Case Studies</t>
  </si>
  <si>
    <t>Cyber-operational</t>
  </si>
  <si>
    <t>Adversarial attacks against AI systems, models, data, agents, and infrastructure</t>
  </si>
  <si>
    <t>Tactic, technique, case study, mitigation, target component</t>
  </si>
  <si>
    <t>Directly map techniques to telemetry, SIEM analytics, hunting, and response</t>
  </si>
  <si>
    <t>https://atlas.mitre.org/</t>
  </si>
  <si>
    <t>MITRE ATLAS Data Repository</t>
  </si>
  <si>
    <t>Machine-readable cyber intelligence</t>
  </si>
  <si>
    <t>Structured ATLAS tactics, techniques, mitigations, and case-study data</t>
  </si>
  <si>
    <t>Technique IDs, tactic, description, mitigations, relationships</t>
  </si>
  <si>
    <t>Ingest into detection engineering and threat-intelligence workflows</t>
  </si>
  <si>
    <t>https://github.com/mitre-atlas/atlas-data</t>
  </si>
  <si>
    <t>MITRE AI Incident Sharing Initiative</t>
  </si>
  <si>
    <t>Cyber incident sharing</t>
  </si>
  <si>
    <t>Attacks and accidents involving AI-enabled systems</t>
  </si>
  <si>
    <t>Incident context, affected AI system, attack or failure pattern, response lessons</t>
  </si>
  <si>
    <t>Use shared incidents to update detections, hunts, and SOAR playbooks</t>
  </si>
  <si>
    <t>https://www.mitre.org/news-insights/news-release/mitre-launches-ai-incident-sharing-initiative</t>
  </si>
  <si>
    <t>MIT AI Incident Tracker</t>
  </si>
  <si>
    <t>Broad AI incidents and risks</t>
  </si>
  <si>
    <t>Reported AI incidents, harms, causes, severity, affected parties, and national-security impact</t>
  </si>
  <si>
    <t>Incident domain, cause, harm, severity, developer, affected population</t>
  </si>
  <si>
    <t>Extract cyber-relevant incidents and convert recurring patterns into monitoring scenarios</t>
  </si>
  <si>
    <t>https://airisk.mit.edu/</t>
  </si>
  <si>
    <t>AI Incident Database</t>
  </si>
  <si>
    <t>Broad incident evidence</t>
  </si>
  <si>
    <t>Real-world harms and near harms involving deployed AI systems</t>
  </si>
  <si>
    <t>Incident report, system, harm, source, taxonomy classification</t>
  </si>
  <si>
    <t>Use for scenario discovery, lessons learned, and incident trend analysis</t>
  </si>
  <si>
    <t>https://incidentdatabase.ai/</t>
  </si>
  <si>
    <t>OECD AI Incidents and Hazards Monitor</t>
  </si>
  <si>
    <t>Strategic and regulatory</t>
  </si>
  <si>
    <t>AI incidents and hazards with policy and societal relevance</t>
  </si>
  <si>
    <t>Incident description, hazard, sector, country, source</t>
  </si>
  <si>
    <t>Use for emerging-risk monitoring and external trend analysis</t>
  </si>
  <si>
    <t>https://www.oecd.org/en/topics/sub-issues/ai-risks-and-incidents.html</t>
  </si>
  <si>
    <t>CISA Known Exploited Vulnerabilities</t>
  </si>
  <si>
    <t>Vulnerability intelligence</t>
  </si>
  <si>
    <t>Actively exploited vulnerabilities affecting AI infrastructure and dependencies</t>
  </si>
  <si>
    <t>CVE, product, vendor, due date, exploitation status</t>
  </si>
  <si>
    <t>Correlate AI asset inventory and SBOM with exploited vulnerabilities</t>
  </si>
  <si>
    <t>https://www.cisa.gov/known-exploited-vulnerabilities-catalog</t>
  </si>
  <si>
    <t>Use Case ID</t>
  </si>
  <si>
    <t>Threat / Incident</t>
  </si>
  <si>
    <t>Incident Description</t>
  </si>
  <si>
    <t>Repository Sources</t>
  </si>
  <si>
    <t>Required Events</t>
  </si>
  <si>
    <t>SOAR Response</t>
  </si>
  <si>
    <t>AI-INC-01</t>
  </si>
  <si>
    <t>Prompt Injection</t>
  </si>
  <si>
    <t>Adversarial input causes the model to ignore instructions, reveal protected context, or invoke tools</t>
  </si>
  <si>
    <t>MITRE ATLAS; MIT AI Incident Tracker</t>
  </si>
  <si>
    <t>Prompt, user, session, policy decision, output, tool calls, trace ID</t>
  </si>
  <si>
    <t>Correlate high injection score, policy conflict, repeated probing, unsafe output, and tool invocation</t>
  </si>
  <si>
    <t>Review complete request trace and similar sessions; identify exposed context and downstream effects</t>
  </si>
  <si>
    <t>Block session; disable tools; revoke key; preserve trace</t>
  </si>
  <si>
    <t>AI-INC-02</t>
  </si>
  <si>
    <t>Indirect Prompt Injection / RAG Poisoning</t>
  </si>
  <si>
    <t>Malicious or compromised content influences model behavior through retrieval</t>
  </si>
  <si>
    <t>MITRE ATLAS; AI Incident Database</t>
  </si>
  <si>
    <t>Retrieved chunks, source identity, trust score, ingestion history, output, tool calls</t>
  </si>
  <si>
    <t>Detect low-trust or newly ingested content followed by policy violation or abnormal tool action</t>
  </si>
  <si>
    <t>Inspect provenance, retrieved text, affected outputs, source history, and impacted traces</t>
  </si>
  <si>
    <t>Quarantine source; remove from index; invalidate cache; force trusted sources</t>
  </si>
  <si>
    <t>AI-INC-03</t>
  </si>
  <si>
    <t>Sensitive Data Disclosure</t>
  </si>
  <si>
    <t>AI output exposes personal, regulated, proprietary, or secret information</t>
  </si>
  <si>
    <t>MIT AI Incident Tracker; AI Incident Database; OECD</t>
  </si>
  <si>
    <t>Prompt, output, DLP label, source document, user authorization, destination</t>
  </si>
  <si>
    <t>Correlate sensitive output classification with unauthorized user, source, or destination</t>
  </si>
  <si>
    <t>Validate data type, owner, source, recipients, and whether secrets were reused</t>
  </si>
  <si>
    <t>Block output; revoke sharing; rotate secret; notify owner</t>
  </si>
  <si>
    <t>AI-INC-04</t>
  </si>
  <si>
    <t>Model Extraction / Intellectual Property Theft</t>
  </si>
  <si>
    <t>Repeated queries attempt to reconstruct model behavior, system prompt, or proprietary data</t>
  </si>
  <si>
    <t>MITRE ATLAS</t>
  </si>
  <si>
    <t>Request rate, semantic similarity, token volume, identity, IP, model, responses</t>
  </si>
  <si>
    <t>Detect clustered boundary probes, high similarity, distributed identities, and abnormal volume</t>
  </si>
  <si>
    <t>Profile actor, request pattern, targeted model behavior, and data volume</t>
  </si>
  <si>
    <t>AI-INC-05</t>
  </si>
  <si>
    <t>Unauthorized Agent or Tool Action</t>
  </si>
  <si>
    <t>Agent performs a privileged or out-of-scope action without valid authorization or approval</t>
  </si>
  <si>
    <t>MITRE ATLAS; MITRE AI Incident Sharing</t>
  </si>
  <si>
    <t>Agent task, identity, role, token scope, tool, arguments, resource, result</t>
  </si>
  <si>
    <t>Agent Runtime; IAM/PAM; Model Gateway; EDR/XDR; SIEM</t>
  </si>
  <si>
    <t>Correlate scope mismatch, missing approval, privileged tool call, and unexpected resource access</t>
  </si>
  <si>
    <t>Review task goal, action chain, authorization decision, and downstream effect</t>
  </si>
  <si>
    <t>AI-INC-06</t>
  </si>
  <si>
    <t>AI Workload Compromise</t>
  </si>
  <si>
    <t>Model server, agent host, container, plugin, or supporting service is compromised</t>
  </si>
  <si>
    <t>MITRE ATLAS; CISA KEV</t>
  </si>
  <si>
    <t>Process tree, image, hash, network flow, workload identity, deployment history, model version</t>
  </si>
  <si>
    <t>Correlate malware, C2, suspicious shell, unsigned component, or vulnerable version with AI workload</t>
  </si>
  <si>
    <t>Inspect host, pod, identity, network, model inventory, and recent changes</t>
  </si>
  <si>
    <t>Isolate workload; revoke identity; stop endpoint; collect forensic evidence</t>
  </si>
  <si>
    <t>AI-INC-07</t>
  </si>
  <si>
    <t>Model or Component Supply-Chain Compromise</t>
  </si>
  <si>
    <t>Unapproved or tampered model, adapter, plugin, library, or container is loaded</t>
  </si>
  <si>
    <t>Artifact hash, signature, registry status, SBOM, deployment identity, change ticket</t>
  </si>
  <si>
    <t>Model Registry; Cloud Control Plane; Container Security; EDR/XDR; SIEM</t>
  </si>
  <si>
    <t>Detect unsigned artifact, hash mismatch, unapproved version, or vulnerable dependency</t>
  </si>
  <si>
    <t>Validate provenance, signer, affected workloads, and exploitation indicators</t>
  </si>
  <si>
    <t>Stop workload; quarantine artifact; roll back; revoke deployment credential</t>
  </si>
  <si>
    <t>AI-INC-08</t>
  </si>
  <si>
    <t>Denial of Wallet / Resource Exhaustion</t>
  </si>
  <si>
    <t>Attack or malfunction causes excessive inference, token, recursion, latency, or tool cost</t>
  </si>
  <si>
    <t>Token use, model, latency, retries, recursion depth, tool calls, identity, cost</t>
  </si>
  <si>
    <t>Detect cost spike, long-context abuse, repeated retries, recursive agent loop, or abnormal tool use</t>
  </si>
  <si>
    <t>Identify actor or workflow; calculate cost and service impact; verify intent</t>
  </si>
  <si>
    <t>Rate limit; stop recursion; suspend key; cap budget; downgrade model</t>
  </si>
  <si>
    <t>AI-INC-09</t>
  </si>
  <si>
    <t>Misinformation or High-Risk Hallucination</t>
  </si>
  <si>
    <t>AI generates materially false information in a security-critical or high-impact workflow</t>
  </si>
  <si>
    <t>Prompt, output, grounding sources, confidence, model version, user decision, downstream action</t>
  </si>
  <si>
    <t>AI Model; RAG; Application Logs; Model Gateway; SIEM</t>
  </si>
  <si>
    <t>Detect ungrounded high-impact output, source contradiction, abnormal confidence, or repeated corrected claims</t>
  </si>
  <si>
    <t>Compare output with approved ground truth; determine whether action was taken</t>
  </si>
  <si>
    <t>Block or flag output; require human validation; restrict workflow; preserve evidence</t>
  </si>
  <si>
    <t>AI-INC-10</t>
  </si>
  <si>
    <t>Safety or Policy Bypass</t>
  </si>
  <si>
    <t>Model produces prohibited content or behavior despite an allow decision</t>
  </si>
  <si>
    <t>Output policy label, classifier result, guardrail decision, prompt, model version, trace</t>
  </si>
  <si>
    <t>AI Model; Model Gateway; Output Classifier; SIEM</t>
  </si>
  <si>
    <t>Correlate unsafe output with allow decision, control inconsistency, or repeated bypass pattern</t>
  </si>
  <si>
    <t>Reproduce safely; identify failed control layer; search for similar traces</t>
  </si>
  <si>
    <t>Block pattern; update guardrail; isolate model version; raise inspection</t>
  </si>
  <si>
    <t>AI-INC-11</t>
  </si>
  <si>
    <t>Identity Abuse and Account Compromise</t>
  </si>
  <si>
    <t>Compromised user or service identity accesses AI systems or invokes privileged workflows</t>
  </si>
  <si>
    <t>Identity, device, IP, geography, role, token, model usage, tool actions</t>
  </si>
  <si>
    <t>IAM/PAM; UEBA; API Gateway; Model Gateway; SIEM</t>
  </si>
  <si>
    <t>Detect impossible travel, token reuse, abnormal privilege, new device, or unusual AI access</t>
  </si>
  <si>
    <t>Validate identity context; inspect AI sessions, prompts, tools, and downstream actions</t>
  </si>
  <si>
    <t>Challenge or terminate session; revoke token; reduce privileges; isolate identity</t>
  </si>
  <si>
    <t>AI-INC-12</t>
  </si>
  <si>
    <t>Logging or Trace Evasion</t>
  </si>
  <si>
    <t>Attacker or failure disables logging, breaks trace correlation, or creates blind spots</t>
  </si>
  <si>
    <t>Source heartbeat, parser status, trace IDs, event volume, configuration changes</t>
  </si>
  <si>
    <t>SIEM; Collectors; Model Gateway; API Gateway; EDR/XDR; SOAR</t>
  </si>
  <si>
    <t>Detect missing heartbeat, sudden event drop, parser failure, orphaned trace, or logging change</t>
  </si>
  <si>
    <t>Identify affected period, systems, use cases, and whether activity occurred during the gap</t>
  </si>
  <si>
    <t>Open visibility incident; switch to backup; fail closed for high-risk actions</t>
  </si>
  <si>
    <t>Harness Component</t>
  </si>
  <si>
    <t>Scope</t>
  </si>
  <si>
    <t>Required Telemetry</t>
  </si>
  <si>
    <t>SOC Threats / Failure Modes</t>
  </si>
  <si>
    <t>Instructions &amp; Rule Files</t>
  </si>
  <si>
    <t>AGENTS.md, CLAUDE.md, GEMINI.md, system prompts, skill files, sub-agent prompts</t>
  </si>
  <si>
    <t>Change event, author, repository, branch, hash, signature, approval, effective version</t>
  </si>
  <si>
    <t>Unauthorized rule changes, prompt drift, policy weakening, hidden instructions</t>
  </si>
  <si>
    <t>Tools &amp; MCP Servers</t>
  </si>
  <si>
    <t>Registered tools, APIs, scripts, MCP servers and tool descriptions</t>
  </si>
  <si>
    <t>Tool ID, server, version, permissions, arguments, target, result, parent trace</t>
  </si>
  <si>
    <t>Unapproved tool registration, malicious MCP server, excessive permissions, tool misuse</t>
  </si>
  <si>
    <t>Agent Runtime; MCP Gateway; API Gateway; SIEM</t>
  </si>
  <si>
    <t>Sandbox &amp; Execution</t>
  </si>
  <si>
    <t>Terminal, container, ephemeral VM, file system and network boundary</t>
  </si>
  <si>
    <t>Command, process, file path, network destination, privilege, image, resource usage</t>
  </si>
  <si>
    <t>Sandbox escape, unauthorized file access, privileged command, data exfiltration</t>
  </si>
  <si>
    <t>EDR/XDR; Kubernetes; Container Security; Proxy; SIEM</t>
  </si>
  <si>
    <t>Orchestration</t>
  </si>
  <si>
    <t>Agent loop, model routing, retries, spawning, delegation and handoffs</t>
  </si>
  <si>
    <t>Agent ID, parent agent, step, routing decision, retry count, delegation depth, termination reason</t>
  </si>
  <si>
    <t>Runaway loop, unapproved sub-agent, excessive retries, unsafe routing</t>
  </si>
  <si>
    <t>Guardrails &amp; Hooks</t>
  </si>
  <si>
    <t>Pre-tool, post-edit, pre-commit, deployment and policy hooks</t>
  </si>
  <si>
    <t>Hook ID, lifecycle point, decision, reason, version, result, bypass indicator</t>
  </si>
  <si>
    <t>Hook bypass, failed guardrail, commit with secret, policy inconsistency</t>
  </si>
  <si>
    <t>CI/CD; Model Gateway; Policy Engine; SIEM</t>
  </si>
  <si>
    <t>Session state, persistent memory, project rules and retrieved memory</t>
  </si>
  <si>
    <t>Memory ID, owner, tenant, source, version, read/write action, provenance, expiry</t>
  </si>
  <si>
    <t>Memory poisoning, cross-user leakage, stale memory, unauthorized modification</t>
  </si>
  <si>
    <t>Agent Runtime; Memory Store; RAG; SIEM</t>
  </si>
  <si>
    <t>Evaluations</t>
  </si>
  <si>
    <t>Output evals, trajectory evals, security evals and regression suites</t>
  </si>
  <si>
    <t>Eval ID, rubric, dataset, score, failure cluster, model/harness version</t>
  </si>
  <si>
    <t>Trajectory failure, security regression, hallucinated dependency, quality drift</t>
  </si>
  <si>
    <t>Eval Platform; CI/CD; Model Gateway; SIEM</t>
  </si>
  <si>
    <t>Deployment</t>
  </si>
  <si>
    <t>Agent release, model, harness configuration, environment and rollback</t>
  </si>
  <si>
    <t>Release ID, model version, prompt version, skill version, environment, approver, rollback status</t>
  </si>
  <si>
    <t>Unapproved deployment, version mismatch, missing approval, unsafe rollback</t>
  </si>
  <si>
    <t>CI/CD; Cloud Control Plane; Model Registry; SIEM</t>
  </si>
  <si>
    <t>Observability</t>
  </si>
  <si>
    <t>Logs, metrics, traces, token cost, latency and drift</t>
  </si>
  <si>
    <t>Trace ID, source heartbeat, latency, token use, cost, drift score, completeness</t>
  </si>
  <si>
    <t>Blind spots, orphan traces, anomalous cost, latency spike, silent drift</t>
  </si>
  <si>
    <t>SIEM; APM; Model Gateway; FinOps</t>
  </si>
  <si>
    <t>CA-01</t>
  </si>
  <si>
    <t>Agent Commits a Secret</t>
  </si>
  <si>
    <t>Coding agent attempts to commit a hard-coded password, token, key, or certificate</t>
  </si>
  <si>
    <t>Pre-commit hook deny plus secret-classification event linked to agent trace</t>
  </si>
  <si>
    <t>Git; CI/CD; Secret Scanner; Agent Runtime; SIEM</t>
  </si>
  <si>
    <t>Block commit; revoke and rotate secret; suspend agent session; search repository history</t>
  </si>
  <si>
    <t>CA-02</t>
  </si>
  <si>
    <t>Hallucinated or Malicious Dependency</t>
  </si>
  <si>
    <t>Agent imports or installs a non-existent, typosquatted, or malicious package</t>
  </si>
  <si>
    <t>New dependency not found in approved registry, low reputation, unexpected publisher, or hash mismatch</t>
  </si>
  <si>
    <t>Package Registry; SBOM; CI/CD; Sandbox; EDR/XDR; SIEM</t>
  </si>
  <si>
    <t>Block build; quarantine package; remove dependency; inspect environment and credentials</t>
  </si>
  <si>
    <t>CA-03</t>
  </si>
  <si>
    <t>Security Control Modification</t>
  </si>
  <si>
    <t>Agent changes authentication, authorization, logging, encryption, WAF, IAM, or security policy</t>
  </si>
  <si>
    <t>Agent-authored change touches protected control files without approved change context</t>
  </si>
  <si>
    <t>Git; CI/CD; IaC Scanner; IAM; Cloud Logs; SIEM</t>
  </si>
  <si>
    <t>Block merge or deployment; require security review; revert change; open incident</t>
  </si>
  <si>
    <t>CA-04</t>
  </si>
  <si>
    <t>Test or Logging Disablement</t>
  </si>
  <si>
    <t>Agent deletes tests, weakens assertions, disables logging, or suppresses failures</t>
  </si>
  <si>
    <t>Reduction in test count or coverage, logging configuration change, or ignored security failure</t>
  </si>
  <si>
    <t>Git; CI/CD; Test Platform; SIEM</t>
  </si>
  <si>
    <t>Block pipeline; restore controls; compare baseline; require human approval</t>
  </si>
  <si>
    <t>CA-05</t>
  </si>
  <si>
    <t>CI/CD Gate Bypass</t>
  </si>
  <si>
    <t>Agent attempts direct deployment, force push, bypass label, or unauthorized pipeline action</t>
  </si>
  <si>
    <t>Deployment or merge occurs without required gate, review, signature, or approval</t>
  </si>
  <si>
    <t>Git; CI/CD; IAM; SOAR; SIEM</t>
  </si>
  <si>
    <t>Stop deployment; revoke token; roll back; preserve audit evidence</t>
  </si>
  <si>
    <t>CA-06</t>
  </si>
  <si>
    <t>Cross-Repository Access</t>
  </si>
  <si>
    <t>Agent reads or modifies repositories outside the assigned task scope</t>
  </si>
  <si>
    <t>Repository access does not match task, project, tenant, or approved dependency graph</t>
  </si>
  <si>
    <t>Git Platform; IAM; Agent Runtime; SIEM</t>
  </si>
  <si>
    <t>Terminate access; revoke token; isolate session; review accessed data</t>
  </si>
  <si>
    <t>CA-07</t>
  </si>
  <si>
    <t>Infrastructure-as-Code Tampering</t>
  </si>
  <si>
    <t>Agent changes cloud, network, IAM, container, or deployment configuration unsafely</t>
  </si>
  <si>
    <t>High-risk IaC diff, privilege expansion, public exposure, disabled encryption, or logging removal</t>
  </si>
  <si>
    <t>Git; IaC Scanner; Cloud Control Plane; CI/CD; SIEM</t>
  </si>
  <si>
    <t>Block change; revert; require architecture/security approval</t>
  </si>
  <si>
    <t>CA-08</t>
  </si>
  <si>
    <t>Runaway Sub-Agent Creation</t>
  </si>
  <si>
    <t>Orchestrator spawns excessive or unauthorized child agents</t>
  </si>
  <si>
    <t>Delegation depth, child count, token use, or runtime exceeds approved threshold</t>
  </si>
  <si>
    <t>Stop child agents; cap delegation depth; suspend parent agent; investigate trigger</t>
  </si>
  <si>
    <t>CA-09</t>
  </si>
  <si>
    <t>Repeated Failing Command Loop</t>
  </si>
  <si>
    <t>Agent repeatedly executes failing, destructive, or expensive commands</t>
  </si>
  <si>
    <t>Same command or failure cluster exceeds retry threshold without meaningful plan change</t>
  </si>
  <si>
    <t>Sandbox; Agent Runtime; EDR/XDR; SIEM</t>
  </si>
  <si>
    <t>Terminate loop; preserve trajectory; require human intervention; update guardrail</t>
  </si>
  <si>
    <t>CA-10</t>
  </si>
  <si>
    <t>Unapproved Production Deployment</t>
  </si>
  <si>
    <t>Agent deploys code, configuration, or an agent without human approval</t>
  </si>
  <si>
    <t>Production deployment trace lacks required reviewer, approval, or release ticket</t>
  </si>
  <si>
    <t>CI/CD; Cloud Control Plane; SOAR; SIEM</t>
  </si>
  <si>
    <t>Stop or roll back deployment; revoke deployment credential; open incident</t>
  </si>
  <si>
    <t>CA-11</t>
  </si>
  <si>
    <t>Rule File Self-Modification</t>
  </si>
  <si>
    <t>Agent modifies AGENTS.md, system prompt, skill file, or guardrail controlling its own behavior</t>
  </si>
  <si>
    <t>Agent is both actor and beneficiary of rule change; no independent approval</t>
  </si>
  <si>
    <t>Git; Agent Runtime; Model Gateway; SIEM</t>
  </si>
  <si>
    <t>Block change; restore signed version; isolate agent; review prior actions</t>
  </si>
  <si>
    <t>CA-12</t>
  </si>
  <si>
    <t>Unapproved MCP Server Call</t>
  </si>
  <si>
    <t>Agent connects to an unknown or unapproved MCP server or capability</t>
  </si>
  <si>
    <t>MCP endpoint, certificate, tool manifest, or permission is absent from allowlist</t>
  </si>
  <si>
    <t>MCP Gateway; Proxy; Agent Runtime; IAM; SIEM</t>
  </si>
  <si>
    <t>Block connection; revoke session; quarantine server; search for related calls</t>
  </si>
  <si>
    <t>CA-13</t>
  </si>
  <si>
    <t>Memory Poisoning</t>
  </si>
  <si>
    <t>Agent writes malicious, inaccurate, or unauthorized persistent memory</t>
  </si>
  <si>
    <t>Memory modification from untrusted source or inconsistent with approved project context</t>
  </si>
  <si>
    <t>Memory Store; Agent Runtime; RAG; SIEM</t>
  </si>
  <si>
    <t>Quarantine memory; restore approved version; invalidate sessions; investigate source</t>
  </si>
  <si>
    <t>CA-14</t>
  </si>
  <si>
    <t>Cross-User Memory Leakage</t>
  </si>
  <si>
    <t>Agent retrieves memory belonging to another user, project, or tenant</t>
  </si>
  <si>
    <t>Memory owner or tenant differs from active identity and task context</t>
  </si>
  <si>
    <t>Block response; isolate session; review affected records; notify data owner</t>
  </si>
  <si>
    <t xml:space="preserve">AI SOC Observability Dashboard | Author: Yuval Sinay | Version 1.0 | 19.07.2026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</si>
</sst>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6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i/>
      <sz val="11"/>
      <color rgb="FF44546A"/>
      <name val="Carlito"/>
    </font>
    <font>
      <b/>
      <sz val="22"/>
      <color rgb="FF17324D"/>
      <name val="Carlito"/>
    </font>
    <font>
      <b/>
      <sz val="18"/>
      <color rgb="FF17324D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2F75B5"/>
      </patternFill>
    </fill>
    <fill>
      <patternFill patternType="solid">
        <fgColor rgb="FFF3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/>
    </xf>
    <xf numFmtId="0" fontId="1" fillId="8" borderId="0" xfId="0" applyNumberFormat="1" applyFont="1" applyFill="1" applyBorder="1" applyAlignment="1">
      <alignment horizontal="center" vertical="center" wrapText="1"/>
    </xf>
    <xf numFmtId="0" fontId="0" fillId="9" borderId="0" xfId="0" applyNumberFormat="1" applyFont="1" applyFill="1" applyBorder="1" applyAlignment="1">
      <alignment wrapText="1"/>
    </xf>
    <xf numFmtId="0" fontId="0" fillId="10" borderId="0" xfId="0" applyNumberFormat="1" applyFont="1" applyFill="1" applyBorder="1" applyAlignment="1">
      <alignment wrapText="1"/>
    </xf>
    <xf numFmtId="0" fontId="0" fillId="11" borderId="0" xfId="0" applyNumberFormat="1" applyFont="1" applyFill="1" applyBorder="1" applyAlignment="1">
      <alignment wrapText="1"/>
    </xf>
    <xf numFmtId="165" fontId="5" fillId="11" borderId="0" xfId="0" applyNumberFormat="1" applyFont="1" applyFill="1" applyBorder="1" applyAlignment="1">
      <alignment horizontal="center"/>
    </xf>
    <xf numFmtId="0" fontId="1" fillId="13" borderId="0" xfId="0" applyNumberFormat="1" applyFont="1" applyFill="1" applyBorder="1" applyAlignment="1">
      <alignment horizontal="center" vertical="center" wrapText="1"/>
    </xf>
    <xf numFmtId="0" fontId="0" fillId="14" borderId="0" xfId="0" applyNumberFormat="1" applyFont="1" applyFill="1" applyBorder="1" applyAlignment="1">
      <alignment wrapText="1"/>
    </xf>
    <xf numFmtId="0" fontId="0" fillId="15" borderId="0" xfId="0" applyNumberFormat="1" applyFont="1" applyFill="1" applyBorder="1" applyAlignment="1">
      <alignment wrapText="1"/>
    </xf>
    <xf numFmtId="0" fontId="0" fillId="16" borderId="0" xfId="0" applyNumberFormat="1" applyFont="1" applyFill="1" applyBorder="1" applyAlignment="1">
      <alignment wrapText="1"/>
    </xf>
    <xf numFmtId="165" fontId="5" fillId="16" borderId="0" xfId="0" applyNumberFormat="1" applyFont="1" applyFill="1" applyBorder="1" applyAlignment="1">
      <alignment horizontal="center"/>
    </xf>
    <xf numFmtId="0" fontId="1" fillId="19" borderId="0" xfId="0" applyNumberFormat="1" applyFont="1" applyFill="1" applyBorder="1" applyAlignment="1">
      <alignment horizontal="center" vertical="center" wrapText="1"/>
    </xf>
    <xf numFmtId="1" fontId="5" fillId="20" borderId="0" xfId="0" applyNumberFormat="1" applyFont="1" applyFill="1" applyBorder="1" applyAlignment="1">
      <alignment horizontal="center" vertical="center"/>
    </xf>
    <xf numFmtId="0" fontId="1" fillId="12" borderId="0" xfId="0" applyNumberFormat="1" applyFont="1" applyFill="1" applyBorder="1" applyAlignment="1">
      <alignment horizontal="center" vertical="center" wrapText="1"/>
    </xf>
    <xf numFmtId="0" fontId="1" fillId="17" borderId="0" xfId="0" applyNumberFormat="1" applyFont="1" applyFill="1" applyBorder="1" applyAlignment="1">
      <alignment horizontal="center" vertical="center" wrapText="1"/>
    </xf>
    <xf numFmtId="0" fontId="1" fillId="18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Border="1" applyAlignment="1">
      <alignment horizontal="center"/>
    </xf>
    <xf numFmtId="0" fontId="1" fillId="7" borderId="0" xfId="0" applyNumberFormat="1" applyFont="1" applyFill="1" applyBorder="1" applyAlignment="1">
      <alignment horizontal="center"/>
    </xf>
    <xf numFmtId="164" fontId="4" fillId="5" borderId="0" xfId="0" applyNumberFormat="1" applyFont="1" applyFill="1" applyBorder="1" applyAlignment="1">
      <alignment horizontal="center" vertical="center"/>
    </xf>
    <xf numFmtId="1" fontId="4" fillId="5" borderId="0" xfId="0" applyNumberFormat="1" applyFont="1" applyFill="1" applyBorder="1" applyAlignment="1">
      <alignment horizontal="center" vertical="center"/>
    </xf>
    <xf numFmtId="165" fontId="4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</font>
      <fill>
        <patternFill>
          <bgColor rgb="FFD9E1F2"/>
        </patternFill>
      </fill>
    </dxf>
    <dxf>
      <font>
        <b/>
      </font>
      <fill>
        <patternFill>
          <bgColor rgb="FFF4B084"/>
        </patternFill>
      </fill>
    </dxf>
    <dxf>
      <font>
        <b/>
      </font>
      <fill>
        <patternFill>
          <bgColor rgb="FFFFE699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D9E1F2"/>
        </patternFill>
      </fill>
    </dxf>
    <dxf>
      <font>
        <b/>
      </font>
      <fill>
        <patternFill>
          <bgColor rgb="FFF4B084"/>
        </patternFill>
      </fill>
    </dxf>
    <dxf>
      <font>
        <b/>
      </font>
      <fill>
        <patternFill>
          <bgColor rgb="FFFFE699"/>
        </patternFill>
      </fill>
    </dxf>
    <dxf>
      <font>
        <b/>
      </font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AI Observability Score by Pillar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Score</c:v>
          </c:tx>
          <c:invertIfNegative val="1"/>
          <c:cat>
            <c:strRef>
              <c:f>'AI SOC Dashboard'!$A$12:$A$16</c:f>
              <c:strCache>
                <c:ptCount val="5"/>
                <c:pt idx="0">
                  <c:v>Logs</c:v>
                </c:pt>
                <c:pt idx="1">
                  <c:v>Metrics</c:v>
                </c:pt>
                <c:pt idx="2">
                  <c:v>Traces</c:v>
                </c:pt>
                <c:pt idx="3">
                  <c:v>Detection</c:v>
                </c:pt>
                <c:pt idx="4">
                  <c:v>Hunting</c:v>
                </c:pt>
              </c:strCache>
            </c:strRef>
          </c:cat>
          <c:val>
            <c:numRef>
              <c:f>'AI SOC Dashboard'!$B$12:$B$16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0-4276-A998-FD3DE8F32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Metric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'AI SOC Dashboard'!$E$12:$E$15</c:f>
              <c:strCache>
                <c:ptCount val="4"/>
                <c:pt idx="0">
                  <c:v>Green</c:v>
                </c:pt>
                <c:pt idx="1">
                  <c:v>Amber</c:v>
                </c:pt>
                <c:pt idx="2">
                  <c:v>Red</c:v>
                </c:pt>
                <c:pt idx="3">
                  <c:v>Not Assessed</c:v>
                </c:pt>
              </c:strCache>
            </c:strRef>
          </c:cat>
          <c:val>
            <c:numRef>
              <c:f>'AI SOC Dashboard'!$F$12:$F$15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2-495C-A2A9-9E88E9F75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ObservabilityMetricsTable" displayName="AIObservabilityMetricsTable" ref="A1:M28">
  <tableColumns count="13">
    <tableColumn id="1" xr3:uid="{00000000-0010-0000-0000-000001000000}" name="Pillar"/>
    <tableColumn id="2" xr3:uid="{00000000-0010-0000-0000-000002000000}" name="Metric"/>
    <tableColumn id="3" xr3:uid="{00000000-0010-0000-0000-000003000000}" name="Definition / Formula"/>
    <tableColumn id="4" xr3:uid="{00000000-0010-0000-0000-000004000000}" name="Unit"/>
    <tableColumn id="5" xr3:uid="{00000000-0010-0000-0000-000005000000}" name="Direction"/>
    <tableColumn id="6" xr3:uid="{00000000-0010-0000-0000-000006000000}" name="Target"/>
    <tableColumn id="7" xr3:uid="{00000000-0010-0000-0000-000007000000}" name="Current Value"/>
    <tableColumn id="8" xr3:uid="{00000000-0010-0000-0000-000008000000}" name="Weight"/>
    <tableColumn id="9" xr3:uid="{00000000-0010-0000-0000-000009000000}" name="Score"/>
    <tableColumn id="10" xr3:uid="{00000000-0010-0000-0000-00000A000000}" name="Status"/>
    <tableColumn id="11" xr3:uid="{00000000-0010-0000-0000-00000B000000}" name="Review Frequency"/>
    <tableColumn id="12" xr3:uid="{00000000-0010-0000-0000-00000C000000}" name="Owner"/>
    <tableColumn id="13" xr3:uid="{00000000-0010-0000-0000-00000D000000}" name="Telemetry Sour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ITraceModelTable" displayName="AITraceModelTable" ref="A1:E11">
  <tableColumns count="5">
    <tableColumn id="1" xr3:uid="{00000000-0010-0000-0100-000001000000}" name="Stage"/>
    <tableColumn id="2" xr3:uid="{00000000-0010-0000-0100-000002000000}" name="Trace Component"/>
    <tableColumn id="3" xr3:uid="{00000000-0010-0000-0100-000003000000}" name="Required Context"/>
    <tableColumn id="4" xr3:uid="{00000000-0010-0000-0100-000004000000}" name="Primary Sources"/>
    <tableColumn id="5" xr3:uid="{00000000-0010-0000-0100-000005000000}" name="Minimum Fiel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tectionResponseMatrixTable" displayName="DetectionResponseMatrixTable" ref="A1:I9">
  <tableColumns count="9">
    <tableColumn id="1" xr3:uid="{00000000-0010-0000-0200-000001000000}" name="Threat"/>
    <tableColumn id="2" xr3:uid="{00000000-0010-0000-0200-000002000000}" name="Event"/>
    <tableColumn id="3" xr3:uid="{00000000-0010-0000-0200-000003000000}" name="Detection Logic"/>
    <tableColumn id="4" xr3:uid="{00000000-0010-0000-0200-000004000000}" name="Telemetry Sources"/>
    <tableColumn id="5" xr3:uid="{00000000-0010-0000-0200-000005000000}" name="Investigation"/>
    <tableColumn id="6" xr3:uid="{00000000-0010-0000-0200-000006000000}" name="Response"/>
    <tableColumn id="7" xr3:uid="{00000000-0010-0000-0200-000007000000}" name="Response Systems"/>
    <tableColumn id="8" xr3:uid="{00000000-0010-0000-0200-000008000000}" name="Severity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ITelemetrySourcesTable" displayName="AITelemetrySourcesTable" ref="A1:C12">
  <tableColumns count="3">
    <tableColumn id="1" xr3:uid="{00000000-0010-0000-0300-000001000000}" name="Source"/>
    <tableColumn id="2" xr3:uid="{00000000-0010-0000-0300-000002000000}" name="SOC Visibility"/>
    <tableColumn id="3" xr3:uid="{00000000-0010-0000-0300-000003000000}" name="Minimum Events / Fiel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cidentRepositoryMappingTable" displayName="IncidentRepositoryMappingTable" ref="A1:F8">
  <tableColumns count="6">
    <tableColumn id="1" xr3:uid="{00000000-0010-0000-0400-000001000000}" name="Repository"/>
    <tableColumn id="2" xr3:uid="{00000000-0010-0000-0400-000002000000}" name="Repository Type"/>
    <tableColumn id="3" xr3:uid="{00000000-0010-0000-0400-000003000000}" name="Primary Content"/>
    <tableColumn id="4" xr3:uid="{00000000-0010-0000-0400-000004000000}" name="Useful Fields"/>
    <tableColumn id="5" xr3:uid="{00000000-0010-0000-0400-000005000000}" name="SOC Operationalization"/>
    <tableColumn id="6" xr3:uid="{00000000-0010-0000-0400-000006000000}" name="Source 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cidentDetectionUseCasesTable" displayName="IncidentDetectionUseCasesTable" ref="A1:K13">
  <tableColumns count="11">
    <tableColumn id="1" xr3:uid="{00000000-0010-0000-0500-000001000000}" name="Use Case ID"/>
    <tableColumn id="2" xr3:uid="{00000000-0010-0000-0500-000002000000}" name="Threat / Incident"/>
    <tableColumn id="3" xr3:uid="{00000000-0010-0000-0500-000003000000}" name="Incident Description"/>
    <tableColumn id="4" xr3:uid="{00000000-0010-0000-0500-000004000000}" name="Repository Sources"/>
    <tableColumn id="5" xr3:uid="{00000000-0010-0000-0500-000005000000}" name="Required Events"/>
    <tableColumn id="6" xr3:uid="{00000000-0010-0000-0500-000006000000}" name="Telemetry Sources"/>
    <tableColumn id="7" xr3:uid="{00000000-0010-0000-0500-000007000000}" name="Detection Logic"/>
    <tableColumn id="8" xr3:uid="{00000000-0010-0000-0500-000008000000}" name="Investigation"/>
    <tableColumn id="9" xr3:uid="{00000000-0010-0000-0500-000009000000}" name="SOAR Response"/>
    <tableColumn id="10" xr3:uid="{00000000-0010-0000-0500-00000A000000}" name="Severity"/>
    <tableColumn id="11" xr3:uid="{00000000-0010-0000-0500-00000B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HarnessObservabilityTable" displayName="HarnessObservabilityTable" ref="A1:E10">
  <tableColumns count="5">
    <tableColumn id="1" xr3:uid="{00000000-0010-0000-0600-000001000000}" name="Harness Component"/>
    <tableColumn id="2" xr3:uid="{00000000-0010-0000-0600-000002000000}" name="Scope"/>
    <tableColumn id="3" xr3:uid="{00000000-0010-0000-0600-000003000000}" name="Required Telemetry"/>
    <tableColumn id="4" xr3:uid="{00000000-0010-0000-0600-000004000000}" name="SOC Threats / Failure Modes"/>
    <tableColumn id="5" xr3:uid="{00000000-0010-0000-0600-000005000000}" name="Primary Sourc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dingAgentUseCasesTable" displayName="CodingAgentUseCasesTable" ref="A1:H15">
  <tableColumns count="8">
    <tableColumn id="1" xr3:uid="{00000000-0010-0000-0700-000001000000}" name="Use Case ID"/>
    <tableColumn id="2" xr3:uid="{00000000-0010-0000-0700-000002000000}" name="Threat / Incident"/>
    <tableColumn id="3" xr3:uid="{00000000-0010-0000-0700-000003000000}" name="Event"/>
    <tableColumn id="4" xr3:uid="{00000000-0010-0000-0700-000004000000}" name="Detection Logic"/>
    <tableColumn id="5" xr3:uid="{00000000-0010-0000-0700-000005000000}" name="Telemetry Sources"/>
    <tableColumn id="6" xr3:uid="{00000000-0010-0000-0700-000006000000}" name="SOAR Response"/>
    <tableColumn id="7" xr3:uid="{00000000-0010-0000-0700-000007000000}" name="Severity"/>
    <tableColumn id="8" xr3:uid="{00000000-0010-0000-07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R15" sqref="R15"/>
    </sheetView>
  </sheetViews>
  <sheetFormatPr defaultRowHeight="14.25"/>
  <cols>
    <col min="1" max="1" width="24" customWidth="1"/>
    <col min="2" max="2" width="16" customWidth="1"/>
    <col min="3" max="3" width="17" customWidth="1"/>
    <col min="4" max="4" width="4" customWidth="1"/>
    <col min="5" max="5" width="18" customWidth="1"/>
    <col min="6" max="6" width="14" customWidth="1"/>
    <col min="7" max="7" width="4" customWidth="1"/>
    <col min="8" max="8" width="10" customWidth="1"/>
    <col min="9" max="9" width="34" customWidth="1"/>
    <col min="10" max="12" width="12" customWidth="1"/>
  </cols>
  <sheetData>
    <row r="1" spans="1:12">
      <c r="A1" s="25" t="s">
        <v>718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5" spans="1:12" ht="15">
      <c r="A5" s="27" t="s">
        <v>1</v>
      </c>
      <c r="B5" s="27"/>
      <c r="C5" s="27"/>
      <c r="D5" s="27" t="s">
        <v>2</v>
      </c>
      <c r="E5" s="27"/>
      <c r="F5" s="27"/>
      <c r="G5" s="27" t="s">
        <v>3</v>
      </c>
      <c r="H5" s="27"/>
      <c r="I5" s="27"/>
      <c r="J5" s="27" t="s">
        <v>4</v>
      </c>
      <c r="K5" s="27"/>
      <c r="L5" s="27"/>
    </row>
    <row r="6" spans="1:12">
      <c r="A6" s="28">
        <f>IFERROR(SUMPRODUCT('AI Observability Metrics'!$I$2:$I$56,'AI Observability Metrics'!$H$2:$H$56)/SUMIF('AI Observability Metrics'!$I$2:$I$56,"&gt;=0",'AI Observability Metrics'!$H$2:$H$56),0)</f>
        <v>0</v>
      </c>
      <c r="B6" s="28"/>
      <c r="C6" s="28"/>
      <c r="D6" s="29">
        <f>COUNTIF('AI Observability Metrics'!$J$2:$J$56,"Red")</f>
        <v>0</v>
      </c>
      <c r="E6" s="29"/>
      <c r="F6" s="29"/>
      <c r="G6" s="30">
        <f>IFERROR(INDEX('AI Observability Metrics'!$G$2:$G$56,MATCH("Agent Trajectory Trace Coverage",'AI Observability Metrics'!$B$2:$B$56,0)),0)</f>
        <v>0</v>
      </c>
      <c r="H6" s="30"/>
      <c r="I6" s="30"/>
      <c r="J6" s="28">
        <f>IFERROR(INDEX('AI Observability Metrics'!$G$2:$G$56,MATCH("Mean Time to Detect AI Incident",'AI Observability Metrics'!$B$2:$B$56,0)),0)</f>
        <v>0</v>
      </c>
      <c r="K6" s="28"/>
      <c r="L6" s="28"/>
    </row>
    <row r="7" spans="1:12">
      <c r="A7" s="28"/>
      <c r="B7" s="28"/>
      <c r="C7" s="28"/>
      <c r="D7" s="29"/>
      <c r="E7" s="29"/>
      <c r="F7" s="29"/>
      <c r="G7" s="30"/>
      <c r="H7" s="30"/>
      <c r="I7" s="30"/>
      <c r="J7" s="28"/>
      <c r="K7" s="28"/>
      <c r="L7" s="28"/>
    </row>
    <row r="8" spans="1:12">
      <c r="A8" s="28"/>
      <c r="B8" s="28"/>
      <c r="C8" s="28"/>
      <c r="D8" s="29"/>
      <c r="E8" s="29"/>
      <c r="F8" s="29"/>
      <c r="G8" s="30"/>
      <c r="H8" s="30"/>
      <c r="I8" s="30"/>
      <c r="J8" s="28"/>
      <c r="K8" s="28"/>
      <c r="L8" s="28"/>
    </row>
    <row r="11" spans="1:12" ht="15">
      <c r="A11" s="9" t="s">
        <v>5</v>
      </c>
      <c r="B11" s="9" t="s">
        <v>6</v>
      </c>
      <c r="C11" s="9" t="s">
        <v>7</v>
      </c>
      <c r="E11" s="9" t="s">
        <v>8</v>
      </c>
      <c r="F11" s="9" t="s">
        <v>9</v>
      </c>
      <c r="H11" s="9" t="s">
        <v>10</v>
      </c>
      <c r="I11" s="9" t="s">
        <v>11</v>
      </c>
      <c r="J11" s="9" t="s">
        <v>12</v>
      </c>
      <c r="K11" s="9" t="s">
        <v>13</v>
      </c>
      <c r="L11" s="9" t="s">
        <v>14</v>
      </c>
    </row>
    <row r="12" spans="1:12">
      <c r="A12" t="s">
        <v>15</v>
      </c>
      <c r="B12" s="3">
        <f>IFERROR(SUMPRODUCT(('AI Observability Metrics'!$A$2:$A$56=A12)*'AI Observability Metrics'!$I$2:$I$56*'AI Observability Metrics'!$H$2:$H$56)/SUMPRODUCT(('AI Observability Metrics'!$A$2:$A$56=A12)*('AI Observability Metrics'!$I$2:$I$56&lt;&gt;"")*'AI Observability Metrics'!$H$2:$H$56),0)</f>
        <v>0</v>
      </c>
      <c r="C12">
        <f>COUNTIFS('AI Observability Metrics'!$A$2:$A$56,A12,'AI Observability Metrics'!$G$2:$G$56,"&gt;="&amp;0)</f>
        <v>0</v>
      </c>
      <c r="E12" t="s">
        <v>16</v>
      </c>
      <c r="F12">
        <f>COUNTIF('AI Observability Metrics'!$J$2:$J$56,E12)</f>
        <v>0</v>
      </c>
      <c r="H12">
        <v>1</v>
      </c>
      <c r="I12" t="str">
        <f>IFERROR(INDEX('AI Observability Metrics'!$B$2:$B$56,MATCH(SMALL('AI Observability Metrics'!$I$2:$I$56,H12),'AI Observability Metrics'!$I$2:$I$56,0)),"")</f>
        <v/>
      </c>
      <c r="J12" t="str">
        <f>IF(I12="","",INDEX('AI Observability Metrics'!$I$2:$I$56,MATCH(I12,'AI Observability Metrics'!$B$2:$B$56,0)))</f>
        <v/>
      </c>
      <c r="K12" t="str">
        <f>IF(I12="","",INDEX('AI Observability Metrics'!$G$2:$G$56,MATCH(I12,'AI Observability Metrics'!$B$2:$B$56,0)))</f>
        <v/>
      </c>
      <c r="L12" t="str">
        <f>IF(I12="","",INDEX('AI Observability Metrics'!$F$2:$F$56,MATCH(I12,'AI Observability Metrics'!$B$2:$B$56,0)))</f>
        <v/>
      </c>
    </row>
    <row r="13" spans="1:12">
      <c r="A13" t="s">
        <v>17</v>
      </c>
      <c r="B13" s="3">
        <f>IFERROR(SUMPRODUCT(('AI Observability Metrics'!$A$2:$A$56=A13)*'AI Observability Metrics'!$I$2:$I$56*'AI Observability Metrics'!$H$2:$H$56)/SUMPRODUCT(('AI Observability Metrics'!$A$2:$A$56=A13)*('AI Observability Metrics'!$I$2:$I$56&lt;&gt;"")*'AI Observability Metrics'!$H$2:$H$56),0)</f>
        <v>0</v>
      </c>
      <c r="C13">
        <f>COUNTIFS('AI Observability Metrics'!$A$2:$A$56,A13,'AI Observability Metrics'!$G$2:$G$56,"&gt;="&amp;0)</f>
        <v>0</v>
      </c>
      <c r="E13" t="s">
        <v>18</v>
      </c>
      <c r="F13">
        <f>COUNTIF('AI Observability Metrics'!$J$2:$J$56,E13)</f>
        <v>0</v>
      </c>
      <c r="H13">
        <v>2</v>
      </c>
      <c r="I13" t="str">
        <f>IFERROR(INDEX('AI Observability Metrics'!$B$2:$B$56,MATCH(SMALL('AI Observability Metrics'!$I$2:$I$56,H13),'AI Observability Metrics'!$I$2:$I$56,0)),"")</f>
        <v/>
      </c>
      <c r="J13" t="str">
        <f>IF(I13="","",INDEX('AI Observability Metrics'!$I$2:$I$56,MATCH(I13,'AI Observability Metrics'!$B$2:$B$56,0)))</f>
        <v/>
      </c>
      <c r="K13" t="str">
        <f>IF(I13="","",INDEX('AI Observability Metrics'!$G$2:$G$56,MATCH(I13,'AI Observability Metrics'!$B$2:$B$56,0)))</f>
        <v/>
      </c>
      <c r="L13" t="str">
        <f>IF(I13="","",INDEX('AI Observability Metrics'!$F$2:$F$56,MATCH(I13,'AI Observability Metrics'!$B$2:$B$56,0)))</f>
        <v/>
      </c>
    </row>
    <row r="14" spans="1:12">
      <c r="A14" t="s">
        <v>19</v>
      </c>
      <c r="B14" s="3">
        <f>IFERROR(SUMPRODUCT(('AI Observability Metrics'!$A$2:$A$56=A14)*'AI Observability Metrics'!$I$2:$I$56*'AI Observability Metrics'!$H$2:$H$56)/SUMPRODUCT(('AI Observability Metrics'!$A$2:$A$56=A14)*('AI Observability Metrics'!$I$2:$I$56&lt;&gt;"")*'AI Observability Metrics'!$H$2:$H$56),0)</f>
        <v>0</v>
      </c>
      <c r="C14">
        <f>COUNTIFS('AI Observability Metrics'!$A$2:$A$56,A14,'AI Observability Metrics'!$G$2:$G$56,"&gt;="&amp;0)</f>
        <v>0</v>
      </c>
      <c r="E14" t="s">
        <v>20</v>
      </c>
      <c r="F14">
        <f>COUNTIF('AI Observability Metrics'!$J$2:$J$56,E14)</f>
        <v>0</v>
      </c>
      <c r="H14">
        <v>3</v>
      </c>
      <c r="I14" t="str">
        <f>IFERROR(INDEX('AI Observability Metrics'!$B$2:$B$56,MATCH(SMALL('AI Observability Metrics'!$I$2:$I$56,H14),'AI Observability Metrics'!$I$2:$I$56,0)),"")</f>
        <v/>
      </c>
      <c r="J14" t="str">
        <f>IF(I14="","",INDEX('AI Observability Metrics'!$I$2:$I$56,MATCH(I14,'AI Observability Metrics'!$B$2:$B$56,0)))</f>
        <v/>
      </c>
      <c r="K14" t="str">
        <f>IF(I14="","",INDEX('AI Observability Metrics'!$G$2:$G$56,MATCH(I14,'AI Observability Metrics'!$B$2:$B$56,0)))</f>
        <v/>
      </c>
      <c r="L14" t="str">
        <f>IF(I14="","",INDEX('AI Observability Metrics'!$F$2:$F$56,MATCH(I14,'AI Observability Metrics'!$B$2:$B$56,0)))</f>
        <v/>
      </c>
    </row>
    <row r="15" spans="1:12">
      <c r="A15" t="s">
        <v>21</v>
      </c>
      <c r="B15" s="3">
        <f>IFERROR(SUMPRODUCT(('AI Observability Metrics'!$A$2:$A$56=A15)*'AI Observability Metrics'!$I$2:$I$56*'AI Observability Metrics'!$H$2:$H$56)/SUMPRODUCT(('AI Observability Metrics'!$A$2:$A$56=A15)*('AI Observability Metrics'!$I$2:$I$56&lt;&gt;"")*'AI Observability Metrics'!$H$2:$H$56),0)</f>
        <v>0</v>
      </c>
      <c r="C15">
        <f>COUNTIFS('AI Observability Metrics'!$A$2:$A$56,A15,'AI Observability Metrics'!$G$2:$G$56,"&gt;="&amp;0)</f>
        <v>0</v>
      </c>
      <c r="E15" t="s">
        <v>22</v>
      </c>
      <c r="F15">
        <f>COUNTIF('AI Observability Metrics'!$J$2:$J$56,E15)</f>
        <v>55</v>
      </c>
      <c r="H15">
        <v>4</v>
      </c>
      <c r="I15" t="str">
        <f>IFERROR(INDEX('AI Observability Metrics'!$B$2:$B$56,MATCH(SMALL('AI Observability Metrics'!$I$2:$I$56,H15),'AI Observability Metrics'!$I$2:$I$56,0)),"")</f>
        <v/>
      </c>
      <c r="J15" t="str">
        <f>IF(I15="","",INDEX('AI Observability Metrics'!$I$2:$I$56,MATCH(I15,'AI Observability Metrics'!$B$2:$B$56,0)))</f>
        <v/>
      </c>
      <c r="K15" t="str">
        <f>IF(I15="","",INDEX('AI Observability Metrics'!$G$2:$G$56,MATCH(I15,'AI Observability Metrics'!$B$2:$B$56,0)))</f>
        <v/>
      </c>
      <c r="L15" t="str">
        <f>IF(I15="","",INDEX('AI Observability Metrics'!$F$2:$F$56,MATCH(I15,'AI Observability Metrics'!$B$2:$B$56,0)))</f>
        <v/>
      </c>
    </row>
    <row r="16" spans="1:12">
      <c r="A16" t="s">
        <v>23</v>
      </c>
      <c r="B16" s="3">
        <f>IFERROR(SUMPRODUCT(('AI Observability Metrics'!$A$2:$A$56=A16)*'AI Observability Metrics'!$I$2:$I$56*'AI Observability Metrics'!$H$2:$H$56)/SUMPRODUCT(('AI Observability Metrics'!$A$2:$A$56=A16)*('AI Observability Metrics'!$I$2:$I$56&lt;&gt;"")*'AI Observability Metrics'!$H$2:$H$56),0)</f>
        <v>0</v>
      </c>
      <c r="C16">
        <f>COUNTIFS('AI Observability Metrics'!$A$2:$A$56,A16,'AI Observability Metrics'!$G$2:$G$56,"&gt;="&amp;0)</f>
        <v>0</v>
      </c>
      <c r="H16">
        <v>5</v>
      </c>
      <c r="I16" t="str">
        <f>IFERROR(INDEX('AI Observability Metrics'!$B$2:$B$56,MATCH(SMALL('AI Observability Metrics'!$I$2:$I$56,H16),'AI Observability Metrics'!$I$2:$I$56,0)),"")</f>
        <v/>
      </c>
      <c r="J16" t="str">
        <f>IF(I16="","",INDEX('AI Observability Metrics'!$I$2:$I$56,MATCH(I16,'AI Observability Metrics'!$B$2:$B$56,0)))</f>
        <v/>
      </c>
      <c r="K16" t="str">
        <f>IF(I16="","",INDEX('AI Observability Metrics'!$G$2:$G$56,MATCH(I16,'AI Observability Metrics'!$B$2:$B$56,0)))</f>
        <v/>
      </c>
      <c r="L16" t="str">
        <f>IF(I16="","",INDEX('AI Observability Metrics'!$F$2:$F$56,MATCH(I16,'AI Observability Metrics'!$B$2:$B$56,0)))</f>
        <v/>
      </c>
    </row>
    <row r="39" spans="1:12" ht="15">
      <c r="A39" s="24" t="s">
        <v>24</v>
      </c>
      <c r="B39" s="24"/>
      <c r="C39" s="24"/>
      <c r="D39" s="24"/>
      <c r="E39" s="24" t="s">
        <v>25</v>
      </c>
      <c r="F39" s="24"/>
      <c r="G39" s="24"/>
      <c r="H39" s="24"/>
      <c r="I39" s="24" t="s">
        <v>26</v>
      </c>
      <c r="J39" s="24"/>
      <c r="K39" s="24"/>
      <c r="L39" s="24"/>
    </row>
    <row r="40" spans="1:12" ht="165">
      <c r="A40" s="22" t="s">
        <v>27</v>
      </c>
      <c r="B40" s="22" t="s">
        <v>28</v>
      </c>
      <c r="C40" s="22" t="s">
        <v>29</v>
      </c>
      <c r="D40" s="22" t="s">
        <v>30</v>
      </c>
      <c r="E40" s="23" t="s">
        <v>31</v>
      </c>
      <c r="F40" s="23" t="s">
        <v>32</v>
      </c>
      <c r="G40" s="23" t="s">
        <v>33</v>
      </c>
      <c r="H40" s="23" t="s">
        <v>34</v>
      </c>
      <c r="I40" s="20" t="s">
        <v>35</v>
      </c>
      <c r="J40" s="20" t="s">
        <v>36</v>
      </c>
      <c r="K40" s="20" t="s">
        <v>37</v>
      </c>
      <c r="L40" s="20" t="s">
        <v>38</v>
      </c>
    </row>
    <row r="41" spans="1:12" ht="23.25">
      <c r="A41" s="14">
        <f>IFERROR(INDEX('AI Observability Metrics'!$G$2:$G$33,MATCH("Incident Repository Coverage",'AI Observability Metrics'!$B$2:$B$33,0)),0)</f>
        <v>0</v>
      </c>
      <c r="B41" s="14">
        <f>IFERROR(INDEX('AI Observability Metrics'!$G$2:$G$33,MATCH("Incident-to-Detection Conversion Rate",'AI Observability Metrics'!$B$2:$B$33,0)),0)</f>
        <v>0</v>
      </c>
      <c r="C41" s="14">
        <f>IFERROR(INDEX('AI Observability Metrics'!$G$2:$G$33,MATCH("Incident Detection Validation Rate",'AI Observability Metrics'!$B$2:$B$33,0)),0)</f>
        <v>0</v>
      </c>
      <c r="D41" s="14">
        <f>IFERROR(INDEX('AI Observability Metrics'!$G$2:$G$33,MATCH("Incident Evidence Trace Completeness",'AI Observability Metrics'!$B$2:$B$33,0)),0)</f>
        <v>0</v>
      </c>
      <c r="E41" s="19">
        <f>IFERROR(INDEX('AI Observability Metrics'!$G$2:$G$56,MATCH("Agent Trajectory Trace Coverage",'AI Observability Metrics'!$B$2:$B$56,0)),0)</f>
        <v>0</v>
      </c>
      <c r="F41" s="19">
        <f>IFERROR(INDEX('AI Observability Metrics'!$G$2:$G$56,MATCH("Harness Configuration Drift Rate",'AI Observability Metrics'!$B$2:$B$56,0)),0)</f>
        <v>0</v>
      </c>
      <c r="G41" s="19">
        <f>IFERROR(INDEX('AI Observability Metrics'!$G$2:$G$56,MATCH("Hook Execution Coverage",'AI Observability Metrics'!$B$2:$B$56,0)),0)</f>
        <v>0</v>
      </c>
      <c r="H41" s="19">
        <f>IFERROR(INDEX('AI Observability Metrics'!$G$2:$G$56,MATCH("Security Eval Regression Rate",'AI Observability Metrics'!$B$2:$B$56,0)),0)</f>
        <v>0</v>
      </c>
      <c r="I41" s="21">
        <f>COUNTA('Coding Agent Use Cases'!$A$2:$A$15)</f>
        <v>14</v>
      </c>
      <c r="J41" s="21">
        <f>COUNTIF('Coding Agent Use Cases'!$H$2:$H$15,"Operational")</f>
        <v>0</v>
      </c>
      <c r="K41" s="21">
        <f>COUNTA('Harness Observability'!$A$2:$A$10)</f>
        <v>9</v>
      </c>
      <c r="L41" s="21">
        <f>COUNTA('Telemetry Sources'!$A$2:$A$18)</f>
        <v>17</v>
      </c>
    </row>
  </sheetData>
  <mergeCells count="13">
    <mergeCell ref="A39:D39"/>
    <mergeCell ref="E39:H39"/>
    <mergeCell ref="I39:L39"/>
    <mergeCell ref="A1:L2"/>
    <mergeCell ref="A3:L3"/>
    <mergeCell ref="A5:C5"/>
    <mergeCell ref="A6:C8"/>
    <mergeCell ref="D5:F5"/>
    <mergeCell ref="D6:F8"/>
    <mergeCell ref="G5:I5"/>
    <mergeCell ref="G6:I8"/>
    <mergeCell ref="J5:L5"/>
    <mergeCell ref="J6:L8"/>
  </mergeCells>
  <conditionalFormatting sqref="B12:B1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workbookViewId="0"/>
  </sheetViews>
  <sheetFormatPr defaultRowHeight="14.25"/>
  <cols>
    <col min="1" max="1" width="14" customWidth="1"/>
    <col min="2" max="2" width="34" customWidth="1"/>
    <col min="3" max="3" width="50" customWidth="1"/>
    <col min="4" max="4" width="16" customWidth="1"/>
    <col min="5" max="6" width="12" customWidth="1"/>
    <col min="7" max="7" width="14" customWidth="1"/>
    <col min="8" max="8" width="9" customWidth="1"/>
    <col min="9" max="9" width="12" customWidth="1"/>
    <col min="10" max="10" width="14" customWidth="1"/>
    <col min="11" max="11" width="18" customWidth="1"/>
    <col min="12" max="12" width="26" customWidth="1"/>
    <col min="13" max="13" width="48" customWidth="1"/>
  </cols>
  <sheetData>
    <row r="1" spans="1:13" ht="15">
      <c r="A1" s="2" t="s">
        <v>39</v>
      </c>
      <c r="B1" s="2" t="s">
        <v>11</v>
      </c>
      <c r="C1" s="2" t="s">
        <v>40</v>
      </c>
      <c r="D1" s="2" t="s">
        <v>41</v>
      </c>
      <c r="E1" s="2" t="s">
        <v>42</v>
      </c>
      <c r="F1" s="2" t="s">
        <v>14</v>
      </c>
      <c r="G1" s="2" t="s">
        <v>43</v>
      </c>
      <c r="H1" s="2" t="s">
        <v>44</v>
      </c>
      <c r="I1" s="2" t="s">
        <v>12</v>
      </c>
      <c r="J1" s="2" t="s">
        <v>8</v>
      </c>
      <c r="K1" s="2" t="s">
        <v>45</v>
      </c>
      <c r="L1" s="2" t="s">
        <v>46</v>
      </c>
      <c r="M1" s="2" t="s">
        <v>38</v>
      </c>
    </row>
    <row r="2" spans="1:13" ht="29.25">
      <c r="A2" s="4" t="s">
        <v>15</v>
      </c>
      <c r="B2" s="4" t="s">
        <v>47</v>
      </c>
      <c r="C2" s="4" t="s">
        <v>48</v>
      </c>
      <c r="D2" s="4" t="s">
        <v>49</v>
      </c>
      <c r="E2" s="4" t="s">
        <v>50</v>
      </c>
      <c r="F2" s="4">
        <v>100</v>
      </c>
      <c r="G2" s="5"/>
      <c r="H2" s="6">
        <v>1</v>
      </c>
      <c r="I2" s="7" t="str">
        <f t="shared" ref="I2:I33" si="0">IF(G2="","",IF(E2="Higher",MIN(100,MAX(0,G2/F2*100)),IF(F2=0,IF(G2=0,100,0),MIN(100,MAX(0,F2/G2*100)))))</f>
        <v/>
      </c>
      <c r="J2" s="4" t="str">
        <f t="shared" ref="J2:J33" si="1">IF(I2="","Not Assessed",IF(I2&gt;=90,"Green",IF(I2&gt;=70,"Amber","Red")))</f>
        <v>Not Assessed</v>
      </c>
      <c r="K2" s="4" t="s">
        <v>51</v>
      </c>
      <c r="L2" s="8" t="s">
        <v>52</v>
      </c>
      <c r="M2" s="8" t="s">
        <v>53</v>
      </c>
    </row>
    <row r="3" spans="1:13" ht="29.25">
      <c r="A3" s="4" t="s">
        <v>15</v>
      </c>
      <c r="B3" s="4" t="s">
        <v>54</v>
      </c>
      <c r="C3" s="4" t="s">
        <v>55</v>
      </c>
      <c r="D3" s="4" t="s">
        <v>49</v>
      </c>
      <c r="E3" s="4" t="s">
        <v>50</v>
      </c>
      <c r="F3" s="4">
        <v>99</v>
      </c>
      <c r="G3" s="5"/>
      <c r="H3" s="6">
        <v>1</v>
      </c>
      <c r="I3" s="7" t="str">
        <f t="shared" si="0"/>
        <v/>
      </c>
      <c r="J3" s="4" t="str">
        <f t="shared" si="1"/>
        <v>Not Assessed</v>
      </c>
      <c r="K3" s="4" t="s">
        <v>51</v>
      </c>
      <c r="L3" s="8" t="s">
        <v>56</v>
      </c>
      <c r="M3" s="8" t="s">
        <v>57</v>
      </c>
    </row>
    <row r="4" spans="1:13" ht="29.25">
      <c r="A4" s="4" t="s">
        <v>15</v>
      </c>
      <c r="B4" s="4" t="s">
        <v>58</v>
      </c>
      <c r="C4" s="4" t="s">
        <v>59</v>
      </c>
      <c r="D4" s="4" t="s">
        <v>9</v>
      </c>
      <c r="E4" s="4" t="s">
        <v>60</v>
      </c>
      <c r="F4" s="4">
        <v>0</v>
      </c>
      <c r="G4" s="5"/>
      <c r="H4" s="6">
        <v>1</v>
      </c>
      <c r="I4" s="7" t="str">
        <f t="shared" si="0"/>
        <v/>
      </c>
      <c r="J4" s="4" t="str">
        <f t="shared" si="1"/>
        <v>Not Assessed</v>
      </c>
      <c r="K4" s="4" t="s">
        <v>51</v>
      </c>
      <c r="L4" s="8" t="s">
        <v>52</v>
      </c>
      <c r="M4" s="8" t="s">
        <v>61</v>
      </c>
    </row>
    <row r="5" spans="1:13" ht="15">
      <c r="A5" s="4" t="s">
        <v>17</v>
      </c>
      <c r="B5" s="4" t="s">
        <v>62</v>
      </c>
      <c r="C5" s="4" t="s">
        <v>63</v>
      </c>
      <c r="D5" s="4" t="s">
        <v>64</v>
      </c>
      <c r="E5" s="4" t="s">
        <v>60</v>
      </c>
      <c r="F5" s="4">
        <v>60</v>
      </c>
      <c r="G5" s="5"/>
      <c r="H5" s="6">
        <v>1</v>
      </c>
      <c r="I5" s="7" t="str">
        <f t="shared" si="0"/>
        <v/>
      </c>
      <c r="J5" s="4" t="str">
        <f t="shared" si="1"/>
        <v>Not Assessed</v>
      </c>
      <c r="K5" s="4" t="s">
        <v>65</v>
      </c>
      <c r="L5" s="8" t="s">
        <v>52</v>
      </c>
      <c r="M5" s="8" t="s">
        <v>66</v>
      </c>
    </row>
    <row r="6" spans="1:13" ht="29.25">
      <c r="A6" s="4" t="s">
        <v>17</v>
      </c>
      <c r="B6" s="4" t="s">
        <v>67</v>
      </c>
      <c r="C6" s="4" t="s">
        <v>68</v>
      </c>
      <c r="D6" s="4" t="s">
        <v>69</v>
      </c>
      <c r="E6" s="4" t="s">
        <v>60</v>
      </c>
      <c r="F6" s="4">
        <v>10</v>
      </c>
      <c r="G6" s="5"/>
      <c r="H6" s="6">
        <v>1</v>
      </c>
      <c r="I6" s="7" t="str">
        <f t="shared" si="0"/>
        <v/>
      </c>
      <c r="J6" s="4" t="str">
        <f t="shared" si="1"/>
        <v>Not Assessed</v>
      </c>
      <c r="K6" s="4" t="s">
        <v>65</v>
      </c>
      <c r="L6" s="8" t="s">
        <v>70</v>
      </c>
      <c r="M6" s="8" t="s">
        <v>71</v>
      </c>
    </row>
    <row r="7" spans="1:13" ht="29.25">
      <c r="A7" s="4" t="s">
        <v>17</v>
      </c>
      <c r="B7" s="4" t="s">
        <v>72</v>
      </c>
      <c r="C7" s="4" t="s">
        <v>73</v>
      </c>
      <c r="D7" s="4" t="s">
        <v>49</v>
      </c>
      <c r="E7" s="4" t="s">
        <v>50</v>
      </c>
      <c r="F7" s="4">
        <v>95</v>
      </c>
      <c r="G7" s="5"/>
      <c r="H7" s="6">
        <v>1</v>
      </c>
      <c r="I7" s="7" t="str">
        <f t="shared" si="0"/>
        <v/>
      </c>
      <c r="J7" s="4" t="str">
        <f t="shared" si="1"/>
        <v>Not Assessed</v>
      </c>
      <c r="K7" s="4" t="s">
        <v>74</v>
      </c>
      <c r="L7" s="8" t="s">
        <v>70</v>
      </c>
      <c r="M7" s="8" t="s">
        <v>75</v>
      </c>
    </row>
    <row r="8" spans="1:13" ht="29.25">
      <c r="A8" s="4" t="s">
        <v>17</v>
      </c>
      <c r="B8" s="4" t="s">
        <v>76</v>
      </c>
      <c r="C8" s="4" t="s">
        <v>77</v>
      </c>
      <c r="D8" s="4" t="s">
        <v>49</v>
      </c>
      <c r="E8" s="4" t="s">
        <v>60</v>
      </c>
      <c r="F8" s="4">
        <v>1</v>
      </c>
      <c r="G8" s="5"/>
      <c r="H8" s="6">
        <v>1</v>
      </c>
      <c r="I8" s="7" t="str">
        <f t="shared" si="0"/>
        <v/>
      </c>
      <c r="J8" s="4" t="str">
        <f t="shared" si="1"/>
        <v>Not Assessed</v>
      </c>
      <c r="K8" s="4" t="s">
        <v>74</v>
      </c>
      <c r="L8" s="8" t="s">
        <v>70</v>
      </c>
      <c r="M8" s="8" t="s">
        <v>78</v>
      </c>
    </row>
    <row r="9" spans="1:13" ht="29.25">
      <c r="A9" s="4" t="s">
        <v>17</v>
      </c>
      <c r="B9" s="4" t="s">
        <v>79</v>
      </c>
      <c r="C9" s="4" t="s">
        <v>80</v>
      </c>
      <c r="D9" s="4" t="s">
        <v>49</v>
      </c>
      <c r="E9" s="4" t="s">
        <v>50</v>
      </c>
      <c r="F9" s="4">
        <v>99</v>
      </c>
      <c r="G9" s="5"/>
      <c r="H9" s="6">
        <v>1</v>
      </c>
      <c r="I9" s="7" t="str">
        <f t="shared" si="0"/>
        <v/>
      </c>
      <c r="J9" s="4" t="str">
        <f t="shared" si="1"/>
        <v>Not Assessed</v>
      </c>
      <c r="K9" s="4" t="s">
        <v>74</v>
      </c>
      <c r="L9" s="8" t="s">
        <v>81</v>
      </c>
      <c r="M9" s="8" t="s">
        <v>82</v>
      </c>
    </row>
    <row r="10" spans="1:13" ht="15">
      <c r="A10" s="4" t="s">
        <v>17</v>
      </c>
      <c r="B10" s="4" t="s">
        <v>83</v>
      </c>
      <c r="C10" s="4" t="s">
        <v>84</v>
      </c>
      <c r="D10" s="4" t="s">
        <v>9</v>
      </c>
      <c r="E10" s="4" t="s">
        <v>60</v>
      </c>
      <c r="F10" s="4">
        <v>0</v>
      </c>
      <c r="G10" s="5"/>
      <c r="H10" s="6">
        <v>1</v>
      </c>
      <c r="I10" s="7" t="str">
        <f t="shared" si="0"/>
        <v/>
      </c>
      <c r="J10" s="4" t="str">
        <f t="shared" si="1"/>
        <v>Not Assessed</v>
      </c>
      <c r="K10" s="4" t="s">
        <v>85</v>
      </c>
      <c r="L10" s="8" t="s">
        <v>86</v>
      </c>
      <c r="M10" s="8" t="s">
        <v>87</v>
      </c>
    </row>
    <row r="11" spans="1:13" ht="29.25">
      <c r="A11" s="4" t="s">
        <v>17</v>
      </c>
      <c r="B11" s="4" t="s">
        <v>88</v>
      </c>
      <c r="C11" s="4" t="s">
        <v>89</v>
      </c>
      <c r="D11" s="4" t="s">
        <v>49</v>
      </c>
      <c r="E11" s="4" t="s">
        <v>60</v>
      </c>
      <c r="F11" s="4">
        <v>1</v>
      </c>
      <c r="G11" s="5"/>
      <c r="H11" s="6">
        <v>1</v>
      </c>
      <c r="I11" s="7" t="str">
        <f t="shared" si="0"/>
        <v/>
      </c>
      <c r="J11" s="4" t="str">
        <f t="shared" si="1"/>
        <v>Not Assessed</v>
      </c>
      <c r="K11" s="4" t="s">
        <v>90</v>
      </c>
      <c r="L11" s="8" t="s">
        <v>91</v>
      </c>
      <c r="M11" s="8" t="s">
        <v>92</v>
      </c>
    </row>
    <row r="12" spans="1:13" ht="29.25">
      <c r="A12" s="4" t="s">
        <v>17</v>
      </c>
      <c r="B12" s="4" t="s">
        <v>93</v>
      </c>
      <c r="C12" s="4" t="s">
        <v>94</v>
      </c>
      <c r="D12" s="4" t="s">
        <v>9</v>
      </c>
      <c r="E12" s="4" t="s">
        <v>60</v>
      </c>
      <c r="F12" s="4">
        <v>5</v>
      </c>
      <c r="G12" s="5"/>
      <c r="H12" s="6">
        <v>1</v>
      </c>
      <c r="I12" s="7" t="str">
        <f t="shared" si="0"/>
        <v/>
      </c>
      <c r="J12" s="4" t="str">
        <f t="shared" si="1"/>
        <v>Not Assessed</v>
      </c>
      <c r="K12" s="4" t="s">
        <v>90</v>
      </c>
      <c r="L12" s="8" t="s">
        <v>95</v>
      </c>
      <c r="M12" s="8" t="s">
        <v>96</v>
      </c>
    </row>
    <row r="13" spans="1:13" ht="15">
      <c r="A13" s="4" t="s">
        <v>17</v>
      </c>
      <c r="B13" s="4" t="s">
        <v>97</v>
      </c>
      <c r="C13" s="4" t="s">
        <v>98</v>
      </c>
      <c r="D13" s="4" t="s">
        <v>49</v>
      </c>
      <c r="E13" s="4" t="s">
        <v>50</v>
      </c>
      <c r="F13" s="4">
        <v>85</v>
      </c>
      <c r="G13" s="5"/>
      <c r="H13" s="6">
        <v>1</v>
      </c>
      <c r="I13" s="7" t="str">
        <f t="shared" si="0"/>
        <v/>
      </c>
      <c r="J13" s="4" t="str">
        <f t="shared" si="1"/>
        <v>Not Assessed</v>
      </c>
      <c r="K13" s="4" t="s">
        <v>99</v>
      </c>
      <c r="L13" s="8" t="s">
        <v>100</v>
      </c>
      <c r="M13" s="8" t="s">
        <v>101</v>
      </c>
    </row>
    <row r="14" spans="1:13" ht="15">
      <c r="A14" s="4" t="s">
        <v>17</v>
      </c>
      <c r="B14" s="4" t="s">
        <v>102</v>
      </c>
      <c r="C14" s="4" t="s">
        <v>103</v>
      </c>
      <c r="D14" s="4" t="s">
        <v>104</v>
      </c>
      <c r="E14" s="4" t="s">
        <v>60</v>
      </c>
      <c r="F14" s="4">
        <v>15</v>
      </c>
      <c r="G14" s="5"/>
      <c r="H14" s="6">
        <v>1</v>
      </c>
      <c r="I14" s="7" t="str">
        <f t="shared" si="0"/>
        <v/>
      </c>
      <c r="J14" s="4" t="str">
        <f t="shared" si="1"/>
        <v>Not Assessed</v>
      </c>
      <c r="K14" s="4" t="s">
        <v>105</v>
      </c>
      <c r="L14" s="8" t="s">
        <v>100</v>
      </c>
      <c r="M14" s="8" t="s">
        <v>106</v>
      </c>
    </row>
    <row r="15" spans="1:13" ht="15">
      <c r="A15" s="4" t="s">
        <v>17</v>
      </c>
      <c r="B15" s="4" t="s">
        <v>107</v>
      </c>
      <c r="C15" s="4" t="s">
        <v>108</v>
      </c>
      <c r="D15" s="4" t="s">
        <v>104</v>
      </c>
      <c r="E15" s="4" t="s">
        <v>60</v>
      </c>
      <c r="F15" s="4">
        <v>10</v>
      </c>
      <c r="G15" s="5"/>
      <c r="H15" s="6">
        <v>1</v>
      </c>
      <c r="I15" s="7" t="str">
        <f t="shared" si="0"/>
        <v/>
      </c>
      <c r="J15" s="4" t="str">
        <f t="shared" si="1"/>
        <v>Not Assessed</v>
      </c>
      <c r="K15" s="4" t="s">
        <v>74</v>
      </c>
      <c r="L15" s="8" t="s">
        <v>100</v>
      </c>
      <c r="M15" s="8" t="s">
        <v>109</v>
      </c>
    </row>
    <row r="16" spans="1:13" ht="15">
      <c r="A16" s="4" t="s">
        <v>17</v>
      </c>
      <c r="B16" s="4" t="s">
        <v>110</v>
      </c>
      <c r="C16" s="4" t="s">
        <v>111</v>
      </c>
      <c r="D16" s="4" t="s">
        <v>104</v>
      </c>
      <c r="E16" s="4" t="s">
        <v>60</v>
      </c>
      <c r="F16" s="4">
        <v>30</v>
      </c>
      <c r="G16" s="5"/>
      <c r="H16" s="6">
        <v>1</v>
      </c>
      <c r="I16" s="7" t="str">
        <f t="shared" si="0"/>
        <v/>
      </c>
      <c r="J16" s="4" t="str">
        <f t="shared" si="1"/>
        <v>Not Assessed</v>
      </c>
      <c r="K16" s="4" t="s">
        <v>105</v>
      </c>
      <c r="L16" s="8" t="s">
        <v>112</v>
      </c>
      <c r="M16" s="8" t="s">
        <v>113</v>
      </c>
    </row>
    <row r="17" spans="1:13" ht="29.25">
      <c r="A17" s="4" t="s">
        <v>17</v>
      </c>
      <c r="B17" s="4" t="s">
        <v>114</v>
      </c>
      <c r="C17" s="4" t="s">
        <v>115</v>
      </c>
      <c r="D17" s="4" t="s">
        <v>49</v>
      </c>
      <c r="E17" s="4" t="s">
        <v>50</v>
      </c>
      <c r="F17" s="4">
        <v>95</v>
      </c>
      <c r="G17" s="5"/>
      <c r="H17" s="6">
        <v>1</v>
      </c>
      <c r="I17" s="7" t="str">
        <f t="shared" si="0"/>
        <v/>
      </c>
      <c r="J17" s="4" t="str">
        <f t="shared" si="1"/>
        <v>Not Assessed</v>
      </c>
      <c r="K17" s="4" t="s">
        <v>74</v>
      </c>
      <c r="L17" s="8" t="s">
        <v>116</v>
      </c>
      <c r="M17" s="8" t="s">
        <v>117</v>
      </c>
    </row>
    <row r="18" spans="1:13" ht="29.25">
      <c r="A18" s="4" t="s">
        <v>19</v>
      </c>
      <c r="B18" s="4" t="s">
        <v>118</v>
      </c>
      <c r="C18" s="4" t="s">
        <v>119</v>
      </c>
      <c r="D18" s="4" t="s">
        <v>49</v>
      </c>
      <c r="E18" s="4" t="s">
        <v>50</v>
      </c>
      <c r="F18" s="4">
        <v>95</v>
      </c>
      <c r="G18" s="5"/>
      <c r="H18" s="6">
        <v>1</v>
      </c>
      <c r="I18" s="7" t="str">
        <f t="shared" si="0"/>
        <v/>
      </c>
      <c r="J18" s="4" t="str">
        <f t="shared" si="1"/>
        <v>Not Assessed</v>
      </c>
      <c r="K18" s="4" t="s">
        <v>51</v>
      </c>
      <c r="L18" s="8" t="s">
        <v>52</v>
      </c>
      <c r="M18" s="8" t="s">
        <v>120</v>
      </c>
    </row>
    <row r="19" spans="1:13" ht="29.25">
      <c r="A19" s="4" t="s">
        <v>19</v>
      </c>
      <c r="B19" s="4" t="s">
        <v>121</v>
      </c>
      <c r="C19" s="4" t="s">
        <v>122</v>
      </c>
      <c r="D19" s="4" t="s">
        <v>49</v>
      </c>
      <c r="E19" s="4" t="s">
        <v>60</v>
      </c>
      <c r="F19" s="4">
        <v>1</v>
      </c>
      <c r="G19" s="5"/>
      <c r="H19" s="6">
        <v>1</v>
      </c>
      <c r="I19" s="7" t="str">
        <f t="shared" si="0"/>
        <v/>
      </c>
      <c r="J19" s="4" t="str">
        <f t="shared" si="1"/>
        <v>Not Assessed</v>
      </c>
      <c r="K19" s="4" t="s">
        <v>51</v>
      </c>
      <c r="L19" s="8" t="s">
        <v>52</v>
      </c>
      <c r="M19" s="8" t="s">
        <v>123</v>
      </c>
    </row>
    <row r="20" spans="1:13" ht="29.25">
      <c r="A20" s="4" t="s">
        <v>19</v>
      </c>
      <c r="B20" s="4" t="s">
        <v>124</v>
      </c>
      <c r="C20" s="4" t="s">
        <v>125</v>
      </c>
      <c r="D20" s="4" t="s">
        <v>49</v>
      </c>
      <c r="E20" s="4" t="s">
        <v>50</v>
      </c>
      <c r="F20" s="4">
        <v>95</v>
      </c>
      <c r="G20" s="5"/>
      <c r="H20" s="6">
        <v>1</v>
      </c>
      <c r="I20" s="7" t="str">
        <f t="shared" si="0"/>
        <v/>
      </c>
      <c r="J20" s="4" t="str">
        <f t="shared" si="1"/>
        <v>Not Assessed</v>
      </c>
      <c r="K20" s="4" t="s">
        <v>51</v>
      </c>
      <c r="L20" s="8" t="s">
        <v>52</v>
      </c>
      <c r="M20" s="8" t="s">
        <v>126</v>
      </c>
    </row>
    <row r="21" spans="1:13" ht="29.25">
      <c r="A21" s="4" t="s">
        <v>19</v>
      </c>
      <c r="B21" s="4" t="s">
        <v>127</v>
      </c>
      <c r="C21" s="4" t="s">
        <v>128</v>
      </c>
      <c r="D21" s="4" t="s">
        <v>49</v>
      </c>
      <c r="E21" s="4" t="s">
        <v>50</v>
      </c>
      <c r="F21" s="4">
        <v>95</v>
      </c>
      <c r="G21" s="5"/>
      <c r="H21" s="6">
        <v>1</v>
      </c>
      <c r="I21" s="7" t="str">
        <f t="shared" si="0"/>
        <v/>
      </c>
      <c r="J21" s="4" t="str">
        <f t="shared" si="1"/>
        <v>Not Assessed</v>
      </c>
      <c r="K21" s="4" t="s">
        <v>129</v>
      </c>
      <c r="L21" s="8" t="s">
        <v>100</v>
      </c>
      <c r="M21" s="8" t="s">
        <v>130</v>
      </c>
    </row>
    <row r="22" spans="1:13" ht="29.25">
      <c r="A22" s="4" t="s">
        <v>19</v>
      </c>
      <c r="B22" s="4" t="s">
        <v>131</v>
      </c>
      <c r="C22" s="4" t="s">
        <v>132</v>
      </c>
      <c r="D22" s="4" t="s">
        <v>49</v>
      </c>
      <c r="E22" s="4" t="s">
        <v>50</v>
      </c>
      <c r="F22" s="4">
        <v>100</v>
      </c>
      <c r="G22" s="5"/>
      <c r="H22" s="6">
        <v>1</v>
      </c>
      <c r="I22" s="7" t="str">
        <f t="shared" si="0"/>
        <v/>
      </c>
      <c r="J22" s="4" t="str">
        <f t="shared" si="1"/>
        <v>Not Assessed</v>
      </c>
      <c r="K22" s="4" t="s">
        <v>51</v>
      </c>
      <c r="L22" s="8" t="s">
        <v>133</v>
      </c>
      <c r="M22" s="8" t="s">
        <v>134</v>
      </c>
    </row>
    <row r="23" spans="1:13" ht="29.25">
      <c r="A23" s="4" t="s">
        <v>19</v>
      </c>
      <c r="B23" s="4" t="s">
        <v>135</v>
      </c>
      <c r="C23" s="4" t="s">
        <v>136</v>
      </c>
      <c r="D23" s="4" t="s">
        <v>49</v>
      </c>
      <c r="E23" s="4" t="s">
        <v>50</v>
      </c>
      <c r="F23" s="4">
        <v>95</v>
      </c>
      <c r="G23" s="5"/>
      <c r="H23" s="6">
        <v>1</v>
      </c>
      <c r="I23" s="7" t="str">
        <f t="shared" si="0"/>
        <v/>
      </c>
      <c r="J23" s="4" t="str">
        <f t="shared" si="1"/>
        <v>Not Assessed</v>
      </c>
      <c r="K23" s="4" t="s">
        <v>51</v>
      </c>
      <c r="L23" s="8" t="s">
        <v>137</v>
      </c>
      <c r="M23" s="8" t="s">
        <v>138</v>
      </c>
    </row>
    <row r="24" spans="1:13" ht="29.25">
      <c r="A24" s="4" t="s">
        <v>21</v>
      </c>
      <c r="B24" s="4" t="s">
        <v>139</v>
      </c>
      <c r="C24" s="4" t="s">
        <v>140</v>
      </c>
      <c r="D24" s="4" t="s">
        <v>49</v>
      </c>
      <c r="E24" s="4" t="s">
        <v>50</v>
      </c>
      <c r="F24" s="4">
        <v>90</v>
      </c>
      <c r="G24" s="5"/>
      <c r="H24" s="6">
        <v>1</v>
      </c>
      <c r="I24" s="7" t="str">
        <f t="shared" si="0"/>
        <v/>
      </c>
      <c r="J24" s="4" t="str">
        <f t="shared" si="1"/>
        <v>Not Assessed</v>
      </c>
      <c r="K24" s="4" t="s">
        <v>129</v>
      </c>
      <c r="L24" s="8" t="s">
        <v>141</v>
      </c>
      <c r="M24" s="8" t="s">
        <v>142</v>
      </c>
    </row>
    <row r="25" spans="1:13" ht="29.25">
      <c r="A25" s="4" t="s">
        <v>21</v>
      </c>
      <c r="B25" s="4" t="s">
        <v>143</v>
      </c>
      <c r="C25" s="4" t="s">
        <v>144</v>
      </c>
      <c r="D25" s="4" t="s">
        <v>49</v>
      </c>
      <c r="E25" s="4" t="s">
        <v>50</v>
      </c>
      <c r="F25" s="4">
        <v>95</v>
      </c>
      <c r="G25" s="5"/>
      <c r="H25" s="6">
        <v>1</v>
      </c>
      <c r="I25" s="7" t="str">
        <f t="shared" si="0"/>
        <v/>
      </c>
      <c r="J25" s="4" t="str">
        <f t="shared" si="1"/>
        <v>Not Assessed</v>
      </c>
      <c r="K25" s="4" t="s">
        <v>145</v>
      </c>
      <c r="L25" s="8" t="s">
        <v>141</v>
      </c>
      <c r="M25" s="8" t="s">
        <v>146</v>
      </c>
    </row>
    <row r="26" spans="1:13" ht="29.25">
      <c r="A26" s="4" t="s">
        <v>21</v>
      </c>
      <c r="B26" s="4" t="s">
        <v>147</v>
      </c>
      <c r="C26" s="4" t="s">
        <v>148</v>
      </c>
      <c r="D26" s="4" t="s">
        <v>49</v>
      </c>
      <c r="E26" s="4" t="s">
        <v>60</v>
      </c>
      <c r="F26" s="4">
        <v>10</v>
      </c>
      <c r="G26" s="5"/>
      <c r="H26" s="6">
        <v>1</v>
      </c>
      <c r="I26" s="7" t="str">
        <f t="shared" si="0"/>
        <v/>
      </c>
      <c r="J26" s="4" t="str">
        <f t="shared" si="1"/>
        <v>Not Assessed</v>
      </c>
      <c r="K26" s="4" t="s">
        <v>99</v>
      </c>
      <c r="L26" s="8" t="s">
        <v>141</v>
      </c>
      <c r="M26" s="8" t="s">
        <v>149</v>
      </c>
    </row>
    <row r="27" spans="1:13" ht="15">
      <c r="A27" s="4" t="s">
        <v>23</v>
      </c>
      <c r="B27" s="4" t="s">
        <v>150</v>
      </c>
      <c r="C27" s="4" t="s">
        <v>151</v>
      </c>
      <c r="D27" s="4" t="s">
        <v>49</v>
      </c>
      <c r="E27" s="4" t="s">
        <v>50</v>
      </c>
      <c r="F27" s="4">
        <v>90</v>
      </c>
      <c r="G27" s="5"/>
      <c r="H27" s="6">
        <v>1</v>
      </c>
      <c r="I27" s="7" t="str">
        <f t="shared" si="0"/>
        <v/>
      </c>
      <c r="J27" s="4" t="str">
        <f t="shared" si="1"/>
        <v>Not Assessed</v>
      </c>
      <c r="K27" s="4" t="s">
        <v>129</v>
      </c>
      <c r="L27" s="8" t="s">
        <v>152</v>
      </c>
      <c r="M27" s="8" t="s">
        <v>153</v>
      </c>
    </row>
    <row r="28" spans="1:13" ht="29.25">
      <c r="A28" s="4" t="s">
        <v>23</v>
      </c>
      <c r="B28" s="4" t="s">
        <v>154</v>
      </c>
      <c r="C28" s="4" t="s">
        <v>155</v>
      </c>
      <c r="D28" s="4" t="s">
        <v>49</v>
      </c>
      <c r="E28" s="4" t="s">
        <v>50</v>
      </c>
      <c r="F28" s="4">
        <v>30</v>
      </c>
      <c r="G28" s="5"/>
      <c r="H28" s="6">
        <v>1</v>
      </c>
      <c r="I28" s="7" t="str">
        <f t="shared" si="0"/>
        <v/>
      </c>
      <c r="J28" s="4" t="str">
        <f t="shared" si="1"/>
        <v>Not Assessed</v>
      </c>
      <c r="K28" s="4" t="s">
        <v>156</v>
      </c>
      <c r="L28" s="8" t="s">
        <v>157</v>
      </c>
      <c r="M28" s="8" t="s">
        <v>158</v>
      </c>
    </row>
    <row r="29" spans="1:13" ht="29.25">
      <c r="A29" s="4" t="s">
        <v>21</v>
      </c>
      <c r="B29" s="4" t="s">
        <v>159</v>
      </c>
      <c r="C29" s="4" t="s">
        <v>160</v>
      </c>
      <c r="D29" s="4" t="s">
        <v>49</v>
      </c>
      <c r="E29" s="4" t="s">
        <v>50</v>
      </c>
      <c r="F29" s="4">
        <v>90</v>
      </c>
      <c r="G29" s="11"/>
      <c r="H29" s="12">
        <v>1</v>
      </c>
      <c r="I29" s="7" t="str">
        <f t="shared" si="0"/>
        <v/>
      </c>
      <c r="J29" s="4" t="str">
        <f t="shared" si="1"/>
        <v>Not Assessed</v>
      </c>
      <c r="K29" s="4" t="s">
        <v>129</v>
      </c>
      <c r="L29" s="13" t="s">
        <v>161</v>
      </c>
      <c r="M29" s="13" t="s">
        <v>162</v>
      </c>
    </row>
    <row r="30" spans="1:13" ht="43.5">
      <c r="A30" s="4" t="s">
        <v>21</v>
      </c>
      <c r="B30" s="4" t="s">
        <v>163</v>
      </c>
      <c r="C30" s="4" t="s">
        <v>164</v>
      </c>
      <c r="D30" s="4" t="s">
        <v>49</v>
      </c>
      <c r="E30" s="4" t="s">
        <v>50</v>
      </c>
      <c r="F30" s="4">
        <v>60</v>
      </c>
      <c r="G30" s="11"/>
      <c r="H30" s="12">
        <v>1</v>
      </c>
      <c r="I30" s="7" t="str">
        <f t="shared" si="0"/>
        <v/>
      </c>
      <c r="J30" s="4" t="str">
        <f t="shared" si="1"/>
        <v>Not Assessed</v>
      </c>
      <c r="K30" s="4" t="s">
        <v>129</v>
      </c>
      <c r="L30" s="13" t="s">
        <v>165</v>
      </c>
      <c r="M30" s="13" t="s">
        <v>166</v>
      </c>
    </row>
    <row r="31" spans="1:13" ht="29.25">
      <c r="A31" s="4" t="s">
        <v>21</v>
      </c>
      <c r="B31" s="4" t="s">
        <v>167</v>
      </c>
      <c r="C31" s="4" t="s">
        <v>168</v>
      </c>
      <c r="D31" s="4" t="s">
        <v>49</v>
      </c>
      <c r="E31" s="4" t="s">
        <v>50</v>
      </c>
      <c r="F31" s="4">
        <v>95</v>
      </c>
      <c r="G31" s="11"/>
      <c r="H31" s="12">
        <v>1</v>
      </c>
      <c r="I31" s="7" t="str">
        <f t="shared" si="0"/>
        <v/>
      </c>
      <c r="J31" s="4" t="str">
        <f t="shared" si="1"/>
        <v>Not Assessed</v>
      </c>
      <c r="K31" s="4" t="s">
        <v>145</v>
      </c>
      <c r="L31" s="13" t="s">
        <v>141</v>
      </c>
      <c r="M31" s="13" t="s">
        <v>169</v>
      </c>
    </row>
    <row r="32" spans="1:13" ht="29.25">
      <c r="A32" s="4" t="s">
        <v>23</v>
      </c>
      <c r="B32" s="4" t="s">
        <v>170</v>
      </c>
      <c r="C32" s="4" t="s">
        <v>171</v>
      </c>
      <c r="D32" s="4" t="s">
        <v>49</v>
      </c>
      <c r="E32" s="4" t="s">
        <v>50</v>
      </c>
      <c r="F32" s="4">
        <v>50</v>
      </c>
      <c r="G32" s="11"/>
      <c r="H32" s="12">
        <v>1</v>
      </c>
      <c r="I32" s="7" t="str">
        <f t="shared" si="0"/>
        <v/>
      </c>
      <c r="J32" s="4" t="str">
        <f t="shared" si="1"/>
        <v>Not Assessed</v>
      </c>
      <c r="K32" s="4" t="s">
        <v>129</v>
      </c>
      <c r="L32" s="13" t="s">
        <v>172</v>
      </c>
      <c r="M32" s="13" t="s">
        <v>173</v>
      </c>
    </row>
    <row r="33" spans="1:13" ht="43.5">
      <c r="A33" s="4" t="s">
        <v>19</v>
      </c>
      <c r="B33" s="4" t="s">
        <v>174</v>
      </c>
      <c r="C33" s="4" t="s">
        <v>175</v>
      </c>
      <c r="D33" s="4" t="s">
        <v>49</v>
      </c>
      <c r="E33" s="4" t="s">
        <v>50</v>
      </c>
      <c r="F33" s="4">
        <v>95</v>
      </c>
      <c r="G33" s="11"/>
      <c r="H33" s="12">
        <v>1</v>
      </c>
      <c r="I33" s="7" t="str">
        <f t="shared" si="0"/>
        <v/>
      </c>
      <c r="J33" s="4" t="str">
        <f t="shared" si="1"/>
        <v>Not Assessed</v>
      </c>
      <c r="K33" s="4" t="s">
        <v>129</v>
      </c>
      <c r="L33" s="13" t="s">
        <v>176</v>
      </c>
      <c r="M33" s="13" t="s">
        <v>130</v>
      </c>
    </row>
    <row r="34" spans="1:13" ht="43.5">
      <c r="A34" s="4" t="s">
        <v>19</v>
      </c>
      <c r="B34" s="4" t="s">
        <v>177</v>
      </c>
      <c r="C34" s="4" t="s">
        <v>178</v>
      </c>
      <c r="D34" s="4" t="s">
        <v>49</v>
      </c>
      <c r="E34" s="4" t="s">
        <v>50</v>
      </c>
      <c r="F34" s="4">
        <v>95</v>
      </c>
      <c r="G34" s="16"/>
      <c r="H34" s="17">
        <v>1</v>
      </c>
      <c r="I34" s="7" t="str">
        <f t="shared" ref="I34:I56" si="2">IF(G34="","",IF(E34="Higher",MIN(100,MAX(0,G34/F34*100)),IF(F34=0,IF(G34=0,100,0),MIN(100,MAX(0,F34/G34*100)))))</f>
        <v/>
      </c>
      <c r="J34" s="4" t="str">
        <f t="shared" ref="J34:J56" si="3">IF(I34="","Not Assessed",IF(I34&gt;=90,"Green",IF(I34&gt;=70,"Amber","Red")))</f>
        <v>Not Assessed</v>
      </c>
      <c r="K34" s="4" t="s">
        <v>51</v>
      </c>
      <c r="L34" s="18" t="s">
        <v>179</v>
      </c>
      <c r="M34" s="18" t="s">
        <v>180</v>
      </c>
    </row>
    <row r="35" spans="1:13" ht="29.25">
      <c r="A35" s="4" t="s">
        <v>19</v>
      </c>
      <c r="B35" s="4" t="s">
        <v>181</v>
      </c>
      <c r="C35" s="4" t="s">
        <v>182</v>
      </c>
      <c r="D35" s="4" t="s">
        <v>49</v>
      </c>
      <c r="E35" s="4" t="s">
        <v>50</v>
      </c>
      <c r="F35" s="4">
        <v>95</v>
      </c>
      <c r="G35" s="16"/>
      <c r="H35" s="17">
        <v>1</v>
      </c>
      <c r="I35" s="7" t="str">
        <f t="shared" si="2"/>
        <v/>
      </c>
      <c r="J35" s="4" t="str">
        <f t="shared" si="3"/>
        <v>Not Assessed</v>
      </c>
      <c r="K35" s="4" t="s">
        <v>51</v>
      </c>
      <c r="L35" s="18" t="s">
        <v>52</v>
      </c>
      <c r="M35" s="18" t="s">
        <v>183</v>
      </c>
    </row>
    <row r="36" spans="1:13" ht="29.25">
      <c r="A36" s="4" t="s">
        <v>19</v>
      </c>
      <c r="B36" s="4" t="s">
        <v>184</v>
      </c>
      <c r="C36" s="4" t="s">
        <v>185</v>
      </c>
      <c r="D36" s="4" t="s">
        <v>49</v>
      </c>
      <c r="E36" s="4" t="s">
        <v>50</v>
      </c>
      <c r="F36" s="4">
        <v>100</v>
      </c>
      <c r="G36" s="16"/>
      <c r="H36" s="17">
        <v>1</v>
      </c>
      <c r="I36" s="7" t="str">
        <f t="shared" si="2"/>
        <v/>
      </c>
      <c r="J36" s="4" t="str">
        <f t="shared" si="3"/>
        <v>Not Assessed</v>
      </c>
      <c r="K36" s="4" t="s">
        <v>51</v>
      </c>
      <c r="L36" s="18" t="s">
        <v>179</v>
      </c>
      <c r="M36" s="18" t="s">
        <v>186</v>
      </c>
    </row>
    <row r="37" spans="1:13" ht="29.25">
      <c r="A37" s="4" t="s">
        <v>15</v>
      </c>
      <c r="B37" s="4" t="s">
        <v>187</v>
      </c>
      <c r="C37" s="4" t="s">
        <v>188</v>
      </c>
      <c r="D37" s="4" t="s">
        <v>49</v>
      </c>
      <c r="E37" s="4" t="s">
        <v>50</v>
      </c>
      <c r="F37" s="4">
        <v>100</v>
      </c>
      <c r="G37" s="16"/>
      <c r="H37" s="17">
        <v>1</v>
      </c>
      <c r="I37" s="7" t="str">
        <f t="shared" si="2"/>
        <v/>
      </c>
      <c r="J37" s="4" t="str">
        <f t="shared" si="3"/>
        <v>Not Assessed</v>
      </c>
      <c r="K37" s="4" t="s">
        <v>74</v>
      </c>
      <c r="L37" s="18" t="s">
        <v>189</v>
      </c>
      <c r="M37" s="18" t="s">
        <v>190</v>
      </c>
    </row>
    <row r="38" spans="1:13" ht="29.25">
      <c r="A38" s="4" t="s">
        <v>17</v>
      </c>
      <c r="B38" s="4" t="s">
        <v>191</v>
      </c>
      <c r="C38" s="4" t="s">
        <v>192</v>
      </c>
      <c r="D38" s="4" t="s">
        <v>49</v>
      </c>
      <c r="E38" s="4" t="s">
        <v>60</v>
      </c>
      <c r="F38" s="4">
        <v>1</v>
      </c>
      <c r="G38" s="16"/>
      <c r="H38" s="17">
        <v>1</v>
      </c>
      <c r="I38" s="7" t="str">
        <f t="shared" si="2"/>
        <v/>
      </c>
      <c r="J38" s="4" t="str">
        <f t="shared" si="3"/>
        <v>Not Assessed</v>
      </c>
      <c r="K38" s="4" t="s">
        <v>74</v>
      </c>
      <c r="L38" s="18" t="s">
        <v>133</v>
      </c>
      <c r="M38" s="18" t="s">
        <v>193</v>
      </c>
    </row>
    <row r="39" spans="1:13" ht="29.25">
      <c r="A39" s="4" t="s">
        <v>17</v>
      </c>
      <c r="B39" s="4" t="s">
        <v>194</v>
      </c>
      <c r="C39" s="4" t="s">
        <v>195</v>
      </c>
      <c r="D39" s="4" t="s">
        <v>49</v>
      </c>
      <c r="E39" s="4" t="s">
        <v>60</v>
      </c>
      <c r="F39" s="4">
        <v>0</v>
      </c>
      <c r="G39" s="16"/>
      <c r="H39" s="17">
        <v>1</v>
      </c>
      <c r="I39" s="7" t="str">
        <f t="shared" si="2"/>
        <v/>
      </c>
      <c r="J39" s="4" t="str">
        <f t="shared" si="3"/>
        <v>Not Assessed</v>
      </c>
      <c r="K39" s="4" t="s">
        <v>74</v>
      </c>
      <c r="L39" s="18" t="s">
        <v>196</v>
      </c>
      <c r="M39" s="18" t="s">
        <v>197</v>
      </c>
    </row>
    <row r="40" spans="1:13" ht="29.25">
      <c r="A40" s="4" t="s">
        <v>17</v>
      </c>
      <c r="B40" s="4" t="s">
        <v>198</v>
      </c>
      <c r="C40" s="4" t="s">
        <v>199</v>
      </c>
      <c r="D40" s="4" t="s">
        <v>200</v>
      </c>
      <c r="E40" s="4" t="s">
        <v>60</v>
      </c>
      <c r="F40" s="4">
        <v>5</v>
      </c>
      <c r="G40" s="16"/>
      <c r="H40" s="17">
        <v>1</v>
      </c>
      <c r="I40" s="7" t="str">
        <f t="shared" si="2"/>
        <v/>
      </c>
      <c r="J40" s="4" t="str">
        <f t="shared" si="3"/>
        <v>Not Assessed</v>
      </c>
      <c r="K40" s="4" t="s">
        <v>51</v>
      </c>
      <c r="L40" s="18" t="s">
        <v>70</v>
      </c>
      <c r="M40" s="18" t="s">
        <v>201</v>
      </c>
    </row>
    <row r="41" spans="1:13" ht="29.25">
      <c r="A41" s="4" t="s">
        <v>17</v>
      </c>
      <c r="B41" s="4" t="s">
        <v>202</v>
      </c>
      <c r="C41" s="4" t="s">
        <v>203</v>
      </c>
      <c r="D41" s="4" t="s">
        <v>49</v>
      </c>
      <c r="E41" s="4" t="s">
        <v>50</v>
      </c>
      <c r="F41" s="4">
        <v>100</v>
      </c>
      <c r="G41" s="16"/>
      <c r="H41" s="17">
        <v>1</v>
      </c>
      <c r="I41" s="7" t="str">
        <f t="shared" si="2"/>
        <v/>
      </c>
      <c r="J41" s="4" t="str">
        <f t="shared" si="3"/>
        <v>Not Assessed</v>
      </c>
      <c r="K41" s="4" t="s">
        <v>51</v>
      </c>
      <c r="L41" s="18" t="s">
        <v>196</v>
      </c>
      <c r="M41" s="18" t="s">
        <v>204</v>
      </c>
    </row>
    <row r="42" spans="1:13" ht="15">
      <c r="A42" s="4" t="s">
        <v>17</v>
      </c>
      <c r="B42" s="4" t="s">
        <v>205</v>
      </c>
      <c r="C42" s="4" t="s">
        <v>206</v>
      </c>
      <c r="D42" s="4" t="s">
        <v>49</v>
      </c>
      <c r="E42" s="4" t="s">
        <v>60</v>
      </c>
      <c r="F42" s="4">
        <v>1</v>
      </c>
      <c r="G42" s="16"/>
      <c r="H42" s="17">
        <v>1</v>
      </c>
      <c r="I42" s="7" t="str">
        <f t="shared" si="2"/>
        <v/>
      </c>
      <c r="J42" s="4" t="str">
        <f t="shared" si="3"/>
        <v>Not Assessed</v>
      </c>
      <c r="K42" s="4" t="s">
        <v>74</v>
      </c>
      <c r="L42" s="18" t="s">
        <v>196</v>
      </c>
      <c r="M42" s="18" t="s">
        <v>207</v>
      </c>
    </row>
    <row r="43" spans="1:13" ht="29.25">
      <c r="A43" s="4" t="s">
        <v>17</v>
      </c>
      <c r="B43" s="4" t="s">
        <v>208</v>
      </c>
      <c r="C43" s="4" t="s">
        <v>209</v>
      </c>
      <c r="D43" s="4" t="s">
        <v>9</v>
      </c>
      <c r="E43" s="4" t="s">
        <v>60</v>
      </c>
      <c r="F43" s="4">
        <v>0</v>
      </c>
      <c r="G43" s="16"/>
      <c r="H43" s="17">
        <v>1</v>
      </c>
      <c r="I43" s="7" t="str">
        <f t="shared" si="2"/>
        <v/>
      </c>
      <c r="J43" s="4" t="str">
        <f t="shared" si="3"/>
        <v>Not Assessed</v>
      </c>
      <c r="K43" s="4" t="s">
        <v>85</v>
      </c>
      <c r="L43" s="18" t="s">
        <v>210</v>
      </c>
      <c r="M43" s="18" t="s">
        <v>211</v>
      </c>
    </row>
    <row r="44" spans="1:13" ht="29.25">
      <c r="A44" s="4" t="s">
        <v>17</v>
      </c>
      <c r="B44" s="4" t="s">
        <v>212</v>
      </c>
      <c r="C44" s="4" t="s">
        <v>213</v>
      </c>
      <c r="D44" s="4" t="s">
        <v>9</v>
      </c>
      <c r="E44" s="4" t="s">
        <v>60</v>
      </c>
      <c r="F44" s="4">
        <v>0</v>
      </c>
      <c r="G44" s="16"/>
      <c r="H44" s="17">
        <v>1</v>
      </c>
      <c r="I44" s="7" t="str">
        <f t="shared" si="2"/>
        <v/>
      </c>
      <c r="J44" s="4" t="str">
        <f t="shared" si="3"/>
        <v>Not Assessed</v>
      </c>
      <c r="K44" s="4" t="s">
        <v>85</v>
      </c>
      <c r="L44" s="18" t="s">
        <v>214</v>
      </c>
      <c r="M44" s="18" t="s">
        <v>215</v>
      </c>
    </row>
    <row r="45" spans="1:13" ht="29.25">
      <c r="A45" s="4" t="s">
        <v>17</v>
      </c>
      <c r="B45" s="4" t="s">
        <v>216</v>
      </c>
      <c r="C45" s="4" t="s">
        <v>217</v>
      </c>
      <c r="D45" s="4" t="s">
        <v>9</v>
      </c>
      <c r="E45" s="4" t="s">
        <v>60</v>
      </c>
      <c r="F45" s="4">
        <v>0</v>
      </c>
      <c r="G45" s="16"/>
      <c r="H45" s="17">
        <v>1</v>
      </c>
      <c r="I45" s="7" t="str">
        <f t="shared" si="2"/>
        <v/>
      </c>
      <c r="J45" s="4" t="str">
        <f t="shared" si="3"/>
        <v>Not Assessed</v>
      </c>
      <c r="K45" s="4" t="s">
        <v>85</v>
      </c>
      <c r="L45" s="18" t="s">
        <v>218</v>
      </c>
      <c r="M45" s="18" t="s">
        <v>219</v>
      </c>
    </row>
    <row r="46" spans="1:13" ht="29.25">
      <c r="A46" s="4" t="s">
        <v>17</v>
      </c>
      <c r="B46" s="4" t="s">
        <v>220</v>
      </c>
      <c r="C46" s="4" t="s">
        <v>221</v>
      </c>
      <c r="D46" s="4" t="s">
        <v>9</v>
      </c>
      <c r="E46" s="4" t="s">
        <v>60</v>
      </c>
      <c r="F46" s="4">
        <v>0</v>
      </c>
      <c r="G46" s="16"/>
      <c r="H46" s="17">
        <v>1</v>
      </c>
      <c r="I46" s="7" t="str">
        <f t="shared" si="2"/>
        <v/>
      </c>
      <c r="J46" s="4" t="str">
        <f t="shared" si="3"/>
        <v>Not Assessed</v>
      </c>
      <c r="K46" s="4" t="s">
        <v>85</v>
      </c>
      <c r="L46" s="18" t="s">
        <v>222</v>
      </c>
      <c r="M46" s="18" t="s">
        <v>223</v>
      </c>
    </row>
    <row r="47" spans="1:13" ht="29.25">
      <c r="A47" s="4" t="s">
        <v>17</v>
      </c>
      <c r="B47" s="4" t="s">
        <v>224</v>
      </c>
      <c r="C47" s="4" t="s">
        <v>225</v>
      </c>
      <c r="D47" s="4" t="s">
        <v>49</v>
      </c>
      <c r="E47" s="4" t="s">
        <v>50</v>
      </c>
      <c r="F47" s="4">
        <v>95</v>
      </c>
      <c r="G47" s="16"/>
      <c r="H47" s="17">
        <v>1</v>
      </c>
      <c r="I47" s="7" t="str">
        <f t="shared" si="2"/>
        <v/>
      </c>
      <c r="J47" s="4" t="str">
        <f t="shared" si="3"/>
        <v>Not Assessed</v>
      </c>
      <c r="K47" s="4" t="s">
        <v>74</v>
      </c>
      <c r="L47" s="18" t="s">
        <v>133</v>
      </c>
      <c r="M47" s="18" t="s">
        <v>223</v>
      </c>
    </row>
    <row r="48" spans="1:13" ht="29.25">
      <c r="A48" s="4" t="s">
        <v>17</v>
      </c>
      <c r="B48" s="4" t="s">
        <v>226</v>
      </c>
      <c r="C48" s="4" t="s">
        <v>227</v>
      </c>
      <c r="D48" s="4" t="s">
        <v>49</v>
      </c>
      <c r="E48" s="4" t="s">
        <v>60</v>
      </c>
      <c r="F48" s="4">
        <v>0.1</v>
      </c>
      <c r="G48" s="16"/>
      <c r="H48" s="17">
        <v>1</v>
      </c>
      <c r="I48" s="7" t="str">
        <f t="shared" si="2"/>
        <v/>
      </c>
      <c r="J48" s="4" t="str">
        <f t="shared" si="3"/>
        <v>Not Assessed</v>
      </c>
      <c r="K48" s="4" t="s">
        <v>51</v>
      </c>
      <c r="L48" s="18" t="s">
        <v>86</v>
      </c>
      <c r="M48" s="18" t="s">
        <v>228</v>
      </c>
    </row>
    <row r="49" spans="1:13" ht="29.25">
      <c r="A49" s="4" t="s">
        <v>17</v>
      </c>
      <c r="B49" s="4" t="s">
        <v>229</v>
      </c>
      <c r="C49" s="4" t="s">
        <v>230</v>
      </c>
      <c r="D49" s="4" t="s">
        <v>49</v>
      </c>
      <c r="E49" s="4" t="s">
        <v>50</v>
      </c>
      <c r="F49" s="4">
        <v>95</v>
      </c>
      <c r="G49" s="16"/>
      <c r="H49" s="17">
        <v>1</v>
      </c>
      <c r="I49" s="7" t="str">
        <f t="shared" si="2"/>
        <v/>
      </c>
      <c r="J49" s="4" t="str">
        <f t="shared" si="3"/>
        <v>Not Assessed</v>
      </c>
      <c r="K49" s="4" t="s">
        <v>145</v>
      </c>
      <c r="L49" s="18" t="s">
        <v>231</v>
      </c>
      <c r="M49" s="18" t="s">
        <v>232</v>
      </c>
    </row>
    <row r="50" spans="1:13" ht="29.25">
      <c r="A50" s="4" t="s">
        <v>17</v>
      </c>
      <c r="B50" s="4" t="s">
        <v>233</v>
      </c>
      <c r="C50" s="4" t="s">
        <v>234</v>
      </c>
      <c r="D50" s="4" t="s">
        <v>49</v>
      </c>
      <c r="E50" s="4" t="s">
        <v>60</v>
      </c>
      <c r="F50" s="4">
        <v>2</v>
      </c>
      <c r="G50" s="16"/>
      <c r="H50" s="17">
        <v>1</v>
      </c>
      <c r="I50" s="7" t="str">
        <f t="shared" si="2"/>
        <v/>
      </c>
      <c r="J50" s="4" t="str">
        <f t="shared" si="3"/>
        <v>Not Assessed</v>
      </c>
      <c r="K50" s="4" t="s">
        <v>145</v>
      </c>
      <c r="L50" s="18" t="s">
        <v>235</v>
      </c>
      <c r="M50" s="18" t="s">
        <v>236</v>
      </c>
    </row>
    <row r="51" spans="1:13" ht="29.25">
      <c r="A51" s="4" t="s">
        <v>17</v>
      </c>
      <c r="B51" s="4" t="s">
        <v>237</v>
      </c>
      <c r="C51" s="4" t="s">
        <v>238</v>
      </c>
      <c r="D51" s="4" t="s">
        <v>49</v>
      </c>
      <c r="E51" s="4" t="s">
        <v>60</v>
      </c>
      <c r="F51" s="4">
        <v>1</v>
      </c>
      <c r="G51" s="16"/>
      <c r="H51" s="17">
        <v>1</v>
      </c>
      <c r="I51" s="7" t="str">
        <f t="shared" si="2"/>
        <v/>
      </c>
      <c r="J51" s="4" t="str">
        <f t="shared" si="3"/>
        <v>Not Assessed</v>
      </c>
      <c r="K51" s="4" t="s">
        <v>74</v>
      </c>
      <c r="L51" s="18" t="s">
        <v>239</v>
      </c>
      <c r="M51" s="18" t="s">
        <v>240</v>
      </c>
    </row>
    <row r="52" spans="1:13" ht="29.25">
      <c r="A52" s="4" t="s">
        <v>17</v>
      </c>
      <c r="B52" s="4" t="s">
        <v>241</v>
      </c>
      <c r="C52" s="4" t="s">
        <v>242</v>
      </c>
      <c r="D52" s="4" t="s">
        <v>9</v>
      </c>
      <c r="E52" s="4" t="s">
        <v>60</v>
      </c>
      <c r="F52" s="4">
        <v>0</v>
      </c>
      <c r="G52" s="16"/>
      <c r="H52" s="17">
        <v>1</v>
      </c>
      <c r="I52" s="7" t="str">
        <f t="shared" si="2"/>
        <v/>
      </c>
      <c r="J52" s="4" t="str">
        <f t="shared" si="3"/>
        <v>Not Assessed</v>
      </c>
      <c r="K52" s="4" t="s">
        <v>85</v>
      </c>
      <c r="L52" s="18" t="s">
        <v>222</v>
      </c>
      <c r="M52" s="18" t="s">
        <v>180</v>
      </c>
    </row>
    <row r="53" spans="1:13" ht="29.25">
      <c r="A53" s="4" t="s">
        <v>17</v>
      </c>
      <c r="B53" s="4" t="s">
        <v>243</v>
      </c>
      <c r="C53" s="4" t="s">
        <v>244</v>
      </c>
      <c r="D53" s="4" t="s">
        <v>9</v>
      </c>
      <c r="E53" s="4" t="s">
        <v>60</v>
      </c>
      <c r="F53" s="4">
        <v>0</v>
      </c>
      <c r="G53" s="16"/>
      <c r="H53" s="17">
        <v>1</v>
      </c>
      <c r="I53" s="7" t="str">
        <f t="shared" si="2"/>
        <v/>
      </c>
      <c r="J53" s="4" t="str">
        <f t="shared" si="3"/>
        <v>Not Assessed</v>
      </c>
      <c r="K53" s="4" t="s">
        <v>51</v>
      </c>
      <c r="L53" s="18" t="s">
        <v>222</v>
      </c>
      <c r="M53" s="18" t="s">
        <v>245</v>
      </c>
    </row>
    <row r="54" spans="1:13" ht="29.25">
      <c r="A54" s="4" t="s">
        <v>17</v>
      </c>
      <c r="B54" s="4" t="s">
        <v>246</v>
      </c>
      <c r="C54" s="4" t="s">
        <v>247</v>
      </c>
      <c r="D54" s="4" t="s">
        <v>248</v>
      </c>
      <c r="E54" s="4" t="s">
        <v>60</v>
      </c>
      <c r="F54" s="4">
        <v>50000</v>
      </c>
      <c r="G54" s="16"/>
      <c r="H54" s="17">
        <v>1</v>
      </c>
      <c r="I54" s="7" t="str">
        <f t="shared" si="2"/>
        <v/>
      </c>
      <c r="J54" s="4" t="str">
        <f t="shared" si="3"/>
        <v>Not Assessed</v>
      </c>
      <c r="K54" s="4" t="s">
        <v>51</v>
      </c>
      <c r="L54" s="18" t="s">
        <v>95</v>
      </c>
      <c r="M54" s="18" t="s">
        <v>249</v>
      </c>
    </row>
    <row r="55" spans="1:13" ht="29.25">
      <c r="A55" s="4" t="s">
        <v>17</v>
      </c>
      <c r="B55" s="4" t="s">
        <v>250</v>
      </c>
      <c r="C55" s="4" t="s">
        <v>251</v>
      </c>
      <c r="D55" s="4" t="s">
        <v>49</v>
      </c>
      <c r="E55" s="4" t="s">
        <v>60</v>
      </c>
      <c r="F55" s="4">
        <v>10</v>
      </c>
      <c r="G55" s="16"/>
      <c r="H55" s="17">
        <v>1</v>
      </c>
      <c r="I55" s="7" t="str">
        <f t="shared" si="2"/>
        <v/>
      </c>
      <c r="J55" s="4" t="str">
        <f t="shared" si="3"/>
        <v>Not Assessed</v>
      </c>
      <c r="K55" s="4" t="s">
        <v>51</v>
      </c>
      <c r="L55" s="18" t="s">
        <v>95</v>
      </c>
      <c r="M55" s="18" t="s">
        <v>252</v>
      </c>
    </row>
    <row r="56" spans="1:13" ht="29.25">
      <c r="A56" s="4" t="s">
        <v>17</v>
      </c>
      <c r="B56" s="4" t="s">
        <v>253</v>
      </c>
      <c r="C56" s="4" t="s">
        <v>254</v>
      </c>
      <c r="D56" s="4" t="s">
        <v>49</v>
      </c>
      <c r="E56" s="4" t="s">
        <v>60</v>
      </c>
      <c r="F56" s="4">
        <v>1</v>
      </c>
      <c r="G56" s="16"/>
      <c r="H56" s="17">
        <v>1</v>
      </c>
      <c r="I56" s="7" t="str">
        <f t="shared" si="2"/>
        <v/>
      </c>
      <c r="J56" s="4" t="str">
        <f t="shared" si="3"/>
        <v>Not Assessed</v>
      </c>
      <c r="K56" s="4" t="s">
        <v>74</v>
      </c>
      <c r="L56" s="18" t="s">
        <v>133</v>
      </c>
      <c r="M56" s="18" t="s">
        <v>255</v>
      </c>
    </row>
  </sheetData>
  <conditionalFormatting sqref="I2:I28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I29:I33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I34:I56">
    <cfRule type="colorScale" priority="1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2:J28">
    <cfRule type="expression" dxfId="7" priority="2">
      <formula>J2="Green"</formula>
    </cfRule>
    <cfRule type="expression" dxfId="6" priority="3">
      <formula>J2="Amber"</formula>
    </cfRule>
    <cfRule type="expression" dxfId="5" priority="4">
      <formula>J2="Red"</formula>
    </cfRule>
    <cfRule type="expression" dxfId="4" priority="5">
      <formula>J2="Not Assessed"</formula>
    </cfRule>
  </conditionalFormatting>
  <conditionalFormatting sqref="J29:J56">
    <cfRule type="expression" dxfId="3" priority="7">
      <formula>J29="Green"</formula>
    </cfRule>
    <cfRule type="expression" dxfId="2" priority="8">
      <formula>J29="Amber"</formula>
    </cfRule>
    <cfRule type="expression" dxfId="1" priority="9">
      <formula>J29="Red"</formula>
    </cfRule>
    <cfRule type="expression" dxfId="0" priority="10">
      <formula>J29="Not Assessed"</formula>
    </cfRule>
  </conditionalFormatting>
  <dataValidations count="2">
    <dataValidation type="decimal" sqref="G2:G56" xr:uid="{00000000-0002-0000-0100-000000000000}">
      <formula1>0</formula1>
    </dataValidation>
    <dataValidation type="decimal" sqref="H2:H56" xr:uid="{00000000-0002-0000-0100-000001000000}">
      <formula1>0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defaultRowHeight="14.25"/>
  <cols>
    <col min="1" max="1" width="10" customWidth="1"/>
    <col min="2" max="2" width="24" customWidth="1"/>
    <col min="3" max="3" width="52" customWidth="1"/>
    <col min="4" max="4" width="36" customWidth="1"/>
    <col min="5" max="5" width="62" customWidth="1"/>
  </cols>
  <sheetData>
    <row r="1" spans="1:5" ht="15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</row>
    <row r="2" spans="1:5" ht="28.5">
      <c r="A2" s="4">
        <v>1</v>
      </c>
      <c r="B2" s="4" t="s">
        <v>261</v>
      </c>
      <c r="C2" s="4" t="s">
        <v>262</v>
      </c>
      <c r="D2" s="4" t="s">
        <v>263</v>
      </c>
      <c r="E2" s="4" t="s">
        <v>264</v>
      </c>
    </row>
    <row r="3" spans="1:5">
      <c r="A3" s="4">
        <v>2</v>
      </c>
      <c r="B3" s="4" t="s">
        <v>265</v>
      </c>
      <c r="C3" s="4" t="s">
        <v>266</v>
      </c>
      <c r="D3" s="4" t="s">
        <v>267</v>
      </c>
      <c r="E3" s="4" t="s">
        <v>268</v>
      </c>
    </row>
    <row r="4" spans="1:5" ht="28.5">
      <c r="A4" s="4">
        <v>3</v>
      </c>
      <c r="B4" s="4" t="s">
        <v>269</v>
      </c>
      <c r="C4" s="4" t="s">
        <v>270</v>
      </c>
      <c r="D4" s="4" t="s">
        <v>271</v>
      </c>
      <c r="E4" s="4" t="s">
        <v>272</v>
      </c>
    </row>
    <row r="5" spans="1:5">
      <c r="A5" s="4">
        <v>4</v>
      </c>
      <c r="B5" s="4" t="s">
        <v>273</v>
      </c>
      <c r="C5" s="4" t="s">
        <v>274</v>
      </c>
      <c r="D5" s="4" t="s">
        <v>275</v>
      </c>
      <c r="E5" s="4" t="s">
        <v>276</v>
      </c>
    </row>
    <row r="6" spans="1:5" ht="28.5">
      <c r="A6" s="4">
        <v>5</v>
      </c>
      <c r="B6" s="4" t="s">
        <v>277</v>
      </c>
      <c r="C6" s="4" t="s">
        <v>278</v>
      </c>
      <c r="D6" s="4" t="s">
        <v>279</v>
      </c>
      <c r="E6" s="4" t="s">
        <v>280</v>
      </c>
    </row>
    <row r="7" spans="1:5" ht="28.5">
      <c r="A7" s="4">
        <v>6</v>
      </c>
      <c r="B7" s="4" t="s">
        <v>281</v>
      </c>
      <c r="C7" s="4" t="s">
        <v>282</v>
      </c>
      <c r="D7" s="4" t="s">
        <v>283</v>
      </c>
      <c r="E7" s="4" t="s">
        <v>284</v>
      </c>
    </row>
    <row r="8" spans="1:5" ht="28.5">
      <c r="A8" s="4">
        <v>7</v>
      </c>
      <c r="B8" s="4" t="s">
        <v>285</v>
      </c>
      <c r="C8" s="4" t="s">
        <v>286</v>
      </c>
      <c r="D8" s="4" t="s">
        <v>287</v>
      </c>
      <c r="E8" s="4" t="s">
        <v>288</v>
      </c>
    </row>
    <row r="9" spans="1:5" ht="28.5">
      <c r="A9" s="4">
        <v>8</v>
      </c>
      <c r="B9" s="4" t="s">
        <v>289</v>
      </c>
      <c r="C9" s="4" t="s">
        <v>290</v>
      </c>
      <c r="D9" s="4" t="s">
        <v>291</v>
      </c>
      <c r="E9" s="4" t="s">
        <v>292</v>
      </c>
    </row>
    <row r="10" spans="1:5" ht="28.5">
      <c r="A10" s="4">
        <v>9</v>
      </c>
      <c r="B10" s="4" t="s">
        <v>293</v>
      </c>
      <c r="C10" s="4" t="s">
        <v>294</v>
      </c>
      <c r="D10" s="4" t="s">
        <v>295</v>
      </c>
      <c r="E10" s="4" t="s">
        <v>296</v>
      </c>
    </row>
    <row r="11" spans="1:5" ht="28.5">
      <c r="A11" s="4">
        <v>10</v>
      </c>
      <c r="B11" s="4" t="s">
        <v>297</v>
      </c>
      <c r="C11" s="4" t="s">
        <v>298</v>
      </c>
      <c r="D11" s="4" t="s">
        <v>299</v>
      </c>
      <c r="E11" s="4" t="s">
        <v>300</v>
      </c>
    </row>
    <row r="12" spans="1:5" ht="28.5">
      <c r="A12" s="4">
        <v>11</v>
      </c>
      <c r="B12" s="4" t="s">
        <v>301</v>
      </c>
      <c r="C12" s="4" t="s">
        <v>302</v>
      </c>
      <c r="D12" s="4" t="s">
        <v>303</v>
      </c>
      <c r="E12" s="4" t="s">
        <v>304</v>
      </c>
    </row>
    <row r="13" spans="1:5" ht="28.5">
      <c r="A13" s="4">
        <v>12</v>
      </c>
      <c r="B13" s="4" t="s">
        <v>305</v>
      </c>
      <c r="C13" s="4" t="s">
        <v>306</v>
      </c>
      <c r="D13" s="4" t="s">
        <v>307</v>
      </c>
      <c r="E13" s="4" t="s">
        <v>308</v>
      </c>
    </row>
    <row r="14" spans="1:5" ht="28.5">
      <c r="A14" s="4">
        <v>13</v>
      </c>
      <c r="B14" s="4" t="s">
        <v>309</v>
      </c>
      <c r="C14" s="4" t="s">
        <v>310</v>
      </c>
      <c r="D14" s="4" t="s">
        <v>311</v>
      </c>
      <c r="E14" s="4" t="s">
        <v>312</v>
      </c>
    </row>
    <row r="15" spans="1:5" ht="28.5">
      <c r="A15" s="4">
        <v>14</v>
      </c>
      <c r="B15" s="4" t="s">
        <v>313</v>
      </c>
      <c r="C15" s="4" t="s">
        <v>314</v>
      </c>
      <c r="D15" s="4" t="s">
        <v>315</v>
      </c>
      <c r="E15" s="4" t="s">
        <v>316</v>
      </c>
    </row>
    <row r="16" spans="1:5" ht="28.5">
      <c r="A16" s="4">
        <v>15</v>
      </c>
      <c r="B16" s="4" t="s">
        <v>317</v>
      </c>
      <c r="C16" s="4" t="s">
        <v>318</v>
      </c>
      <c r="D16" s="4" t="s">
        <v>319</v>
      </c>
      <c r="E16" s="4" t="s">
        <v>320</v>
      </c>
    </row>
    <row r="17" spans="1:5" ht="28.5">
      <c r="A17" s="4">
        <v>16</v>
      </c>
      <c r="B17" s="4" t="s">
        <v>321</v>
      </c>
      <c r="C17" s="4" t="s">
        <v>322</v>
      </c>
      <c r="D17" s="4" t="s">
        <v>323</v>
      </c>
      <c r="E17" s="4" t="s">
        <v>324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selection activeCell="C51" sqref="C51"/>
    </sheetView>
  </sheetViews>
  <sheetFormatPr defaultRowHeight="14.25"/>
  <cols>
    <col min="1" max="1" width="28" customWidth="1"/>
    <col min="2" max="2" width="46" customWidth="1"/>
    <col min="3" max="3" width="52" customWidth="1"/>
    <col min="4" max="4" width="46" customWidth="1"/>
    <col min="5" max="6" width="48" customWidth="1"/>
    <col min="7" max="7" width="38" customWidth="1"/>
    <col min="8" max="8" width="12" customWidth="1"/>
    <col min="9" max="9" width="18" customWidth="1"/>
  </cols>
  <sheetData>
    <row r="1" spans="1:9" ht="15">
      <c r="A1" s="1" t="s">
        <v>325</v>
      </c>
      <c r="B1" s="1" t="s">
        <v>326</v>
      </c>
      <c r="C1" s="1" t="s">
        <v>327</v>
      </c>
      <c r="D1" s="1" t="s">
        <v>38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8</v>
      </c>
    </row>
    <row r="2" spans="1:9" ht="28.5">
      <c r="A2" s="4" t="s">
        <v>332</v>
      </c>
      <c r="B2" s="4" t="s">
        <v>333</v>
      </c>
      <c r="C2" s="4" t="s">
        <v>334</v>
      </c>
      <c r="D2" s="4" t="s">
        <v>335</v>
      </c>
      <c r="E2" s="4" t="s">
        <v>336</v>
      </c>
      <c r="F2" s="4" t="s">
        <v>337</v>
      </c>
      <c r="G2" s="4" t="s">
        <v>338</v>
      </c>
      <c r="H2" s="5" t="s">
        <v>339</v>
      </c>
      <c r="I2" s="5" t="s">
        <v>340</v>
      </c>
    </row>
    <row r="3" spans="1:9" ht="28.5">
      <c r="A3" s="4" t="s">
        <v>341</v>
      </c>
      <c r="B3" s="4" t="s">
        <v>342</v>
      </c>
      <c r="C3" s="4" t="s">
        <v>343</v>
      </c>
      <c r="D3" s="4" t="s">
        <v>82</v>
      </c>
      <c r="E3" s="4" t="s">
        <v>344</v>
      </c>
      <c r="F3" s="4" t="s">
        <v>345</v>
      </c>
      <c r="G3" s="4" t="s">
        <v>346</v>
      </c>
      <c r="H3" s="5" t="s">
        <v>347</v>
      </c>
      <c r="I3" s="5" t="s">
        <v>340</v>
      </c>
    </row>
    <row r="4" spans="1:9" ht="28.5">
      <c r="A4" s="4" t="s">
        <v>348</v>
      </c>
      <c r="B4" s="4" t="s">
        <v>349</v>
      </c>
      <c r="C4" s="4" t="s">
        <v>350</v>
      </c>
      <c r="D4" s="4" t="s">
        <v>351</v>
      </c>
      <c r="E4" s="4" t="s">
        <v>352</v>
      </c>
      <c r="F4" s="4" t="s">
        <v>353</v>
      </c>
      <c r="G4" s="4" t="s">
        <v>354</v>
      </c>
      <c r="H4" s="5" t="s">
        <v>347</v>
      </c>
      <c r="I4" s="5" t="s">
        <v>340</v>
      </c>
    </row>
    <row r="5" spans="1:9" ht="28.5">
      <c r="A5" s="4" t="s">
        <v>355</v>
      </c>
      <c r="B5" s="4" t="s">
        <v>356</v>
      </c>
      <c r="C5" s="4" t="s">
        <v>357</v>
      </c>
      <c r="D5" s="4" t="s">
        <v>358</v>
      </c>
      <c r="E5" s="4" t="s">
        <v>359</v>
      </c>
      <c r="F5" s="4" t="s">
        <v>360</v>
      </c>
      <c r="G5" s="4" t="s">
        <v>361</v>
      </c>
      <c r="H5" s="5" t="s">
        <v>339</v>
      </c>
      <c r="I5" s="5" t="s">
        <v>340</v>
      </c>
    </row>
    <row r="6" spans="1:9" ht="28.5">
      <c r="A6" s="4" t="s">
        <v>362</v>
      </c>
      <c r="B6" s="4" t="s">
        <v>363</v>
      </c>
      <c r="C6" s="4" t="s">
        <v>364</v>
      </c>
      <c r="D6" s="4" t="s">
        <v>365</v>
      </c>
      <c r="E6" s="4" t="s">
        <v>366</v>
      </c>
      <c r="F6" s="4" t="s">
        <v>367</v>
      </c>
      <c r="G6" s="4" t="s">
        <v>368</v>
      </c>
      <c r="H6" s="5" t="s">
        <v>339</v>
      </c>
      <c r="I6" s="5" t="s">
        <v>340</v>
      </c>
    </row>
    <row r="7" spans="1:9" ht="28.5">
      <c r="A7" s="4" t="s">
        <v>369</v>
      </c>
      <c r="B7" s="4" t="s">
        <v>370</v>
      </c>
      <c r="C7" s="4" t="s">
        <v>371</v>
      </c>
      <c r="D7" s="4" t="s">
        <v>96</v>
      </c>
      <c r="E7" s="4" t="s">
        <v>372</v>
      </c>
      <c r="F7" s="4" t="s">
        <v>373</v>
      </c>
      <c r="G7" s="4" t="s">
        <v>374</v>
      </c>
      <c r="H7" s="5" t="s">
        <v>339</v>
      </c>
      <c r="I7" s="5" t="s">
        <v>340</v>
      </c>
    </row>
    <row r="8" spans="1:9" ht="28.5">
      <c r="A8" s="4" t="s">
        <v>375</v>
      </c>
      <c r="B8" s="4" t="s">
        <v>376</v>
      </c>
      <c r="C8" s="4" t="s">
        <v>377</v>
      </c>
      <c r="D8" s="4" t="s">
        <v>378</v>
      </c>
      <c r="E8" s="4" t="s">
        <v>379</v>
      </c>
      <c r="F8" s="4" t="s">
        <v>380</v>
      </c>
      <c r="G8" s="4" t="s">
        <v>381</v>
      </c>
      <c r="H8" s="5" t="s">
        <v>339</v>
      </c>
      <c r="I8" s="5" t="s">
        <v>340</v>
      </c>
    </row>
    <row r="9" spans="1:9" ht="28.5">
      <c r="A9" s="4" t="s">
        <v>382</v>
      </c>
      <c r="B9" s="4" t="s">
        <v>383</v>
      </c>
      <c r="C9" s="4" t="s">
        <v>384</v>
      </c>
      <c r="D9" s="4" t="s">
        <v>385</v>
      </c>
      <c r="E9" s="4" t="s">
        <v>386</v>
      </c>
      <c r="F9" s="4" t="s">
        <v>387</v>
      </c>
      <c r="G9" s="4" t="s">
        <v>388</v>
      </c>
      <c r="H9" s="5" t="s">
        <v>347</v>
      </c>
      <c r="I9" s="5" t="s">
        <v>340</v>
      </c>
    </row>
  </sheetData>
  <dataValidations count="2">
    <dataValidation type="list" sqref="H2:H9" xr:uid="{00000000-0002-0000-0300-000000000000}">
      <formula1>"Low,Medium,High,Critical"</formula1>
    </dataValidation>
    <dataValidation type="list" sqref="I2:I9" xr:uid="{00000000-0002-0000-0300-000001000000}">
      <formula1>"Draft,In Development,Tested,Operational,Needs Review,Retired"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C51" sqref="C51"/>
    </sheetView>
  </sheetViews>
  <sheetFormatPr defaultRowHeight="14.25"/>
  <cols>
    <col min="1" max="1" width="28" customWidth="1"/>
    <col min="2" max="2" width="48" customWidth="1"/>
    <col min="3" max="3" width="70" customWidth="1"/>
  </cols>
  <sheetData>
    <row r="1" spans="1:3" ht="15">
      <c r="A1" s="1" t="s">
        <v>389</v>
      </c>
      <c r="B1" s="1" t="s">
        <v>390</v>
      </c>
      <c r="C1" s="1" t="s">
        <v>391</v>
      </c>
    </row>
    <row r="2" spans="1:3" ht="28.5">
      <c r="A2" s="4" t="s">
        <v>392</v>
      </c>
      <c r="B2" s="4" t="s">
        <v>393</v>
      </c>
      <c r="C2" s="4" t="s">
        <v>394</v>
      </c>
    </row>
    <row r="3" spans="1:3">
      <c r="A3" s="4" t="s">
        <v>395</v>
      </c>
      <c r="B3" s="4" t="s">
        <v>396</v>
      </c>
      <c r="C3" s="4" t="s">
        <v>397</v>
      </c>
    </row>
    <row r="4" spans="1:3">
      <c r="A4" s="4" t="s">
        <v>398</v>
      </c>
      <c r="B4" s="4" t="s">
        <v>399</v>
      </c>
      <c r="C4" s="4" t="s">
        <v>400</v>
      </c>
    </row>
    <row r="5" spans="1:3">
      <c r="A5" s="4" t="s">
        <v>401</v>
      </c>
      <c r="B5" s="4" t="s">
        <v>402</v>
      </c>
      <c r="C5" s="4" t="s">
        <v>403</v>
      </c>
    </row>
    <row r="6" spans="1:3">
      <c r="A6" s="4" t="s">
        <v>404</v>
      </c>
      <c r="B6" s="4" t="s">
        <v>405</v>
      </c>
      <c r="C6" s="4" t="s">
        <v>406</v>
      </c>
    </row>
    <row r="7" spans="1:3">
      <c r="A7" s="4" t="s">
        <v>407</v>
      </c>
      <c r="B7" s="4" t="s">
        <v>408</v>
      </c>
      <c r="C7" s="4" t="s">
        <v>409</v>
      </c>
    </row>
    <row r="8" spans="1:3">
      <c r="A8" s="4" t="s">
        <v>410</v>
      </c>
      <c r="B8" s="4" t="s">
        <v>411</v>
      </c>
      <c r="C8" s="4" t="s">
        <v>412</v>
      </c>
    </row>
    <row r="9" spans="1:3">
      <c r="A9" s="4" t="s">
        <v>413</v>
      </c>
      <c r="B9" s="4" t="s">
        <v>414</v>
      </c>
      <c r="C9" s="4" t="s">
        <v>415</v>
      </c>
    </row>
    <row r="10" spans="1:3">
      <c r="A10" s="4" t="s">
        <v>416</v>
      </c>
      <c r="B10" s="4" t="s">
        <v>417</v>
      </c>
      <c r="C10" s="4" t="s">
        <v>418</v>
      </c>
    </row>
    <row r="11" spans="1:3">
      <c r="A11" s="4" t="s">
        <v>419</v>
      </c>
      <c r="B11" s="4" t="s">
        <v>420</v>
      </c>
      <c r="C11" s="4" t="s">
        <v>421</v>
      </c>
    </row>
    <row r="12" spans="1:3" ht="28.5">
      <c r="A12" s="4" t="s">
        <v>422</v>
      </c>
      <c r="B12" s="4" t="s">
        <v>423</v>
      </c>
      <c r="C12" s="4" t="s">
        <v>424</v>
      </c>
    </row>
    <row r="13" spans="1:3" ht="28.5">
      <c r="A13" s="4" t="s">
        <v>425</v>
      </c>
      <c r="B13" s="4" t="s">
        <v>426</v>
      </c>
      <c r="C13" s="4" t="s">
        <v>427</v>
      </c>
    </row>
    <row r="14" spans="1:3" ht="28.5">
      <c r="A14" s="4" t="s">
        <v>428</v>
      </c>
      <c r="B14" s="4" t="s">
        <v>429</v>
      </c>
      <c r="C14" s="4" t="s">
        <v>430</v>
      </c>
    </row>
    <row r="15" spans="1:3" ht="28.5">
      <c r="A15" s="4" t="s">
        <v>431</v>
      </c>
      <c r="B15" s="4" t="s">
        <v>432</v>
      </c>
      <c r="C15" s="4" t="s">
        <v>433</v>
      </c>
    </row>
    <row r="16" spans="1:3" ht="28.5">
      <c r="A16" s="4" t="s">
        <v>434</v>
      </c>
      <c r="B16" s="4" t="s">
        <v>435</v>
      </c>
      <c r="C16" s="4" t="s">
        <v>436</v>
      </c>
    </row>
    <row r="17" spans="1:3" ht="28.5">
      <c r="A17" s="4" t="s">
        <v>437</v>
      </c>
      <c r="B17" s="4" t="s">
        <v>322</v>
      </c>
      <c r="C17" s="4" t="s">
        <v>438</v>
      </c>
    </row>
    <row r="18" spans="1:3" ht="28.5">
      <c r="A18" s="4" t="s">
        <v>439</v>
      </c>
      <c r="B18" s="4" t="s">
        <v>440</v>
      </c>
      <c r="C18" s="4" t="s">
        <v>441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defaultRowHeight="14.25"/>
  <cols>
    <col min="1" max="1" width="34" customWidth="1"/>
    <col min="2" max="2" width="26" customWidth="1"/>
    <col min="3" max="3" width="48" customWidth="1"/>
    <col min="4" max="4" width="46" customWidth="1"/>
    <col min="5" max="5" width="56" customWidth="1"/>
    <col min="6" max="6" width="54" customWidth="1"/>
  </cols>
  <sheetData>
    <row r="1" spans="1:6" ht="15">
      <c r="A1" s="10" t="s">
        <v>442</v>
      </c>
      <c r="B1" s="10" t="s">
        <v>443</v>
      </c>
      <c r="C1" s="10" t="s">
        <v>444</v>
      </c>
      <c r="D1" s="10" t="s">
        <v>445</v>
      </c>
      <c r="E1" s="10" t="s">
        <v>446</v>
      </c>
      <c r="F1" s="10" t="s">
        <v>447</v>
      </c>
    </row>
    <row r="2" spans="1:6" ht="28.5">
      <c r="A2" s="4" t="s">
        <v>448</v>
      </c>
      <c r="B2" s="4" t="s">
        <v>449</v>
      </c>
      <c r="C2" s="4" t="s">
        <v>450</v>
      </c>
      <c r="D2" s="4" t="s">
        <v>451</v>
      </c>
      <c r="E2" s="4" t="s">
        <v>452</v>
      </c>
      <c r="F2" s="4" t="s">
        <v>453</v>
      </c>
    </row>
    <row r="3" spans="1:6" ht="28.5">
      <c r="A3" s="4" t="s">
        <v>454</v>
      </c>
      <c r="B3" s="4" t="s">
        <v>455</v>
      </c>
      <c r="C3" s="4" t="s">
        <v>456</v>
      </c>
      <c r="D3" s="4" t="s">
        <v>457</v>
      </c>
      <c r="E3" s="4" t="s">
        <v>458</v>
      </c>
      <c r="F3" s="4" t="s">
        <v>459</v>
      </c>
    </row>
    <row r="4" spans="1:6" ht="28.5">
      <c r="A4" s="4" t="s">
        <v>460</v>
      </c>
      <c r="B4" s="4" t="s">
        <v>461</v>
      </c>
      <c r="C4" s="4" t="s">
        <v>462</v>
      </c>
      <c r="D4" s="4" t="s">
        <v>463</v>
      </c>
      <c r="E4" s="4" t="s">
        <v>464</v>
      </c>
      <c r="F4" s="4" t="s">
        <v>465</v>
      </c>
    </row>
    <row r="5" spans="1:6" ht="28.5">
      <c r="A5" s="4" t="s">
        <v>466</v>
      </c>
      <c r="B5" s="4" t="s">
        <v>467</v>
      </c>
      <c r="C5" s="4" t="s">
        <v>468</v>
      </c>
      <c r="D5" s="4" t="s">
        <v>469</v>
      </c>
      <c r="E5" s="4" t="s">
        <v>470</v>
      </c>
      <c r="F5" s="4" t="s">
        <v>471</v>
      </c>
    </row>
    <row r="6" spans="1:6" ht="28.5">
      <c r="A6" s="4" t="s">
        <v>472</v>
      </c>
      <c r="B6" s="4" t="s">
        <v>473</v>
      </c>
      <c r="C6" s="4" t="s">
        <v>474</v>
      </c>
      <c r="D6" s="4" t="s">
        <v>475</v>
      </c>
      <c r="E6" s="4" t="s">
        <v>476</v>
      </c>
      <c r="F6" s="4" t="s">
        <v>477</v>
      </c>
    </row>
    <row r="7" spans="1:6" ht="28.5">
      <c r="A7" s="4" t="s">
        <v>478</v>
      </c>
      <c r="B7" s="4" t="s">
        <v>479</v>
      </c>
      <c r="C7" s="4" t="s">
        <v>480</v>
      </c>
      <c r="D7" s="4" t="s">
        <v>481</v>
      </c>
      <c r="E7" s="4" t="s">
        <v>482</v>
      </c>
      <c r="F7" s="4" t="s">
        <v>483</v>
      </c>
    </row>
    <row r="8" spans="1:6" ht="28.5">
      <c r="A8" s="4" t="s">
        <v>484</v>
      </c>
      <c r="B8" s="4" t="s">
        <v>485</v>
      </c>
      <c r="C8" s="4" t="s">
        <v>486</v>
      </c>
      <c r="D8" s="4" t="s">
        <v>487</v>
      </c>
      <c r="E8" s="4" t="s">
        <v>488</v>
      </c>
      <c r="F8" s="4" t="s">
        <v>489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"/>
  <sheetViews>
    <sheetView workbookViewId="0"/>
  </sheetViews>
  <sheetFormatPr defaultRowHeight="14.25"/>
  <cols>
    <col min="1" max="1" width="14" customWidth="1"/>
    <col min="2" max="2" width="30" customWidth="1"/>
    <col min="3" max="3" width="50" customWidth="1"/>
    <col min="4" max="4" width="38" customWidth="1"/>
    <col min="5" max="5" width="50" customWidth="1"/>
    <col min="6" max="6" width="46" customWidth="1"/>
    <col min="7" max="7" width="54" customWidth="1"/>
    <col min="8" max="8" width="50" customWidth="1"/>
    <col min="9" max="9" width="48" customWidth="1"/>
    <col min="10" max="10" width="12" customWidth="1"/>
    <col min="11" max="11" width="18" customWidth="1"/>
  </cols>
  <sheetData>
    <row r="1" spans="1:11" ht="15">
      <c r="A1" s="10" t="s">
        <v>490</v>
      </c>
      <c r="B1" s="10" t="s">
        <v>491</v>
      </c>
      <c r="C1" s="10" t="s">
        <v>492</v>
      </c>
      <c r="D1" s="10" t="s">
        <v>493</v>
      </c>
      <c r="E1" s="10" t="s">
        <v>494</v>
      </c>
      <c r="F1" s="10" t="s">
        <v>38</v>
      </c>
      <c r="G1" s="10" t="s">
        <v>327</v>
      </c>
      <c r="H1" s="10" t="s">
        <v>328</v>
      </c>
      <c r="I1" s="10" t="s">
        <v>495</v>
      </c>
      <c r="J1" s="10" t="s">
        <v>331</v>
      </c>
      <c r="K1" s="10" t="s">
        <v>8</v>
      </c>
    </row>
    <row r="2" spans="1:11" ht="28.5">
      <c r="A2" s="4" t="s">
        <v>496</v>
      </c>
      <c r="B2" s="4" t="s">
        <v>497</v>
      </c>
      <c r="C2" s="4" t="s">
        <v>498</v>
      </c>
      <c r="D2" s="4" t="s">
        <v>499</v>
      </c>
      <c r="E2" s="4" t="s">
        <v>500</v>
      </c>
      <c r="F2" s="4" t="s">
        <v>335</v>
      </c>
      <c r="G2" s="4" t="s">
        <v>501</v>
      </c>
      <c r="H2" s="4" t="s">
        <v>502</v>
      </c>
      <c r="I2" s="4" t="s">
        <v>503</v>
      </c>
      <c r="J2" s="11" t="s">
        <v>339</v>
      </c>
      <c r="K2" s="11" t="s">
        <v>340</v>
      </c>
    </row>
    <row r="3" spans="1:11" ht="28.5">
      <c r="A3" s="4" t="s">
        <v>504</v>
      </c>
      <c r="B3" s="4" t="s">
        <v>505</v>
      </c>
      <c r="C3" s="4" t="s">
        <v>506</v>
      </c>
      <c r="D3" s="4" t="s">
        <v>507</v>
      </c>
      <c r="E3" s="4" t="s">
        <v>508</v>
      </c>
      <c r="F3" s="4" t="s">
        <v>358</v>
      </c>
      <c r="G3" s="4" t="s">
        <v>509</v>
      </c>
      <c r="H3" s="4" t="s">
        <v>510</v>
      </c>
      <c r="I3" s="4" t="s">
        <v>511</v>
      </c>
      <c r="J3" s="11" t="s">
        <v>339</v>
      </c>
      <c r="K3" s="11" t="s">
        <v>340</v>
      </c>
    </row>
    <row r="4" spans="1:11" ht="28.5">
      <c r="A4" s="4" t="s">
        <v>512</v>
      </c>
      <c r="B4" s="4" t="s">
        <v>513</v>
      </c>
      <c r="C4" s="4" t="s">
        <v>514</v>
      </c>
      <c r="D4" s="4" t="s">
        <v>515</v>
      </c>
      <c r="E4" s="4" t="s">
        <v>516</v>
      </c>
      <c r="F4" s="4" t="s">
        <v>82</v>
      </c>
      <c r="G4" s="4" t="s">
        <v>517</v>
      </c>
      <c r="H4" s="4" t="s">
        <v>518</v>
      </c>
      <c r="I4" s="4" t="s">
        <v>519</v>
      </c>
      <c r="J4" s="11" t="s">
        <v>347</v>
      </c>
      <c r="K4" s="11" t="s">
        <v>340</v>
      </c>
    </row>
    <row r="5" spans="1:11" ht="28.5">
      <c r="A5" s="4" t="s">
        <v>520</v>
      </c>
      <c r="B5" s="4" t="s">
        <v>521</v>
      </c>
      <c r="C5" s="4" t="s">
        <v>522</v>
      </c>
      <c r="D5" s="4" t="s">
        <v>523</v>
      </c>
      <c r="E5" s="4" t="s">
        <v>524</v>
      </c>
      <c r="F5" s="4" t="s">
        <v>365</v>
      </c>
      <c r="G5" s="4" t="s">
        <v>525</v>
      </c>
      <c r="H5" s="4" t="s">
        <v>526</v>
      </c>
      <c r="I5" s="4" t="s">
        <v>367</v>
      </c>
      <c r="J5" s="11" t="s">
        <v>339</v>
      </c>
      <c r="K5" s="11" t="s">
        <v>340</v>
      </c>
    </row>
    <row r="6" spans="1:11" ht="28.5">
      <c r="A6" s="4" t="s">
        <v>527</v>
      </c>
      <c r="B6" s="4" t="s">
        <v>528</v>
      </c>
      <c r="C6" s="4" t="s">
        <v>529</v>
      </c>
      <c r="D6" s="4" t="s">
        <v>530</v>
      </c>
      <c r="E6" s="4" t="s">
        <v>531</v>
      </c>
      <c r="F6" s="4" t="s">
        <v>532</v>
      </c>
      <c r="G6" s="4" t="s">
        <v>533</v>
      </c>
      <c r="H6" s="4" t="s">
        <v>534</v>
      </c>
      <c r="I6" s="4" t="s">
        <v>353</v>
      </c>
      <c r="J6" s="11" t="s">
        <v>347</v>
      </c>
      <c r="K6" s="11" t="s">
        <v>340</v>
      </c>
    </row>
    <row r="7" spans="1:11" ht="28.5">
      <c r="A7" s="4" t="s">
        <v>535</v>
      </c>
      <c r="B7" s="4" t="s">
        <v>536</v>
      </c>
      <c r="C7" s="4" t="s">
        <v>537</v>
      </c>
      <c r="D7" s="4" t="s">
        <v>538</v>
      </c>
      <c r="E7" s="4" t="s">
        <v>539</v>
      </c>
      <c r="F7" s="4" t="s">
        <v>385</v>
      </c>
      <c r="G7" s="4" t="s">
        <v>540</v>
      </c>
      <c r="H7" s="4" t="s">
        <v>541</v>
      </c>
      <c r="I7" s="4" t="s">
        <v>542</v>
      </c>
      <c r="J7" s="11" t="s">
        <v>347</v>
      </c>
      <c r="K7" s="11" t="s">
        <v>340</v>
      </c>
    </row>
    <row r="8" spans="1:11" ht="28.5">
      <c r="A8" s="4" t="s">
        <v>543</v>
      </c>
      <c r="B8" s="4" t="s">
        <v>544</v>
      </c>
      <c r="C8" s="4" t="s">
        <v>545</v>
      </c>
      <c r="D8" s="4" t="s">
        <v>538</v>
      </c>
      <c r="E8" s="4" t="s">
        <v>546</v>
      </c>
      <c r="F8" s="4" t="s">
        <v>547</v>
      </c>
      <c r="G8" s="4" t="s">
        <v>548</v>
      </c>
      <c r="H8" s="4" t="s">
        <v>549</v>
      </c>
      <c r="I8" s="4" t="s">
        <v>550</v>
      </c>
      <c r="J8" s="11" t="s">
        <v>347</v>
      </c>
      <c r="K8" s="11" t="s">
        <v>340</v>
      </c>
    </row>
    <row r="9" spans="1:11" ht="28.5">
      <c r="A9" s="4" t="s">
        <v>551</v>
      </c>
      <c r="B9" s="4" t="s">
        <v>552</v>
      </c>
      <c r="C9" s="4" t="s">
        <v>553</v>
      </c>
      <c r="D9" s="4" t="s">
        <v>499</v>
      </c>
      <c r="E9" s="4" t="s">
        <v>554</v>
      </c>
      <c r="F9" s="4" t="s">
        <v>96</v>
      </c>
      <c r="G9" s="4" t="s">
        <v>555</v>
      </c>
      <c r="H9" s="4" t="s">
        <v>556</v>
      </c>
      <c r="I9" s="4" t="s">
        <v>557</v>
      </c>
      <c r="J9" s="11" t="s">
        <v>339</v>
      </c>
      <c r="K9" s="11" t="s">
        <v>340</v>
      </c>
    </row>
    <row r="10" spans="1:11" ht="28.5">
      <c r="A10" s="4" t="s">
        <v>558</v>
      </c>
      <c r="B10" s="4" t="s">
        <v>559</v>
      </c>
      <c r="C10" s="4" t="s">
        <v>560</v>
      </c>
      <c r="D10" s="4" t="s">
        <v>515</v>
      </c>
      <c r="E10" s="4" t="s">
        <v>561</v>
      </c>
      <c r="F10" s="4" t="s">
        <v>562</v>
      </c>
      <c r="G10" s="4" t="s">
        <v>563</v>
      </c>
      <c r="H10" s="4" t="s">
        <v>564</v>
      </c>
      <c r="I10" s="4" t="s">
        <v>565</v>
      </c>
      <c r="J10" s="11" t="s">
        <v>339</v>
      </c>
      <c r="K10" s="11" t="s">
        <v>340</v>
      </c>
    </row>
    <row r="11" spans="1:11" ht="28.5">
      <c r="A11" s="4" t="s">
        <v>566</v>
      </c>
      <c r="B11" s="4" t="s">
        <v>567</v>
      </c>
      <c r="C11" s="4" t="s">
        <v>568</v>
      </c>
      <c r="D11" s="4" t="s">
        <v>499</v>
      </c>
      <c r="E11" s="4" t="s">
        <v>569</v>
      </c>
      <c r="F11" s="4" t="s">
        <v>570</v>
      </c>
      <c r="G11" s="4" t="s">
        <v>571</v>
      </c>
      <c r="H11" s="4" t="s">
        <v>572</v>
      </c>
      <c r="I11" s="4" t="s">
        <v>573</v>
      </c>
      <c r="J11" s="11" t="s">
        <v>339</v>
      </c>
      <c r="K11" s="11" t="s">
        <v>340</v>
      </c>
    </row>
    <row r="12" spans="1:11" ht="28.5">
      <c r="A12" s="4" t="s">
        <v>574</v>
      </c>
      <c r="B12" s="4" t="s">
        <v>575</v>
      </c>
      <c r="C12" s="4" t="s">
        <v>576</v>
      </c>
      <c r="D12" s="4" t="s">
        <v>530</v>
      </c>
      <c r="E12" s="4" t="s">
        <v>577</v>
      </c>
      <c r="F12" s="4" t="s">
        <v>578</v>
      </c>
      <c r="G12" s="4" t="s">
        <v>579</v>
      </c>
      <c r="H12" s="4" t="s">
        <v>580</v>
      </c>
      <c r="I12" s="4" t="s">
        <v>581</v>
      </c>
      <c r="J12" s="11" t="s">
        <v>339</v>
      </c>
      <c r="K12" s="11" t="s">
        <v>340</v>
      </c>
    </row>
    <row r="13" spans="1:11" ht="28.5">
      <c r="A13" s="4" t="s">
        <v>582</v>
      </c>
      <c r="B13" s="4" t="s">
        <v>583</v>
      </c>
      <c r="C13" s="4" t="s">
        <v>584</v>
      </c>
      <c r="D13" s="4" t="s">
        <v>530</v>
      </c>
      <c r="E13" s="4" t="s">
        <v>585</v>
      </c>
      <c r="F13" s="4" t="s">
        <v>586</v>
      </c>
      <c r="G13" s="4" t="s">
        <v>587</v>
      </c>
      <c r="H13" s="4" t="s">
        <v>588</v>
      </c>
      <c r="I13" s="4" t="s">
        <v>589</v>
      </c>
      <c r="J13" s="11" t="s">
        <v>339</v>
      </c>
      <c r="K13" s="11" t="s">
        <v>340</v>
      </c>
    </row>
  </sheetData>
  <dataValidations count="2">
    <dataValidation type="list" sqref="J2:J13" xr:uid="{00000000-0002-0000-0600-000000000000}">
      <formula1>"Low,Medium,High,Critical"</formula1>
    </dataValidation>
    <dataValidation type="list" sqref="K2:K13" xr:uid="{00000000-0002-0000-0600-000001000000}">
      <formula1>"Draft,In Development,Tested,Operational,Needs Review,Retired"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4.25"/>
  <cols>
    <col min="1" max="1" width="26" customWidth="1"/>
    <col min="2" max="2" width="42" customWidth="1"/>
    <col min="3" max="3" width="58" customWidth="1"/>
    <col min="4" max="4" width="50" customWidth="1"/>
    <col min="5" max="5" width="42" customWidth="1"/>
  </cols>
  <sheetData>
    <row r="1" spans="1:5" ht="15">
      <c r="A1" s="15" t="s">
        <v>590</v>
      </c>
      <c r="B1" s="15" t="s">
        <v>591</v>
      </c>
      <c r="C1" s="15" t="s">
        <v>592</v>
      </c>
      <c r="D1" s="15" t="s">
        <v>593</v>
      </c>
      <c r="E1" s="15" t="s">
        <v>259</v>
      </c>
    </row>
    <row r="2" spans="1:5" ht="28.5">
      <c r="A2" s="4" t="s">
        <v>594</v>
      </c>
      <c r="B2" s="4" t="s">
        <v>595</v>
      </c>
      <c r="C2" s="4" t="s">
        <v>596</v>
      </c>
      <c r="D2" s="4" t="s">
        <v>597</v>
      </c>
      <c r="E2" s="4" t="s">
        <v>190</v>
      </c>
    </row>
    <row r="3" spans="1:5" ht="28.5">
      <c r="A3" s="4" t="s">
        <v>598</v>
      </c>
      <c r="B3" s="4" t="s">
        <v>599</v>
      </c>
      <c r="C3" s="4" t="s">
        <v>600</v>
      </c>
      <c r="D3" s="4" t="s">
        <v>601</v>
      </c>
      <c r="E3" s="4" t="s">
        <v>602</v>
      </c>
    </row>
    <row r="4" spans="1:5" ht="28.5">
      <c r="A4" s="4" t="s">
        <v>603</v>
      </c>
      <c r="B4" s="4" t="s">
        <v>604</v>
      </c>
      <c r="C4" s="4" t="s">
        <v>605</v>
      </c>
      <c r="D4" s="4" t="s">
        <v>606</v>
      </c>
      <c r="E4" s="4" t="s">
        <v>607</v>
      </c>
    </row>
    <row r="5" spans="1:5" ht="28.5">
      <c r="A5" s="4" t="s">
        <v>608</v>
      </c>
      <c r="B5" s="4" t="s">
        <v>609</v>
      </c>
      <c r="C5" s="4" t="s">
        <v>610</v>
      </c>
      <c r="D5" s="4" t="s">
        <v>611</v>
      </c>
      <c r="E5" s="4" t="s">
        <v>180</v>
      </c>
    </row>
    <row r="6" spans="1:5" ht="28.5">
      <c r="A6" s="4" t="s">
        <v>612</v>
      </c>
      <c r="B6" s="4" t="s">
        <v>613</v>
      </c>
      <c r="C6" s="4" t="s">
        <v>614</v>
      </c>
      <c r="D6" s="4" t="s">
        <v>615</v>
      </c>
      <c r="E6" s="4" t="s">
        <v>616</v>
      </c>
    </row>
    <row r="7" spans="1:5" ht="28.5">
      <c r="A7" s="4" t="s">
        <v>313</v>
      </c>
      <c r="B7" s="4" t="s">
        <v>617</v>
      </c>
      <c r="C7" s="4" t="s">
        <v>618</v>
      </c>
      <c r="D7" s="4" t="s">
        <v>619</v>
      </c>
      <c r="E7" s="4" t="s">
        <v>620</v>
      </c>
    </row>
    <row r="8" spans="1:5" ht="28.5">
      <c r="A8" s="4" t="s">
        <v>621</v>
      </c>
      <c r="B8" s="4" t="s">
        <v>622</v>
      </c>
      <c r="C8" s="4" t="s">
        <v>623</v>
      </c>
      <c r="D8" s="4" t="s">
        <v>624</v>
      </c>
      <c r="E8" s="4" t="s">
        <v>625</v>
      </c>
    </row>
    <row r="9" spans="1:5" ht="28.5">
      <c r="A9" s="4" t="s">
        <v>626</v>
      </c>
      <c r="B9" s="4" t="s">
        <v>627</v>
      </c>
      <c r="C9" s="4" t="s">
        <v>628</v>
      </c>
      <c r="D9" s="4" t="s">
        <v>629</v>
      </c>
      <c r="E9" s="4" t="s">
        <v>630</v>
      </c>
    </row>
    <row r="10" spans="1:5" ht="28.5">
      <c r="A10" s="4" t="s">
        <v>631</v>
      </c>
      <c r="B10" s="4" t="s">
        <v>632</v>
      </c>
      <c r="C10" s="4" t="s">
        <v>633</v>
      </c>
      <c r="D10" s="4" t="s">
        <v>634</v>
      </c>
      <c r="E10" s="4" t="s">
        <v>635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workbookViewId="0"/>
  </sheetViews>
  <sheetFormatPr defaultRowHeight="14.25"/>
  <cols>
    <col min="1" max="1" width="14" customWidth="1"/>
    <col min="2" max="2" width="32" customWidth="1"/>
    <col min="3" max="3" width="48" customWidth="1"/>
    <col min="4" max="4" width="54" customWidth="1"/>
    <col min="5" max="5" width="46" customWidth="1"/>
    <col min="6" max="6" width="48" customWidth="1"/>
    <col min="7" max="7" width="12" customWidth="1"/>
    <col min="8" max="8" width="18" customWidth="1"/>
  </cols>
  <sheetData>
    <row r="1" spans="1:8" ht="15">
      <c r="A1" s="15" t="s">
        <v>490</v>
      </c>
      <c r="B1" s="15" t="s">
        <v>491</v>
      </c>
      <c r="C1" s="15" t="s">
        <v>326</v>
      </c>
      <c r="D1" s="15" t="s">
        <v>327</v>
      </c>
      <c r="E1" s="15" t="s">
        <v>38</v>
      </c>
      <c r="F1" s="15" t="s">
        <v>495</v>
      </c>
      <c r="G1" s="15" t="s">
        <v>331</v>
      </c>
      <c r="H1" s="15" t="s">
        <v>8</v>
      </c>
    </row>
    <row r="2" spans="1:8" ht="28.5">
      <c r="A2" s="4" t="s">
        <v>636</v>
      </c>
      <c r="B2" s="4" t="s">
        <v>637</v>
      </c>
      <c r="C2" s="4" t="s">
        <v>638</v>
      </c>
      <c r="D2" s="4" t="s">
        <v>639</v>
      </c>
      <c r="E2" s="4" t="s">
        <v>640</v>
      </c>
      <c r="F2" s="4" t="s">
        <v>641</v>
      </c>
      <c r="G2" s="16" t="s">
        <v>347</v>
      </c>
      <c r="H2" s="16" t="s">
        <v>340</v>
      </c>
    </row>
    <row r="3" spans="1:8" ht="28.5">
      <c r="A3" s="4" t="s">
        <v>642</v>
      </c>
      <c r="B3" s="4" t="s">
        <v>643</v>
      </c>
      <c r="C3" s="4" t="s">
        <v>644</v>
      </c>
      <c r="D3" s="4" t="s">
        <v>645</v>
      </c>
      <c r="E3" s="4" t="s">
        <v>646</v>
      </c>
      <c r="F3" s="4" t="s">
        <v>647</v>
      </c>
      <c r="G3" s="16" t="s">
        <v>347</v>
      </c>
      <c r="H3" s="16" t="s">
        <v>340</v>
      </c>
    </row>
    <row r="4" spans="1:8" ht="28.5">
      <c r="A4" s="4" t="s">
        <v>648</v>
      </c>
      <c r="B4" s="4" t="s">
        <v>649</v>
      </c>
      <c r="C4" s="4" t="s">
        <v>650</v>
      </c>
      <c r="D4" s="4" t="s">
        <v>651</v>
      </c>
      <c r="E4" s="4" t="s">
        <v>652</v>
      </c>
      <c r="F4" s="4" t="s">
        <v>653</v>
      </c>
      <c r="G4" s="16" t="s">
        <v>347</v>
      </c>
      <c r="H4" s="16" t="s">
        <v>340</v>
      </c>
    </row>
    <row r="5" spans="1:8" ht="28.5">
      <c r="A5" s="4" t="s">
        <v>654</v>
      </c>
      <c r="B5" s="4" t="s">
        <v>655</v>
      </c>
      <c r="C5" s="4" t="s">
        <v>656</v>
      </c>
      <c r="D5" s="4" t="s">
        <v>657</v>
      </c>
      <c r="E5" s="4" t="s">
        <v>658</v>
      </c>
      <c r="F5" s="4" t="s">
        <v>659</v>
      </c>
      <c r="G5" s="16" t="s">
        <v>339</v>
      </c>
      <c r="H5" s="16" t="s">
        <v>340</v>
      </c>
    </row>
    <row r="6" spans="1:8" ht="28.5">
      <c r="A6" s="4" t="s">
        <v>660</v>
      </c>
      <c r="B6" s="4" t="s">
        <v>661</v>
      </c>
      <c r="C6" s="4" t="s">
        <v>662</v>
      </c>
      <c r="D6" s="4" t="s">
        <v>663</v>
      </c>
      <c r="E6" s="4" t="s">
        <v>664</v>
      </c>
      <c r="F6" s="4" t="s">
        <v>665</v>
      </c>
      <c r="G6" s="16" t="s">
        <v>347</v>
      </c>
      <c r="H6" s="16" t="s">
        <v>340</v>
      </c>
    </row>
    <row r="7" spans="1:8" ht="28.5">
      <c r="A7" s="4" t="s">
        <v>666</v>
      </c>
      <c r="B7" s="4" t="s">
        <v>667</v>
      </c>
      <c r="C7" s="4" t="s">
        <v>668</v>
      </c>
      <c r="D7" s="4" t="s">
        <v>669</v>
      </c>
      <c r="E7" s="4" t="s">
        <v>670</v>
      </c>
      <c r="F7" s="4" t="s">
        <v>671</v>
      </c>
      <c r="G7" s="16" t="s">
        <v>339</v>
      </c>
      <c r="H7" s="16" t="s">
        <v>340</v>
      </c>
    </row>
    <row r="8" spans="1:8" ht="28.5">
      <c r="A8" s="4" t="s">
        <v>672</v>
      </c>
      <c r="B8" s="4" t="s">
        <v>673</v>
      </c>
      <c r="C8" s="4" t="s">
        <v>674</v>
      </c>
      <c r="D8" s="4" t="s">
        <v>675</v>
      </c>
      <c r="E8" s="4" t="s">
        <v>676</v>
      </c>
      <c r="F8" s="4" t="s">
        <v>677</v>
      </c>
      <c r="G8" s="16" t="s">
        <v>347</v>
      </c>
      <c r="H8" s="16" t="s">
        <v>340</v>
      </c>
    </row>
    <row r="9" spans="1:8" ht="28.5">
      <c r="A9" s="4" t="s">
        <v>678</v>
      </c>
      <c r="B9" s="4" t="s">
        <v>679</v>
      </c>
      <c r="C9" s="4" t="s">
        <v>680</v>
      </c>
      <c r="D9" s="4" t="s">
        <v>681</v>
      </c>
      <c r="E9" s="4" t="s">
        <v>252</v>
      </c>
      <c r="F9" s="4" t="s">
        <v>682</v>
      </c>
      <c r="G9" s="16" t="s">
        <v>339</v>
      </c>
      <c r="H9" s="16" t="s">
        <v>340</v>
      </c>
    </row>
    <row r="10" spans="1:8" ht="28.5">
      <c r="A10" s="4" t="s">
        <v>683</v>
      </c>
      <c r="B10" s="4" t="s">
        <v>684</v>
      </c>
      <c r="C10" s="4" t="s">
        <v>685</v>
      </c>
      <c r="D10" s="4" t="s">
        <v>686</v>
      </c>
      <c r="E10" s="4" t="s">
        <v>687</v>
      </c>
      <c r="F10" s="4" t="s">
        <v>688</v>
      </c>
      <c r="G10" s="16" t="s">
        <v>339</v>
      </c>
      <c r="H10" s="16" t="s">
        <v>340</v>
      </c>
    </row>
    <row r="11" spans="1:8" ht="28.5">
      <c r="A11" s="4" t="s">
        <v>689</v>
      </c>
      <c r="B11" s="4" t="s">
        <v>690</v>
      </c>
      <c r="C11" s="4" t="s">
        <v>691</v>
      </c>
      <c r="D11" s="4" t="s">
        <v>692</v>
      </c>
      <c r="E11" s="4" t="s">
        <v>693</v>
      </c>
      <c r="F11" s="4" t="s">
        <v>694</v>
      </c>
      <c r="G11" s="16" t="s">
        <v>347</v>
      </c>
      <c r="H11" s="16" t="s">
        <v>340</v>
      </c>
    </row>
    <row r="12" spans="1:8" ht="28.5">
      <c r="A12" s="4" t="s">
        <v>695</v>
      </c>
      <c r="B12" s="4" t="s">
        <v>696</v>
      </c>
      <c r="C12" s="4" t="s">
        <v>697</v>
      </c>
      <c r="D12" s="4" t="s">
        <v>698</v>
      </c>
      <c r="E12" s="4" t="s">
        <v>699</v>
      </c>
      <c r="F12" s="4" t="s">
        <v>700</v>
      </c>
      <c r="G12" s="16" t="s">
        <v>347</v>
      </c>
      <c r="H12" s="16" t="s">
        <v>340</v>
      </c>
    </row>
    <row r="13" spans="1:8" ht="28.5">
      <c r="A13" s="4" t="s">
        <v>701</v>
      </c>
      <c r="B13" s="4" t="s">
        <v>702</v>
      </c>
      <c r="C13" s="4" t="s">
        <v>703</v>
      </c>
      <c r="D13" s="4" t="s">
        <v>704</v>
      </c>
      <c r="E13" s="4" t="s">
        <v>705</v>
      </c>
      <c r="F13" s="4" t="s">
        <v>706</v>
      </c>
      <c r="G13" s="16" t="s">
        <v>347</v>
      </c>
      <c r="H13" s="16" t="s">
        <v>340</v>
      </c>
    </row>
    <row r="14" spans="1:8" ht="28.5">
      <c r="A14" s="4" t="s">
        <v>707</v>
      </c>
      <c r="B14" s="4" t="s">
        <v>708</v>
      </c>
      <c r="C14" s="4" t="s">
        <v>709</v>
      </c>
      <c r="D14" s="4" t="s">
        <v>710</v>
      </c>
      <c r="E14" s="4" t="s">
        <v>711</v>
      </c>
      <c r="F14" s="4" t="s">
        <v>712</v>
      </c>
      <c r="G14" s="16" t="s">
        <v>339</v>
      </c>
      <c r="H14" s="16" t="s">
        <v>340</v>
      </c>
    </row>
    <row r="15" spans="1:8" ht="28.5">
      <c r="A15" s="4" t="s">
        <v>713</v>
      </c>
      <c r="B15" s="4" t="s">
        <v>714</v>
      </c>
      <c r="C15" s="4" t="s">
        <v>715</v>
      </c>
      <c r="D15" s="4" t="s">
        <v>716</v>
      </c>
      <c r="E15" s="4" t="s">
        <v>228</v>
      </c>
      <c r="F15" s="4" t="s">
        <v>717</v>
      </c>
      <c r="G15" s="16" t="s">
        <v>347</v>
      </c>
      <c r="H15" s="16" t="s">
        <v>340</v>
      </c>
    </row>
  </sheetData>
  <dataValidations count="2">
    <dataValidation type="list" sqref="G2:G15" xr:uid="{00000000-0002-0000-0800-000000000000}">
      <formula1>"Low,Medium,High,Critical"</formula1>
    </dataValidation>
    <dataValidation type="list" sqref="H2:H15" xr:uid="{00000000-0002-0000-0800-000001000000}">
      <formula1>"Draft,In Development,Tested,Operational,Needs Review,Retired"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AI SOC Dashboard</vt:lpstr>
      <vt:lpstr>AI Observability Metrics</vt:lpstr>
      <vt:lpstr>Trace Model</vt:lpstr>
      <vt:lpstr>Detection Response Matrix</vt:lpstr>
      <vt:lpstr>Telemetry Sources</vt:lpstr>
      <vt:lpstr>Incident Repository Mapping</vt:lpstr>
      <vt:lpstr>Incident Detection Use Cases</vt:lpstr>
      <vt:lpstr>Harness Observability</vt:lpstr>
      <vt:lpstr>Coding Agent Use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Sinay</dc:creator>
  <cp:lastModifiedBy>Yuval Sinay</cp:lastModifiedBy>
  <dcterms:modified xsi:type="dcterms:W3CDTF">2026-07-19T15:11:04Z</dcterms:modified>
</cp:coreProperties>
</file>