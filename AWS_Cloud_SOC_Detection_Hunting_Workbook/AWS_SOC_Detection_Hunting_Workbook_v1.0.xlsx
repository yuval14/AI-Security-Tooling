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 Documents\Study\My Manuals\New folder (4)\"/>
    </mc:Choice>
  </mc:AlternateContent>
  <xr:revisionPtr revIDLastSave="0" documentId="13_ncr:1_{484499C5-715E-4AC2-A619-7755E8920B3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etection Catalog" sheetId="1" r:id="rId1"/>
    <sheet name="Threat Hunting" sheetId="2" r:id="rId2"/>
    <sheet name="Attack Chains" sheetId="3" r:id="rId3"/>
    <sheet name="Detection Quality" sheetId="4" r:id="rId4"/>
    <sheet name="SOC Dashboard" sheetId="5" r:id="rId5"/>
    <sheet name="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5" l="1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J6" i="5"/>
  <c r="G6" i="5"/>
  <c r="D6" i="5"/>
  <c r="A6" i="5"/>
  <c r="I64" i="4"/>
  <c r="E64" i="4"/>
  <c r="J64" i="4" s="1"/>
  <c r="I63" i="4"/>
  <c r="E63" i="4"/>
  <c r="J63" i="4" s="1"/>
  <c r="I62" i="4"/>
  <c r="J62" i="4" s="1"/>
  <c r="E62" i="4"/>
  <c r="J61" i="4"/>
  <c r="I61" i="4"/>
  <c r="E61" i="4"/>
  <c r="J60" i="4"/>
  <c r="I60" i="4"/>
  <c r="E60" i="4"/>
  <c r="I59" i="4"/>
  <c r="E59" i="4"/>
  <c r="J59" i="4" s="1"/>
  <c r="I58" i="4"/>
  <c r="E58" i="4"/>
  <c r="J58" i="4" s="1"/>
  <c r="I57" i="4"/>
  <c r="E57" i="4"/>
  <c r="J57" i="4" s="1"/>
  <c r="I56" i="4"/>
  <c r="E56" i="4"/>
  <c r="J56" i="4" s="1"/>
  <c r="I55" i="4"/>
  <c r="E55" i="4"/>
  <c r="J55" i="4" s="1"/>
  <c r="I54" i="4"/>
  <c r="J54" i="4" s="1"/>
  <c r="E54" i="4"/>
  <c r="J53" i="4"/>
  <c r="I53" i="4"/>
  <c r="E53" i="4"/>
  <c r="J52" i="4"/>
  <c r="I52" i="4"/>
  <c r="E52" i="4"/>
  <c r="I51" i="4"/>
  <c r="E51" i="4"/>
  <c r="J51" i="4" s="1"/>
  <c r="I50" i="4"/>
  <c r="E50" i="4"/>
  <c r="J50" i="4" s="1"/>
  <c r="I49" i="4"/>
  <c r="E49" i="4"/>
  <c r="J49" i="4" s="1"/>
  <c r="I48" i="4"/>
  <c r="E48" i="4"/>
  <c r="J48" i="4" s="1"/>
  <c r="I47" i="4"/>
  <c r="E47" i="4"/>
  <c r="J47" i="4" s="1"/>
  <c r="I46" i="4"/>
  <c r="J46" i="4" s="1"/>
  <c r="E46" i="4"/>
  <c r="J45" i="4"/>
  <c r="I45" i="4"/>
  <c r="E45" i="4"/>
  <c r="J44" i="4"/>
  <c r="I44" i="4"/>
  <c r="E44" i="4"/>
  <c r="I43" i="4"/>
  <c r="E43" i="4"/>
  <c r="J43" i="4" s="1"/>
  <c r="I42" i="4"/>
  <c r="E42" i="4"/>
  <c r="J42" i="4" s="1"/>
  <c r="I41" i="4"/>
  <c r="E41" i="4"/>
  <c r="J41" i="4" s="1"/>
  <c r="I40" i="4"/>
  <c r="E40" i="4"/>
  <c r="J40" i="4" s="1"/>
  <c r="I39" i="4"/>
  <c r="E39" i="4"/>
  <c r="J39" i="4" s="1"/>
  <c r="I38" i="4"/>
  <c r="J38" i="4" s="1"/>
  <c r="E38" i="4"/>
  <c r="J37" i="4"/>
  <c r="I37" i="4"/>
  <c r="E37" i="4"/>
  <c r="J36" i="4"/>
  <c r="I36" i="4"/>
  <c r="E36" i="4"/>
  <c r="I35" i="4"/>
  <c r="E35" i="4"/>
  <c r="J35" i="4" s="1"/>
  <c r="I34" i="4"/>
  <c r="E34" i="4"/>
  <c r="J34" i="4" s="1"/>
  <c r="I33" i="4"/>
  <c r="E33" i="4"/>
  <c r="J33" i="4" s="1"/>
  <c r="I32" i="4"/>
  <c r="E32" i="4"/>
  <c r="J32" i="4" s="1"/>
  <c r="I31" i="4"/>
  <c r="E31" i="4"/>
  <c r="J31" i="4" s="1"/>
  <c r="I30" i="4"/>
  <c r="J30" i="4" s="1"/>
  <c r="E30" i="4"/>
  <c r="J29" i="4"/>
  <c r="I29" i="4"/>
  <c r="E29" i="4"/>
  <c r="J28" i="4"/>
  <c r="I28" i="4"/>
  <c r="E28" i="4"/>
  <c r="I27" i="4"/>
  <c r="E27" i="4"/>
  <c r="J27" i="4" s="1"/>
  <c r="I26" i="4"/>
  <c r="E26" i="4"/>
  <c r="J26" i="4" s="1"/>
  <c r="I25" i="4"/>
  <c r="E25" i="4"/>
  <c r="J25" i="4" s="1"/>
  <c r="I24" i="4"/>
  <c r="E24" i="4"/>
  <c r="J24" i="4" s="1"/>
  <c r="I23" i="4"/>
  <c r="E23" i="4"/>
  <c r="J23" i="4" s="1"/>
  <c r="I22" i="4"/>
  <c r="J22" i="4" s="1"/>
  <c r="E22" i="4"/>
  <c r="J21" i="4"/>
  <c r="I21" i="4"/>
  <c r="E21" i="4"/>
  <c r="J20" i="4"/>
  <c r="I20" i="4"/>
  <c r="E20" i="4"/>
  <c r="I19" i="4"/>
  <c r="E19" i="4"/>
  <c r="J19" i="4" s="1"/>
  <c r="I18" i="4"/>
  <c r="E18" i="4"/>
  <c r="J18" i="4" s="1"/>
  <c r="I17" i="4"/>
  <c r="E17" i="4"/>
  <c r="J17" i="4" s="1"/>
  <c r="I16" i="4"/>
  <c r="E16" i="4"/>
  <c r="J16" i="4" s="1"/>
  <c r="I15" i="4"/>
  <c r="E15" i="4"/>
  <c r="J15" i="4" s="1"/>
  <c r="I14" i="4"/>
  <c r="J14" i="4" s="1"/>
  <c r="E14" i="4"/>
  <c r="J13" i="4"/>
  <c r="I13" i="4"/>
  <c r="E13" i="4"/>
  <c r="J12" i="4"/>
  <c r="I12" i="4"/>
  <c r="E12" i="4"/>
  <c r="I11" i="4"/>
  <c r="E11" i="4"/>
  <c r="J11" i="4" s="1"/>
  <c r="I10" i="4"/>
  <c r="E10" i="4"/>
  <c r="J10" i="4" s="1"/>
  <c r="I9" i="4"/>
  <c r="E9" i="4"/>
  <c r="J9" i="4" s="1"/>
  <c r="I8" i="4"/>
  <c r="E8" i="4"/>
  <c r="J8" i="4" s="1"/>
  <c r="I7" i="4"/>
  <c r="E7" i="4"/>
  <c r="J7" i="4" s="1"/>
  <c r="I6" i="4"/>
  <c r="J6" i="4" s="1"/>
  <c r="E6" i="4"/>
  <c r="J5" i="4"/>
  <c r="J12" i="5" s="1"/>
  <c r="I5" i="4"/>
  <c r="E5" i="4"/>
  <c r="J13" i="5" l="1"/>
  <c r="J14" i="5"/>
</calcChain>
</file>

<file path=xl/sharedStrings.xml><?xml version="1.0" encoding="utf-8"?>
<sst xmlns="http://schemas.openxmlformats.org/spreadsheetml/2006/main" count="1599" uniqueCount="711">
  <si>
    <t>AWS SOC Detection Catalog</t>
  </si>
  <si>
    <t>Detection ID</t>
  </si>
  <si>
    <t>AWS Domain</t>
  </si>
  <si>
    <t>Use Case</t>
  </si>
  <si>
    <t>ATT&amp;CK Tactic</t>
  </si>
  <si>
    <t>ATT&amp;CK Technique</t>
  </si>
  <si>
    <t>Primary Telemetry</t>
  </si>
  <si>
    <t>Event / Method</t>
  </si>
  <si>
    <t>Detection Logic</t>
  </si>
  <si>
    <t>Severity</t>
  </si>
  <si>
    <t>Expected Fidelity</t>
  </si>
  <si>
    <t>Window</t>
  </si>
  <si>
    <t>Response</t>
  </si>
  <si>
    <t>Validation Test</t>
  </si>
  <si>
    <t>Status</t>
  </si>
  <si>
    <t>Enabled</t>
  </si>
  <si>
    <t>Owner</t>
  </si>
  <si>
    <t>Source URL</t>
  </si>
  <si>
    <t>AWS-DET-001</t>
  </si>
  <si>
    <t>IAM</t>
  </si>
  <si>
    <t>AdministratorAccess policy attached to a principal</t>
  </si>
  <si>
    <t>Persistence / Privilege Escalation</t>
  </si>
  <si>
    <t>T1098</t>
  </si>
  <si>
    <t>CloudTrail</t>
  </si>
  <si>
    <t>AttachUserPolicy / AttachRolePolicy / PutUserPolicy / PutRolePolicy</t>
  </si>
  <si>
    <t>Detect grants of AdministratorAccess or equivalent wildcard permissions outside approved automation.</t>
  </si>
  <si>
    <t>Critical</t>
  </si>
  <si>
    <t>High</t>
  </si>
  <si>
    <t>5m</t>
  </si>
  <si>
    <t>Detach policy, disable credentials, review all actions by actor.</t>
  </si>
  <si>
    <t>Controlled attachment to a test role.</t>
  </si>
  <si>
    <t>Ready</t>
  </si>
  <si>
    <t>Yes</t>
  </si>
  <si>
    <t>SOC Detection Engineering</t>
  </si>
  <si>
    <t>https://docs.aws.amazon.com/awscloudtrail/latest/userguide/cloudtrail-events.html</t>
  </si>
  <si>
    <t>AWS-DET-002</t>
  </si>
  <si>
    <t>New access key for privileged user</t>
  </si>
  <si>
    <t>Persistence</t>
  </si>
  <si>
    <t>T1098.001</t>
  </si>
  <si>
    <t>CreateAccessKey</t>
  </si>
  <si>
    <t>Alert when access keys are created for root, administrators, or break-glass users.</t>
  </si>
  <si>
    <t>Deactivate/delete key and investigate creator.</t>
  </si>
  <si>
    <t>Create and immediately delete a test key.</t>
  </si>
  <si>
    <t>AWS-DET-003</t>
  </si>
  <si>
    <t>Console login without MFA</t>
  </si>
  <si>
    <t>Valid Accounts</t>
  </si>
  <si>
    <t>T1078.004</t>
  </si>
  <si>
    <t>ConsoleLogin</t>
  </si>
  <si>
    <t>Detect successful console login where MFAUsed is No for privileged or human users.</t>
  </si>
  <si>
    <t>Terminate session, enforce MFA, review activity.</t>
  </si>
  <si>
    <t>Use controlled test identity.</t>
  </si>
  <si>
    <t>AWS-DET-004</t>
  </si>
  <si>
    <t>Root account used</t>
  </si>
  <si>
    <t>userIdentity.type=Root</t>
  </si>
  <si>
    <t>Any root account activity except approved account recovery or billing events.</t>
  </si>
  <si>
    <t>Near real time</t>
  </si>
  <si>
    <t>Review event, rotate root credentials, validate MFA and account contacts.</t>
  </si>
  <si>
    <t>Use non-destructive approved root test.</t>
  </si>
  <si>
    <t>AWS-DET-005</t>
  </si>
  <si>
    <t>IAM policy version set as default</t>
  </si>
  <si>
    <t>Privilege Escalation</t>
  </si>
  <si>
    <t>CreatePolicyVersion / SetDefaultPolicyVersion</t>
  </si>
  <si>
    <t>Detect policy changes that introduce wildcard actions/resources or sensitive permissions.</t>
  </si>
  <si>
    <t>10m</t>
  </si>
  <si>
    <t>Revert policy version and review affected principals.</t>
  </si>
  <si>
    <t>Create benign policy version in test account.</t>
  </si>
  <si>
    <t>AWS-DET-006</t>
  </si>
  <si>
    <t>AssumeRole from unusual account or geography</t>
  </si>
  <si>
    <t>AssumeRole</t>
  </si>
  <si>
    <t>Detect new source account, ASN, country, or user agent for sensitive roles.</t>
  </si>
  <si>
    <t>Medium</t>
  </si>
  <si>
    <t>15m</t>
  </si>
  <si>
    <t>Revoke session, update trust policy, investigate source.</t>
  </si>
  <si>
    <t>Use approved cross-account test role.</t>
  </si>
  <si>
    <t>Needs tuning</t>
  </si>
  <si>
    <t>AWS-DET-007</t>
  </si>
  <si>
    <t>Role chaining across multiple accounts</t>
  </si>
  <si>
    <t>Lateral Movement</t>
  </si>
  <si>
    <t>T1021.007</t>
  </si>
  <si>
    <t>AssumeRole sequence</t>
  </si>
  <si>
    <t>Correlate multiple AssumeRole events across accounts by same session within 30 minutes.</t>
  </si>
  <si>
    <t>30m</t>
  </si>
  <si>
    <t>Terminate sessions and review trust relationships.</t>
  </si>
  <si>
    <t>Controlled multi-account test.</t>
  </si>
  <si>
    <t>AWS-DET-008</t>
  </si>
  <si>
    <t>New SAML or OIDC identity provider</t>
  </si>
  <si>
    <t>CreateSAMLProvider / CreateOpenIDConnectProvider</t>
  </si>
  <si>
    <t>Detect creation or update of external identity providers outside approved federation workflow.</t>
  </si>
  <si>
    <t>Delete unauthorized provider and inspect role trusts.</t>
  </si>
  <si>
    <t>Create disposable test provider metadata.</t>
  </si>
  <si>
    <t>AWS-DET-009</t>
  </si>
  <si>
    <t>Role trust policy broadened</t>
  </si>
  <si>
    <t>UpdateAssumeRolePolicy</t>
  </si>
  <si>
    <t>Detect wildcard principals, external accounts, or removal of ExternalId/MFA conditions.</t>
  </si>
  <si>
    <t>Restore trust policy and review role sessions.</t>
  </si>
  <si>
    <t>Modify a test role trust policy.</t>
  </si>
  <si>
    <t>AWS-DET-010</t>
  </si>
  <si>
    <t>Organizations</t>
  </si>
  <si>
    <t>Service Control Policy weakened or detached</t>
  </si>
  <si>
    <t>Defense Evasion</t>
  </si>
  <si>
    <t>T1562</t>
  </si>
  <si>
    <t>UpdatePolicy / DetachPolicy / DeletePolicy</t>
  </si>
  <si>
    <t>Detect changes to SCPs protecting logging, regions, root use, IAM, or security services.</t>
  </si>
  <si>
    <t>Restore SCP and investigate actor.</t>
  </si>
  <si>
    <t>Controlled update in test organization unit.</t>
  </si>
  <si>
    <t>AWS-DET-011</t>
  </si>
  <si>
    <t>Trail stopped</t>
  </si>
  <si>
    <t>T1562.008</t>
  </si>
  <si>
    <t>StopLogging</t>
  </si>
  <si>
    <t>Any StopLogging on organization or account trail.</t>
  </si>
  <si>
    <t>Restart logging and investigate activity during gap.</t>
  </si>
  <si>
    <t>Stop a disposable test trail.</t>
  </si>
  <si>
    <t>https://docs.aws.amazon.com/awscloudtrail/latest/userguide/cloudtrail-user-guide.html</t>
  </si>
  <si>
    <t>AWS-DET-012</t>
  </si>
  <si>
    <t>Trail deleted</t>
  </si>
  <si>
    <t>DeleteTrail</t>
  </si>
  <si>
    <t>Any deletion of organization or security trail.</t>
  </si>
  <si>
    <t>Recreate trail and validate log integrity.</t>
  </si>
  <si>
    <t>Delete a disposable test trail.</t>
  </si>
  <si>
    <t>AWS-DET-013</t>
  </si>
  <si>
    <t>Trail destination or selectors changed</t>
  </si>
  <si>
    <t>UpdateTrail / PutEventSelectors / PutAdvancedEventSelectors</t>
  </si>
  <si>
    <t>Detect reduced Regions, management events, S3/Lambda data events, or changed log bucket/KMS key.</t>
  </si>
  <si>
    <t>Restore configuration and review missing period.</t>
  </si>
  <si>
    <t>Modify disposable test trail.</t>
  </si>
  <si>
    <t>AWS-DET-014</t>
  </si>
  <si>
    <t>CloudTrail Lake event data store stopped or deleted</t>
  </si>
  <si>
    <t>StopEventDataStoreIngestion / DeleteEventDataStore</t>
  </si>
  <si>
    <t>Detect interruption of centralized event data stores.</t>
  </si>
  <si>
    <t>Restart ingestion and preserve evidence.</t>
  </si>
  <si>
    <t>Use disposable test store.</t>
  </si>
  <si>
    <t>AWS-DET-015</t>
  </si>
  <si>
    <t>Security Hub</t>
  </si>
  <si>
    <t>High or critical finding suppressed unexpectedly</t>
  </si>
  <si>
    <t>CloudTrail / Security Hub</t>
  </si>
  <si>
    <t>BatchUpdateFindings</t>
  </si>
  <si>
    <t>Detect workflow suppression, archived status, or note changes by unusual principals.</t>
  </si>
  <si>
    <t>Restore workflow status and investigate actor.</t>
  </si>
  <si>
    <t>Update a disposable test finding.</t>
  </si>
  <si>
    <t>https://docs.aws.amazon.com/securityhub/latest/userguide/securityhub-findings-viewing.html</t>
  </si>
  <si>
    <t>AWS-DET-016</t>
  </si>
  <si>
    <t>S3</t>
  </si>
  <si>
    <t>Bucket made public through policy or ACL</t>
  </si>
  <si>
    <t>Collection / Exfiltration</t>
  </si>
  <si>
    <t>T1530</t>
  </si>
  <si>
    <t>CloudTrail + Security Hub</t>
  </si>
  <si>
    <t>PutBucketPolicy / PutBucketAcl / PutObjectAcl</t>
  </si>
  <si>
    <t>Detect public principals, public-read ACLs, or Block Public Access disabled.</t>
  </si>
  <si>
    <t>Restore block public access, remove policy/ACL, assess exposure.</t>
  </si>
  <si>
    <t>Use disposable empty bucket.</t>
  </si>
  <si>
    <t>https://docs.aws.amazon.com/AmazonS3/latest/userguide/cloudtrail-logging-s3-info.html</t>
  </si>
  <si>
    <t>AWS-DET-017</t>
  </si>
  <si>
    <t>Block Public Access disabled</t>
  </si>
  <si>
    <t>DeletePublicAccessBlock / PutPublicAccessBlock</t>
  </si>
  <si>
    <t>Detect weakening at account or bucket scope.</t>
  </si>
  <si>
    <t>Re-enable setting and inspect subsequent access.</t>
  </si>
  <si>
    <t>Toggle on disposable bucket.</t>
  </si>
  <si>
    <t>AWS-DET-018</t>
  </si>
  <si>
    <t>Mass object download</t>
  </si>
  <si>
    <t>CloudTrail Data Events</t>
  </si>
  <si>
    <t>GetObject / CopyObject</t>
  </si>
  <si>
    <t>Detect high object and byte volume by a new or anomalous principal.</t>
  </si>
  <si>
    <t>Disable credentials and identify downloaded data.</t>
  </si>
  <si>
    <t>Download test object set.</t>
  </si>
  <si>
    <t>AWS-DET-019</t>
  </si>
  <si>
    <t>Mass object deletion</t>
  </si>
  <si>
    <t>Impact</t>
  </si>
  <si>
    <t>T1485</t>
  </si>
  <si>
    <t>DeleteObject / DeleteObjects</t>
  </si>
  <si>
    <t>Detect deletion burst, especially where versioning or Object Lock is absent.</t>
  </si>
  <si>
    <t>Disable principal, enable protections, initiate recovery.</t>
  </si>
  <si>
    <t>Delete disposable objects.</t>
  </si>
  <si>
    <t>AWS-DET-020</t>
  </si>
  <si>
    <t>Bucket versioning or Object Lock weakened</t>
  </si>
  <si>
    <t>Impact / Defense Evasion</t>
  </si>
  <si>
    <t>PutBucketVersioning / PutObjectLockConfiguration</t>
  </si>
  <si>
    <t>Detect suspension of versioning or reduction of retention controls.</t>
  </si>
  <si>
    <t>Restore protection and investigate actor.</t>
  </si>
  <si>
    <t>Change disposable bucket configuration.</t>
  </si>
  <si>
    <t>AWS-DET-021</t>
  </si>
  <si>
    <t>GuardDuty malicious S3 API finding</t>
  </si>
  <si>
    <t>Collection / Impact</t>
  </si>
  <si>
    <t>GuardDuty</t>
  </si>
  <si>
    <t>S3 Protection finding</t>
  </si>
  <si>
    <t>Any high-severity GuardDuty S3 finding involving malicious IP, collection, impact, or exfiltration APIs.</t>
  </si>
  <si>
    <t>Block principal/IP, inspect objects and session.</t>
  </si>
  <si>
    <t>Use supported GuardDuty test mechanisms.</t>
  </si>
  <si>
    <t>AWS-DET-022</t>
  </si>
  <si>
    <t>Malware Protection for S3 detects malicious object</t>
  </si>
  <si>
    <t>Execution / Staging</t>
  </si>
  <si>
    <t>T1105</t>
  </si>
  <si>
    <t>GuardDuty Malware Protection for S3</t>
  </si>
  <si>
    <t>Malware scan finding</t>
  </si>
  <si>
    <t>Any malicious-object finding on protected bucket.</t>
  </si>
  <si>
    <t>Quarantine object, investigate uploader and downstream consumers.</t>
  </si>
  <si>
    <t>Use EICAR only in isolated approved test bucket.</t>
  </si>
  <si>
    <t>AWS-DET-023</t>
  </si>
  <si>
    <t>EC2</t>
  </si>
  <si>
    <t>Security group opens management port to internet</t>
  </si>
  <si>
    <t>Initial Access</t>
  </si>
  <si>
    <t>T1133</t>
  </si>
  <si>
    <t>AuthorizeSecurityGroupIngress</t>
  </si>
  <si>
    <t>Detect 0.0.0.0/0 or ::/0 on SSH, RDP, database, admin, or Kubernetes ports.</t>
  </si>
  <si>
    <t>Revoke rule and inspect VPC Flow Logs.</t>
  </si>
  <si>
    <t>Create and revoke test rule.</t>
  </si>
  <si>
    <t>https://docs.aws.amazon.com/guardduty/latest/ug/guardduty_finding-types-ec2.html</t>
  </si>
  <si>
    <t>AWS-DET-024</t>
  </si>
  <si>
    <t>Instance profile changed to more privileged role</t>
  </si>
  <si>
    <t>AssociateIamInstanceProfile / ReplaceIamInstanceProfileAssociation</t>
  </si>
  <si>
    <t>Detect privileged or unusual instance-profile assignment.</t>
  </si>
  <si>
    <t>Stop instance, restore profile, review role use.</t>
  </si>
  <si>
    <t>Change profile on disposable instance.</t>
  </si>
  <si>
    <t>AWS-DET-025</t>
  </si>
  <si>
    <t>EC2 Instance Connect or SSM access by unusual principal</t>
  </si>
  <si>
    <t>T1021.008</t>
  </si>
  <si>
    <t>SendSSHPublicKey / StartSession</t>
  </si>
  <si>
    <t>Detect direct interactive access outside approved operators or time windows.</t>
  </si>
  <si>
    <t>Terminate session and review commands.</t>
  </si>
  <si>
    <t>Controlled test access.</t>
  </si>
  <si>
    <t>AWS-DET-026</t>
  </si>
  <si>
    <t>Mass GPU or high-CPU instance creation</t>
  </si>
  <si>
    <t>Resource Hijacking</t>
  </si>
  <si>
    <t>T1496</t>
  </si>
  <si>
    <t>CloudTrail + CloudWatch</t>
  </si>
  <si>
    <t>RunInstances</t>
  </si>
  <si>
    <t>Burst of expensive instance types, new Regions, or unusual AMIs.</t>
  </si>
  <si>
    <t>Stop instances, disable actor, review billing.</t>
  </si>
  <si>
    <t>Create limited approved test instances.</t>
  </si>
  <si>
    <t>AWS-DET-027</t>
  </si>
  <si>
    <t>GuardDuty cryptomining finding</t>
  </si>
  <si>
    <t>CryptoCurrency finding</t>
  </si>
  <si>
    <t>Any high-confidence cryptomining finding.</t>
  </si>
  <si>
    <t>Isolate instance, revoke credentials, preserve image.</t>
  </si>
  <si>
    <t>Use GuardDuty sample findings.</t>
  </si>
  <si>
    <t>AWS-DET-028</t>
  </si>
  <si>
    <t>GuardDuty malware finding</t>
  </si>
  <si>
    <t>Execution</t>
  </si>
  <si>
    <t>T1204 / T1105</t>
  </si>
  <si>
    <t>GuardDuty Malware Protection</t>
  </si>
  <si>
    <t>Malware finding</t>
  </si>
  <si>
    <t>Any malware protection finding on EC2/EBS workload.</t>
  </si>
  <si>
    <t>Isolate instance, capture evidence, rotate credentials.</t>
  </si>
  <si>
    <t>AWS-DET-029</t>
  </si>
  <si>
    <t>AMI or snapshot shared externally</t>
  </si>
  <si>
    <t>ModifyImageAttribute / ModifySnapshotAttribute</t>
  </si>
  <si>
    <t>Detect launch or create-volume permissions granted outside organization.</t>
  </si>
  <si>
    <t>Remove permission and determine whether copied.</t>
  </si>
  <si>
    <t>Share disposable snapshot with test account.</t>
  </si>
  <si>
    <t>AWS-DET-030</t>
  </si>
  <si>
    <t>Termination protection or recovery controls disabled</t>
  </si>
  <si>
    <t>ModifyInstanceAttribute / DeleteSnapshot</t>
  </si>
  <si>
    <t>Detect disabling protections or deletion of recovery snapshots before destructive actions.</t>
  </si>
  <si>
    <t>Restore controls and investigate actor.</t>
  </si>
  <si>
    <t>Use disposable instance/snapshot.</t>
  </si>
  <si>
    <t>AWS-DET-031</t>
  </si>
  <si>
    <t>EKS</t>
  </si>
  <si>
    <t>Cluster-admin binding created</t>
  </si>
  <si>
    <t>EKS Kubernetes Audit Logs</t>
  </si>
  <si>
    <t>create/update ClusterRoleBinding</t>
  </si>
  <si>
    <t>Detect cluster-admin role binding to new identities.</t>
  </si>
  <si>
    <t>Delete binding, revoke access, review API actions.</t>
  </si>
  <si>
    <t>Controlled test binding.</t>
  </si>
  <si>
    <t>https://docs.aws.amazon.com/guardduty/latest/ug/guardduty-finding-types-eks-audit-logs.html</t>
  </si>
  <si>
    <t>AWS-DET-032</t>
  </si>
  <si>
    <t>Privileged pod or dangerous host access</t>
  </si>
  <si>
    <t>T1611</t>
  </si>
  <si>
    <t>create pod</t>
  </si>
  <si>
    <t>Detect privileged, hostPID, hostNetwork, hostPath, runtime socket, or dangerous capabilities.</t>
  </si>
  <si>
    <t>Delete workload and isolate node.</t>
  </si>
  <si>
    <t>Deploy disposable test pod.</t>
  </si>
  <si>
    <t>AWS-DET-033</t>
  </si>
  <si>
    <t>Secret read burst</t>
  </si>
  <si>
    <t>Credential Access</t>
  </si>
  <si>
    <t>T1555.006</t>
  </si>
  <si>
    <t>get/list secrets</t>
  </si>
  <si>
    <t>Detect many namespaces/secrets accessed by a rare identity.</t>
  </si>
  <si>
    <t>Revoke RBAC and rotate secrets.</t>
  </si>
  <si>
    <t>Read test secrets.</t>
  </si>
  <si>
    <t>AWS-DET-034</t>
  </si>
  <si>
    <t>GuardDuty EKS runtime or audit finding</t>
  </si>
  <si>
    <t>Execution / Persistence</t>
  </si>
  <si>
    <t>Multiple</t>
  </si>
  <si>
    <t>GuardDuty EKS Protection</t>
  </si>
  <si>
    <t>GuardDuty finding</t>
  </si>
  <si>
    <t>Any high/critical EKS audit or runtime finding.</t>
  </si>
  <si>
    <t>Isolate workload/node and investigate service account.</t>
  </si>
  <si>
    <t>AWS-DET-035</t>
  </si>
  <si>
    <t>New public LoadBalancer service</t>
  </si>
  <si>
    <t>Kubernetes Audit Logs / CloudTrail</t>
  </si>
  <si>
    <t>create Service type LoadBalancer</t>
  </si>
  <si>
    <t>Detect public services in restricted namespaces or without approved annotations.</t>
  </si>
  <si>
    <t>Delete or restrict service.</t>
  </si>
  <si>
    <t>Create disposable test service.</t>
  </si>
  <si>
    <t>AWS-DET-036</t>
  </si>
  <si>
    <t>Lambda</t>
  </si>
  <si>
    <t>Function resource policy made public or cross-account</t>
  </si>
  <si>
    <t>Initial Access / Persistence</t>
  </si>
  <si>
    <t>AddPermission</t>
  </si>
  <si>
    <t>Detect Principal=* or unapproved account/service invoking production functions.</t>
  </si>
  <si>
    <t>Remove permission and inspect invocations.</t>
  </si>
  <si>
    <t>Use disposable test function.</t>
  </si>
  <si>
    <t>https://docs.aws.amazon.com/guardduty/latest/ug/guardduty_finding-types-active.html</t>
  </si>
  <si>
    <t>AWS-DET-037</t>
  </si>
  <si>
    <t>Execution role changed</t>
  </si>
  <si>
    <t>UpdateFunctionConfiguration</t>
  </si>
  <si>
    <t>Detect assignment of a more privileged or unusual role.</t>
  </si>
  <si>
    <t>Rollback function configuration and review invocations.</t>
  </si>
  <si>
    <t>Update disposable function.</t>
  </si>
  <si>
    <t>AWS-DET-038</t>
  </si>
  <si>
    <t>Function code changed outside CI/CD</t>
  </si>
  <si>
    <t>Execution / Supply Chain</t>
  </si>
  <si>
    <t>T1195</t>
  </si>
  <si>
    <t>UpdateFunctionCode</t>
  </si>
  <si>
    <t>Detect direct code updates by human or unapproved automation.</t>
  </si>
  <si>
    <t>Rollback code, validate artifact provenance, review actor.</t>
  </si>
  <si>
    <t>AWS-DET-039</t>
  </si>
  <si>
    <t>GuardDuty Lambda finding</t>
  </si>
  <si>
    <t>Execution / Command and Control</t>
  </si>
  <si>
    <t>GuardDuty Lambda Protection</t>
  </si>
  <si>
    <t>Any high/critical Lambda protection finding.</t>
  </si>
  <si>
    <t>Disable function or concurrency, rotate execution role credentials.</t>
  </si>
  <si>
    <t>Use sample findings.</t>
  </si>
  <si>
    <t>AWS-DET-040</t>
  </si>
  <si>
    <t>KMS</t>
  </si>
  <si>
    <t>Key scheduled for deletion or disabled</t>
  </si>
  <si>
    <t>ScheduleKeyDeletion / DisableKey</t>
  </si>
  <si>
    <t>Any production CMK disablement or scheduled deletion.</t>
  </si>
  <si>
    <t>Cancel deletion/re-enable key and investigate actor.</t>
  </si>
  <si>
    <t>Use disposable test key.</t>
  </si>
  <si>
    <t>https://docs.aws.amazon.com/awscloudtrail/latest/userguide/logging-data-events-with-cloudtrail.html</t>
  </si>
  <si>
    <t>AWS-DET-041</t>
  </si>
  <si>
    <t>Unusual decrypt burst</t>
  </si>
  <si>
    <t>Credential Access / Collection</t>
  </si>
  <si>
    <t>T1555</t>
  </si>
  <si>
    <t>Decrypt</t>
  </si>
  <si>
    <t>Detect anomalous decrypt volume by principal, account, Region, or key.</t>
  </si>
  <si>
    <t>Disable principal and restrict key policy.</t>
  </si>
  <si>
    <t>Decrypt test ciphertext repeatedly.</t>
  </si>
  <si>
    <t>AWS-DET-042</t>
  </si>
  <si>
    <t>Secrets Manager</t>
  </si>
  <si>
    <t>Secret read by new principal</t>
  </si>
  <si>
    <t>GetSecretValue</t>
  </si>
  <si>
    <t>Detect first-seen principal-secret relationship or unusual account/Region.</t>
  </si>
  <si>
    <t>Revoke permission and rotate secret if unauthorized.</t>
  </si>
  <si>
    <t>Read disposable secret.</t>
  </si>
  <si>
    <t>AWS-DET-043</t>
  </si>
  <si>
    <t>Secret access burst</t>
  </si>
  <si>
    <t>Detect many unique secrets accessed by one principal.</t>
  </si>
  <si>
    <t>Disable identity and rotate affected secrets.</t>
  </si>
  <si>
    <t>Access test secrets.</t>
  </si>
  <si>
    <t>AWS-DET-044</t>
  </si>
  <si>
    <t>Resource policy broadened</t>
  </si>
  <si>
    <t>Persistence / Credential Access</t>
  </si>
  <si>
    <t>PutResourcePolicy</t>
  </si>
  <si>
    <t>Detect external or public access in secret resource policy.</t>
  </si>
  <si>
    <t>Remove policy and rotate secret.</t>
  </si>
  <si>
    <t>Modify disposable secret policy.</t>
  </si>
  <si>
    <t>AWS-DET-045</t>
  </si>
  <si>
    <t>RDS</t>
  </si>
  <si>
    <t>Database made publicly accessible</t>
  </si>
  <si>
    <t>ModifyDBInstance</t>
  </si>
  <si>
    <t>Detect PubliclyAccessible=true or security group changes enabling broad access.</t>
  </si>
  <si>
    <t>Disable public access and rotate credentials.</t>
  </si>
  <si>
    <t>Modify disposable test DB.</t>
  </si>
  <si>
    <t>AWS-DET-046</t>
  </si>
  <si>
    <t>Snapshot shared publicly or externally</t>
  </si>
  <si>
    <t>ModifyDBSnapshotAttribute</t>
  </si>
  <si>
    <t>Detect restore permission granted outside approved accounts.</t>
  </si>
  <si>
    <t>Remove permission and assess whether snapshot copied.</t>
  </si>
  <si>
    <t>Share disposable snapshot.</t>
  </si>
  <si>
    <t>AWS-DET-047</t>
  </si>
  <si>
    <t>GuardDuty RDS Protection finding</t>
  </si>
  <si>
    <t>Credential Access / Discovery</t>
  </si>
  <si>
    <t>GuardDuty RDS Protection</t>
  </si>
  <si>
    <t>Any high/critical anomalous login or database threat finding.</t>
  </si>
  <si>
    <t>Block source, rotate credentials, inspect DB activity.</t>
  </si>
  <si>
    <t>Use sample finding where available.</t>
  </si>
  <si>
    <t>AWS-DET-048</t>
  </si>
  <si>
    <t>Database export to new S3 bucket</t>
  </si>
  <si>
    <t>Exfiltration</t>
  </si>
  <si>
    <t>T1041</t>
  </si>
  <si>
    <t>StartExportTask</t>
  </si>
  <si>
    <t>Detect export to unapproved bucket/account or by unusual principal.</t>
  </si>
  <si>
    <t>Cancel export and secure destination.</t>
  </si>
  <si>
    <t>Export disposable snapshot.</t>
  </si>
  <si>
    <t>AWS-DET-049</t>
  </si>
  <si>
    <t>Network</t>
  </si>
  <si>
    <t>VPC Flow Logs disabled or destination changed</t>
  </si>
  <si>
    <t>DeleteFlowLogs / CreateFlowLogs</t>
  </si>
  <si>
    <t>Detect deletion or change affecting production VPC/subnet/ENI flow logs.</t>
  </si>
  <si>
    <t>Restore logging and review actor.</t>
  </si>
  <si>
    <t>Toggle test flow log.</t>
  </si>
  <si>
    <t>https://docs.aws.amazon.com/guardduty/latest/ug/guardduty_data-sources.html</t>
  </si>
  <si>
    <t>AWS-DET-050</t>
  </si>
  <si>
    <t>Network Firewall or WAF rules weakened</t>
  </si>
  <si>
    <t>UpdateFirewallPolicy / UpdateWebACL</t>
  </si>
  <si>
    <t>Detect removal or reprioritization of deny, IPS, WAF, rate-limit, or managed rules.</t>
  </si>
  <si>
    <t>Restore policy and inspect traffic during gap.</t>
  </si>
  <si>
    <t>Modify disposable test policy.</t>
  </si>
  <si>
    <t>AWS-DET-051</t>
  </si>
  <si>
    <t>Route 53 DNS tunneling or malicious domain finding</t>
  </si>
  <si>
    <t>Command and Control</t>
  </si>
  <si>
    <t>T1071.004</t>
  </si>
  <si>
    <t>DNS finding</t>
  </si>
  <si>
    <t>Any high-confidence malicious-domain, DNS tunneling, or anomalous resolver finding.</t>
  </si>
  <si>
    <t>Block domain and isolate source resource.</t>
  </si>
  <si>
    <t>AWS-DET-052</t>
  </si>
  <si>
    <t>New VPC peering, Transit Gateway, or VPN trust path</t>
  </si>
  <si>
    <t>CreateVpcPeeringConnection / CreateTransitGatewayAttachment / CreateVpnConnection</t>
  </si>
  <si>
    <t>Detect new network trust path outside IaC pipeline.</t>
  </si>
  <si>
    <t>Delete path and assess reachable resources.</t>
  </si>
  <si>
    <t>Create disposable test connection.</t>
  </si>
  <si>
    <t>AWS-DET-053</t>
  </si>
  <si>
    <t>Critical control finding on internet-exposed asset</t>
  </si>
  <si>
    <t>Initial Access / Exposure</t>
  </si>
  <si>
    <t>T1190</t>
  </si>
  <si>
    <t>Security Hub CSPM + AWS Config</t>
  </si>
  <si>
    <t>ASFF finding</t>
  </si>
  <si>
    <t>Correlate critical/high control finding with public IP, public endpoint, or sensitive asset.</t>
  </si>
  <si>
    <t>Prioritize immediate remediation and validate exposure.</t>
  </si>
  <si>
    <t>Use Security Hub sample/test resource.</t>
  </si>
  <si>
    <t>AWS-DET-054</t>
  </si>
  <si>
    <t>Security standard or control disabled</t>
  </si>
  <si>
    <t>DisableSecurityHub / BatchDisableStandards / DisableSecurityHubV2</t>
  </si>
  <si>
    <t>Detect service or control coverage reduction.</t>
  </si>
  <si>
    <t>Re-enable service/standard and investigate actor.</t>
  </si>
  <si>
    <t>Disable test standard in sandbox.</t>
  </si>
  <si>
    <t>AWS-DET-055</t>
  </si>
  <si>
    <t>GuardDuty disabled or detector modified</t>
  </si>
  <si>
    <t>DeleteDetector / UpdateDetector / DisassociateMembers</t>
  </si>
  <si>
    <t>Detect disablement, reduced frequency, or member removal.</t>
  </si>
  <si>
    <t>Restore detector and delegated-admin configuration.</t>
  </si>
  <si>
    <t>Modify sandbox detector.</t>
  </si>
  <si>
    <t>AWS-DET-056</t>
  </si>
  <si>
    <t>Extended Threat Detection attack-sequence finding</t>
  </si>
  <si>
    <t>GuardDuty Extended Threat Detection</t>
  </si>
  <si>
    <t>Attack sequence finding</t>
  </si>
  <si>
    <t>Any critical multi-stage attack-sequence finding across IAM, EC2, EKS, ECS, S3, RDS, or Lambda.</t>
  </si>
  <si>
    <t>Open one major incident and contain all linked resources and credentials.</t>
  </si>
  <si>
    <t>Use sample findings and validation exercises.</t>
  </si>
  <si>
    <t>AWS-DET-057</t>
  </si>
  <si>
    <t>Macie</t>
  </si>
  <si>
    <t>Sensitive S3 data exposed or discovered in risky location</t>
  </si>
  <si>
    <t>Amazon Macie / Security Hub</t>
  </si>
  <si>
    <t>Sensitive data finding</t>
  </si>
  <si>
    <t>High-severity sensitive-data finding with public or cross-account access.</t>
  </si>
  <si>
    <t>Restrict bucket, classify affected objects, notify data owner.</t>
  </si>
  <si>
    <t>Use test data identifiers.</t>
  </si>
  <si>
    <t>https://docs.aws.amazon.com/securityhub/latest/userguide/securityhub-findings.html</t>
  </si>
  <si>
    <t>AWS-DET-058</t>
  </si>
  <si>
    <t>Inspector</t>
  </si>
  <si>
    <t>Critical exploitable vulnerability on internet-facing resource</t>
  </si>
  <si>
    <t>Amazon Inspector / Security Hub</t>
  </si>
  <si>
    <t>Vulnerability finding</t>
  </si>
  <si>
    <t>Critical vulnerability with known exploit or reachability on EC2, ECR, or Lambda.</t>
  </si>
  <si>
    <t>Hourly</t>
  </si>
  <si>
    <t>Patch, isolate, or block exposure.</t>
  </si>
  <si>
    <t>Deploy controlled vulnerable test image.</t>
  </si>
  <si>
    <t>AWS-DET-059</t>
  </si>
  <si>
    <t>CloudFormation</t>
  </si>
  <si>
    <t>Stack policy or template changed outside pipeline</t>
  </si>
  <si>
    <t>Persistence / Supply Chain</t>
  </si>
  <si>
    <t>UpdateStack / SetStackPolicy</t>
  </si>
  <si>
    <t>Detect direct production stack changes by humans or unapproved roles.</t>
  </si>
  <si>
    <t>Rollback stack and inspect change set.</t>
  </si>
  <si>
    <t>Modify disposable stack.</t>
  </si>
  <si>
    <t>AWS-DET-060</t>
  </si>
  <si>
    <t>CloudBuild</t>
  </si>
  <si>
    <t>CodePipeline or CodeBuild role/repository changed</t>
  </si>
  <si>
    <t>Supply Chain</t>
  </si>
  <si>
    <t>UpdatePipeline / UpdateProject / UpdateWebhook</t>
  </si>
  <si>
    <t>Detect source, branch, artifact bucket, environment, or service-role changes outside approved workflow.</t>
  </si>
  <si>
    <t>Disable pipeline, validate artifacts, rotate credentials.</t>
  </si>
  <si>
    <t>Modify disposable pipeline.</t>
  </si>
  <si>
    <t>AWS Threat Hunting Library</t>
  </si>
  <si>
    <t>Hunt ID</t>
  </si>
  <si>
    <t>Domain</t>
  </si>
  <si>
    <t>Hypothesis</t>
  </si>
  <si>
    <t>Data Sources</t>
  </si>
  <si>
    <t>Analytic Approach</t>
  </si>
  <si>
    <t>Incident Type</t>
  </si>
  <si>
    <t>ATT&amp;CK</t>
  </si>
  <si>
    <t>Cadence</t>
  </si>
  <si>
    <t>Priority</t>
  </si>
  <si>
    <t>Investigation Outcome</t>
  </si>
  <si>
    <t>AWS-HUNT-001</t>
  </si>
  <si>
    <t>Has a privileged identity begun operating from a new ASN, country, or user agent?</t>
  </si>
  <si>
    <t>Baseline ConsoleLogin, AssumeRole, and admin APIs by principal.</t>
  </si>
  <si>
    <t>Credential compromise</t>
  </si>
  <si>
    <t>Daily</t>
  </si>
  <si>
    <t>Planned</t>
  </si>
  <si>
    <t>AWS-HUNT-002</t>
  </si>
  <si>
    <t>Is one identity chaining roles across several accounts?</t>
  </si>
  <si>
    <t>Link AssumeRole events by session issuer and sourceIdentity.</t>
  </si>
  <si>
    <t>Cross-account movement</t>
  </si>
  <si>
    <t>AWS-HUNT-003</t>
  </si>
  <si>
    <t>Did a policy change precede access to secrets or S3?</t>
  </si>
  <si>
    <t>CloudTrail + Data Events</t>
  </si>
  <si>
    <t>Correlate IAM mutation with GetSecretValue, Decrypt, or GetObject.</t>
  </si>
  <si>
    <t>Privilege-to-data chain</t>
  </si>
  <si>
    <t>T1098 / T1530</t>
  </si>
  <si>
    <t>AWS-HUNT-004</t>
  </si>
  <si>
    <t>Was logging weakened before suspicious activity?</t>
  </si>
  <si>
    <t>Correlate StopLogging, selector changes, or store deletion with sensitive APIs.</t>
  </si>
  <si>
    <t>Defense evasion</t>
  </si>
  <si>
    <t>AWS-HUNT-005</t>
  </si>
  <si>
    <t>Are users enumerating or downloading more objects than peers?</t>
  </si>
  <si>
    <t>S3 Data Events</t>
  </si>
  <si>
    <t>Measure ListObjects/GetObject counts and bytes by identity and bucket.</t>
  </si>
  <si>
    <t>Data theft</t>
  </si>
  <si>
    <t>T1619 / T1530</t>
  </si>
  <si>
    <t>AWS-HUNT-006</t>
  </si>
  <si>
    <t>Are objects staged into archives before exfiltration?</t>
  </si>
  <si>
    <t>Detect archive/encrypted object creation followed by bulk download or copy.</t>
  </si>
  <si>
    <t>Staging</t>
  </si>
  <si>
    <t>T1074</t>
  </si>
  <si>
    <t>AWS-HUNT-007</t>
  </si>
  <si>
    <t>Are new expensive instances being used for cryptomining?</t>
  </si>
  <si>
    <t>CloudTrail + CloudWatch + GuardDuty</t>
  </si>
  <si>
    <t>Correlate RunInstances burst, sustained CPU/network, and crypto findings.</t>
  </si>
  <si>
    <t>Resource hijacking</t>
  </si>
  <si>
    <t>AWS-HUNT-008</t>
  </si>
  <si>
    <t>Did SSM or Instance Connect precede privilege or data access?</t>
  </si>
  <si>
    <t>Correlate StartSession/SendSSHPublicKey with role use and sensitive API calls.</t>
  </si>
  <si>
    <t>Interactive lateral movement</t>
  </si>
  <si>
    <t>AWS-HUNT-009</t>
  </si>
  <si>
    <t>Are users executing into pods outside normal namespaces?</t>
  </si>
  <si>
    <t>EKS Audit Logs</t>
  </si>
  <si>
    <t>Baseline pods/exec by user, cluster, and namespace.</t>
  </si>
  <si>
    <t>Interactive execution</t>
  </si>
  <si>
    <t>T1059</t>
  </si>
  <si>
    <t>AWS-HUNT-010</t>
  </si>
  <si>
    <t>Are workloads requesting dangerous host privileges?</t>
  </si>
  <si>
    <t>Search privileged, hostPath, hostPID, runtime socket, and dangerous capabilities.</t>
  </si>
  <si>
    <t>Container escape preparation</t>
  </si>
  <si>
    <t>AWS-HUNT-011</t>
  </si>
  <si>
    <t>Secrets/KMS</t>
  </si>
  <si>
    <t>Are principals accessing many secrets or decrypting unusually?</t>
  </si>
  <si>
    <t>Compare secret/key access graph and volume to baseline.</t>
  </si>
  <si>
    <t>Credential theft</t>
  </si>
  <si>
    <t>AWS-HUNT-012</t>
  </si>
  <si>
    <t>Did a snapshot share or export cross account boundaries?</t>
  </si>
  <si>
    <t>Identify external restore grants and export tasks to unapproved buckets.</t>
  </si>
  <si>
    <t>Database exfiltration</t>
  </si>
  <si>
    <t>T1530 / T1041</t>
  </si>
  <si>
    <t>AWS-HUNT-013</t>
  </si>
  <si>
    <t>Are resources beaconing to rare domains or IPs?</t>
  </si>
  <si>
    <t>VPC Flow Logs + Route 53 Resolver logs + GuardDuty</t>
  </si>
  <si>
    <t>Measure destination rarity and periodicity.</t>
  </si>
  <si>
    <t>Command and control</t>
  </si>
  <si>
    <t>T1071</t>
  </si>
  <si>
    <t>AWS-HUNT-014</t>
  </si>
  <si>
    <t>Were SCPs or delegated admin settings weakened?</t>
  </si>
  <si>
    <t>Review Organization policy and security-service administrator changes.</t>
  </si>
  <si>
    <t>Control-plane evasion</t>
  </si>
  <si>
    <t>AWS-HUNT-015</t>
  </si>
  <si>
    <t>CI/CD</t>
  </si>
  <si>
    <t>Did pipeline or repository changes precede a privileged deployment?</t>
  </si>
  <si>
    <t>CloudTrail + CodePipeline/CodeBuild</t>
  </si>
  <si>
    <t>Correlate source/role changes, artifact updates, and production deploys.</t>
  </si>
  <si>
    <t>Supply-chain compromise</t>
  </si>
  <si>
    <t>AWS Multi-Stage Attack Correlation</t>
  </si>
  <si>
    <t>Chain ID</t>
  </si>
  <si>
    <t>Scenario</t>
  </si>
  <si>
    <t>Stage 1</t>
  </si>
  <si>
    <t>Stage 2</t>
  </si>
  <si>
    <t>Stage 3</t>
  </si>
  <si>
    <t>Stage 4</t>
  </si>
  <si>
    <t>Join Keys</t>
  </si>
  <si>
    <t>AWS-CHAIN-001</t>
  </si>
  <si>
    <t>Compromised identity to S3 exfiltration</t>
  </si>
  <si>
    <t>CreateAccessKey or anomalous login</t>
  </si>
  <si>
    <t>AssumeRole to privileged role</t>
  </si>
  <si>
    <t>S3 enumeration</t>
  </si>
  <si>
    <t>Mass GetObject/CopyObject</t>
  </si>
  <si>
    <t>60m</t>
  </si>
  <si>
    <t>Principal, role session, account, bucket</t>
  </si>
  <si>
    <t>Disable credentials, revoke sessions, secure bucket.</t>
  </si>
  <si>
    <t>AWS-CHAIN-002</t>
  </si>
  <si>
    <t>Public EC2 exploitation</t>
  </si>
  <si>
    <t>Security group opened</t>
  </si>
  <si>
    <t>Suspicious inbound traffic / GuardDuty</t>
  </si>
  <si>
    <t>Instance profile abuse</t>
  </si>
  <si>
    <t>Secrets or S3 access</t>
  </si>
  <si>
    <t>90m</t>
  </si>
  <si>
    <t>Instance, ENI, role, source IP</t>
  </si>
  <si>
    <t>Isolate EC2, revoke role, preserve EBS.</t>
  </si>
  <si>
    <t>AWS-CHAIN-003</t>
  </si>
  <si>
    <t>Cloud cryptomining</t>
  </si>
  <si>
    <t>Credential anomaly</t>
  </si>
  <si>
    <t>Mass GPU instance creation</t>
  </si>
  <si>
    <t>Sustained resource spike</t>
  </si>
  <si>
    <t>GuardDuty crypto finding</t>
  </si>
  <si>
    <t>Principal, account, Region</t>
  </si>
  <si>
    <t>Stop resources and disable actor.</t>
  </si>
  <si>
    <t>AWS-CHAIN-004</t>
  </si>
  <si>
    <t>Logging evasion before impact</t>
  </si>
  <si>
    <t>CloudTrail or GuardDuty weakened</t>
  </si>
  <si>
    <t>Privilege change</t>
  </si>
  <si>
    <t>Mass deletion or KMS disable</t>
  </si>
  <si>
    <t>Recovery controls weakened</t>
  </si>
  <si>
    <t>120m</t>
  </si>
  <si>
    <t>Principal and account</t>
  </si>
  <si>
    <t>Restore telemetry, disable principal, activate recovery.</t>
  </si>
  <si>
    <t>AWS-CHAIN-005</t>
  </si>
  <si>
    <t>EKS compromise</t>
  </si>
  <si>
    <t>Public service or stolen token</t>
  </si>
  <si>
    <t>Privileged pod / cluster-admin</t>
  </si>
  <si>
    <t>Cross-account role use</t>
  </si>
  <si>
    <t>Cluster, service account, role session</t>
  </si>
  <si>
    <t>Isolate cluster workload and rotate secrets.</t>
  </si>
  <si>
    <t>AWS-CHAIN-006</t>
  </si>
  <si>
    <t>Lambda compromise</t>
  </si>
  <si>
    <t>Public invocation or code change</t>
  </si>
  <si>
    <t>Execution role escalation</t>
  </si>
  <si>
    <t>KMS/Secrets access</t>
  </si>
  <si>
    <t>RDS or S3 exfiltration</t>
  </si>
  <si>
    <t>Function, role, destination</t>
  </si>
  <si>
    <t>Disable function, rollback code, rotate secrets.</t>
  </si>
  <si>
    <t>AWS-CHAIN-007</t>
  </si>
  <si>
    <t>CI/CD supply-chain compromise</t>
  </si>
  <si>
    <t>Pipeline/repository changed</t>
  </si>
  <si>
    <t>Artifact modified</t>
  </si>
  <si>
    <t>Privileged deployment</t>
  </si>
  <si>
    <t>Runtime GuardDuty finding</t>
  </si>
  <si>
    <t>4h</t>
  </si>
  <si>
    <t>Repository, build, artifact, workload</t>
  </si>
  <si>
    <t>Freeze pipeline and rollback.</t>
  </si>
  <si>
    <t>AWS-CHAIN-008</t>
  </si>
  <si>
    <t>Insider data theft</t>
  </si>
  <si>
    <t>Sensitive S3/RDS access</t>
  </si>
  <si>
    <t>Snapshot/export/staging</t>
  </si>
  <si>
    <t>Large data transfer</t>
  </si>
  <si>
    <t>External sharing</t>
  </si>
  <si>
    <t>8h</t>
  </si>
  <si>
    <t>Principal and data resource</t>
  </si>
  <si>
    <t>Suspend access and preserve evidence.</t>
  </si>
  <si>
    <t>AWS Detection Quality and Validation</t>
  </si>
  <si>
    <t>Alerts</t>
  </si>
  <si>
    <t>True Positives</t>
  </si>
  <si>
    <t>False Positives</t>
  </si>
  <si>
    <t>Precision %</t>
  </si>
  <si>
    <t>Latency Min</t>
  </si>
  <si>
    <t>Triage Min</t>
  </si>
  <si>
    <t>Test Status</t>
  </si>
  <si>
    <t>Validation %</t>
  </si>
  <si>
    <t>Quality Status</t>
  </si>
  <si>
    <t>Pass</t>
  </si>
  <si>
    <t>Partial</t>
  </si>
  <si>
    <t>AWS SOC Detection and Hunting Dashboard</t>
  </si>
  <si>
    <t>Author: Yuval Sinay | Version 2.0 | 03.08.2026 | Operational baseline - quality values are illustrative until connected to live case data</t>
  </si>
  <si>
    <t>Detection Use Cases</t>
  </si>
  <si>
    <t>Ready Detections</t>
  </si>
  <si>
    <t>Critical Use Cases</t>
  </si>
  <si>
    <t>Threat Hunts</t>
  </si>
  <si>
    <t>Detections</t>
  </si>
  <si>
    <t>Mapped Detections</t>
  </si>
  <si>
    <t>Target</t>
  </si>
  <si>
    <t>Count</t>
  </si>
  <si>
    <t>Healthy</t>
  </si>
  <si>
    <t>Review</t>
  </si>
  <si>
    <t>Weak</t>
  </si>
  <si>
    <t>Discovery</t>
  </si>
  <si>
    <t>Collection</t>
  </si>
  <si>
    <t>Publisher</t>
  </si>
  <si>
    <t>Source</t>
  </si>
  <si>
    <t>Workbook Use</t>
  </si>
  <si>
    <t>URL</t>
  </si>
  <si>
    <t>Accessed</t>
  </si>
  <si>
    <t>AWS</t>
  </si>
  <si>
    <t>GuardDuty finding types</t>
  </si>
  <si>
    <t>Threat findings across IAM, EC2, S3, EKS, RDS, Lambda and runtime resources</t>
  </si>
  <si>
    <t>Multi-stage attack-sequence findings</t>
  </si>
  <si>
    <t>https://docs.aws.amazon.com/guardduty/latest/ug/guardduty-extended-threat-detection.html</t>
  </si>
  <si>
    <t>GuardDuty attack sequence findings</t>
  </si>
  <si>
    <t>Correlation of IAM credentials and multi-stage attacks</t>
  </si>
  <si>
    <t>https://docs.aws.amazon.com/guardduty/latest/ug/guardduty-attack-sequence-finding-types.html</t>
  </si>
  <si>
    <t>CloudTrail user guide</t>
  </si>
  <si>
    <t>Management, data, Insights and network activity event foundation</t>
  </si>
  <si>
    <t>CloudTrail event history</t>
  </si>
  <si>
    <t>90-day management-event history and limitations</t>
  </si>
  <si>
    <t>https://docs.aws.amazon.com/awscloudtrail/latest/userguide/view-cloudtrail-events.html</t>
  </si>
  <si>
    <t>CloudTrail data events</t>
  </si>
  <si>
    <t>Required telemetry for S3, Lambda, KMS, Secrets and other resource operations</t>
  </si>
  <si>
    <t>S3 CloudTrail events</t>
  </si>
  <si>
    <t>S3 management and object-level data events</t>
  </si>
  <si>
    <t>Security Hub CSPM findings</t>
  </si>
  <si>
    <t>Finding history, severity and affected resources</t>
  </si>
  <si>
    <t>Security Hub ASFF</t>
  </si>
  <si>
    <t>Normalized AWS Security Finding Format</t>
  </si>
  <si>
    <t>GuardDuty S3 Protection findings</t>
  </si>
  <si>
    <t>S3 collection, exfiltration and impact activity</t>
  </si>
  <si>
    <t>https://docs.aws.amazon.com/guardduty/latest/ug/guardduty_finding-types-s3.html</t>
  </si>
  <si>
    <t>GuardDuty EKS Protection findings</t>
  </si>
  <si>
    <t>EKS audit-log and runtime threat detections</t>
  </si>
  <si>
    <t>Scanning new S3 objects for malware</t>
  </si>
  <si>
    <t>https://docs.aws.amazon.com/guardduty/latest/ug/gdu-malware-protection-s3.html</t>
  </si>
  <si>
    <t>MITRE ATT&amp;CK</t>
  </si>
  <si>
    <t>IaaS Matrix</t>
  </si>
  <si>
    <t>Cloud IaaS tactics and techniques</t>
  </si>
  <si>
    <t>https://attack.mitre.org/matrices/enterprise/cloud/iaas/</t>
  </si>
  <si>
    <t>Valid Accounts: Cloud Accounts</t>
  </si>
  <si>
    <t>Cloud credential compromise</t>
  </si>
  <si>
    <t>https://attack.mitre.org/techniques/T1078/004/</t>
  </si>
  <si>
    <t>Data from Cloud Storage</t>
  </si>
  <si>
    <t>Collection and theft from cloud storage</t>
  </si>
  <si>
    <t>https://attack.mitre.org/techniques/T1530/</t>
  </si>
  <si>
    <t>Cloud Infrastructure Discovery</t>
  </si>
  <si>
    <t>Cloud infrastructure enumeration</t>
  </si>
  <si>
    <t>https://attack.mitre.org/techniques/T1580/</t>
  </si>
  <si>
    <t>Author: Yuval Sinay | Version 1.0 | 03.08.2026 | Operational content - tune thresholds and field mappings before production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</si>
</sst>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.mm\.yyyy"/>
  </numFmts>
  <fonts count="5">
    <font>
      <sz val="11"/>
      <name val="Carlito"/>
    </font>
    <font>
      <b/>
      <sz val="18"/>
      <color rgb="FFFFFFFF"/>
      <name val="Carlito"/>
    </font>
    <font>
      <i/>
      <sz val="11"/>
      <color rgb="FF404040"/>
      <name val="Carlito"/>
    </font>
    <font>
      <b/>
      <sz val="11"/>
      <color rgb="FFFFFFFF"/>
      <name val="Carlito"/>
    </font>
    <font>
      <b/>
      <sz val="20"/>
      <color rgb="FF1736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Detection Coverage by AWS Domain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Detections</c:v>
          </c:tx>
          <c:invertIfNegative val="1"/>
          <c:cat>
            <c:strRef>
              <c:f>'SOC Dashboard'!$A$12:$A$28</c:f>
              <c:strCache>
                <c:ptCount val="17"/>
                <c:pt idx="0">
                  <c:v>IAM</c:v>
                </c:pt>
                <c:pt idx="1">
                  <c:v>Organizations</c:v>
                </c:pt>
                <c:pt idx="2">
                  <c:v>CloudTrail</c:v>
                </c:pt>
                <c:pt idx="3">
                  <c:v>S3</c:v>
                </c:pt>
                <c:pt idx="4">
                  <c:v>EC2</c:v>
                </c:pt>
                <c:pt idx="5">
                  <c:v>EKS</c:v>
                </c:pt>
                <c:pt idx="6">
                  <c:v>Lambda</c:v>
                </c:pt>
                <c:pt idx="7">
                  <c:v>KMS</c:v>
                </c:pt>
                <c:pt idx="8">
                  <c:v>Secrets Manager</c:v>
                </c:pt>
                <c:pt idx="9">
                  <c:v>RDS</c:v>
                </c:pt>
                <c:pt idx="10">
                  <c:v>Network</c:v>
                </c:pt>
                <c:pt idx="11">
                  <c:v>Security Hub</c:v>
                </c:pt>
                <c:pt idx="12">
                  <c:v>GuardDuty</c:v>
                </c:pt>
                <c:pt idx="13">
                  <c:v>Macie</c:v>
                </c:pt>
                <c:pt idx="14">
                  <c:v>Inspector</c:v>
                </c:pt>
                <c:pt idx="15">
                  <c:v>CloudFormation</c:v>
                </c:pt>
                <c:pt idx="16">
                  <c:v>CloudBuild</c:v>
                </c:pt>
              </c:strCache>
            </c:strRef>
          </c:cat>
          <c:val>
            <c:numRef>
              <c:f>'SOC Dashboard'!$B$12:$B$28</c:f>
              <c:numCache>
                <c:formatCode>General</c:formatCode>
                <c:ptCount val="17"/>
                <c:pt idx="0">
                  <c:v>9</c:v>
                </c:pt>
                <c:pt idx="1">
                  <c:v>1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8-4892-8B39-8A49EEA51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MITRE ATT&amp;CK Coverage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Mapped Detections</c:v>
          </c:tx>
          <c:invertIfNegative val="1"/>
          <c:cat>
            <c:strRef>
              <c:f>'SOC Dashboard'!$E$12:$E$23</c:f>
              <c:strCache>
                <c:ptCount val="12"/>
                <c:pt idx="0">
                  <c:v>Initial Access</c:v>
                </c:pt>
                <c:pt idx="1">
                  <c:v>Execution</c:v>
                </c:pt>
                <c:pt idx="2">
                  <c:v>Persistence</c:v>
                </c:pt>
                <c:pt idx="3">
                  <c:v>Privilege Escalation</c:v>
                </c:pt>
                <c:pt idx="4">
                  <c:v>Defense Evasion</c:v>
                </c:pt>
                <c:pt idx="5">
                  <c:v>Credential Access</c:v>
                </c:pt>
                <c:pt idx="6">
                  <c:v>Discovery</c:v>
                </c:pt>
                <c:pt idx="7">
                  <c:v>Lateral Movement</c:v>
                </c:pt>
                <c:pt idx="8">
                  <c:v>Collection</c:v>
                </c:pt>
                <c:pt idx="9">
                  <c:v>Command and Control</c:v>
                </c:pt>
                <c:pt idx="10">
                  <c:v>Exfiltration</c:v>
                </c:pt>
                <c:pt idx="11">
                  <c:v>Impact</c:v>
                </c:pt>
              </c:strCache>
            </c:strRef>
          </c:cat>
          <c:val>
            <c:numRef>
              <c:f>'SOC Dashboard'!$F$12:$F$23</c:f>
              <c:numCache>
                <c:formatCode>General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12</c:v>
                </c:pt>
                <c:pt idx="5">
                  <c:v>6</c:v>
                </c:pt>
                <c:pt idx="6">
                  <c:v>1</c:v>
                </c:pt>
                <c:pt idx="7">
                  <c:v>3</c:v>
                </c:pt>
                <c:pt idx="8">
                  <c:v>7</c:v>
                </c:pt>
                <c:pt idx="9">
                  <c:v>2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3-4502-B6DD-63B47087D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Detection Quality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'SOC Dashboard'!$I$12:$I$14</c:f>
              <c:strCache>
                <c:ptCount val="3"/>
                <c:pt idx="0">
                  <c:v>Healthy</c:v>
                </c:pt>
                <c:pt idx="1">
                  <c:v>Review</c:v>
                </c:pt>
                <c:pt idx="2">
                  <c:v>Weak</c:v>
                </c:pt>
              </c:strCache>
            </c:strRef>
          </c:cat>
          <c:val>
            <c:numRef>
              <c:f>'SOC Dashboard'!$J$12:$J$14</c:f>
              <c:numCache>
                <c:formatCode>General</c:formatCode>
                <c:ptCount val="3"/>
                <c:pt idx="0">
                  <c:v>51</c:v>
                </c:pt>
                <c:pt idx="1">
                  <c:v>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0-4694-B28B-DB2A56BEE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6</xdr:col>
      <xdr:colOff>0</xdr:colOff>
      <xdr:row>49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6</xdr:col>
      <xdr:colOff>0</xdr:colOff>
      <xdr:row>65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WSDetectionCatalog" displayName="AWSDetectionCatalog" ref="A5:Q65">
  <tableColumns count="17">
    <tableColumn id="1" xr3:uid="{00000000-0010-0000-0000-000001000000}" name="Detection ID"/>
    <tableColumn id="2" xr3:uid="{00000000-0010-0000-0000-000002000000}" name="AWS Domain"/>
    <tableColumn id="3" xr3:uid="{00000000-0010-0000-0000-000003000000}" name="Use Case"/>
    <tableColumn id="4" xr3:uid="{00000000-0010-0000-0000-000004000000}" name="ATT&amp;CK Tactic"/>
    <tableColumn id="5" xr3:uid="{00000000-0010-0000-0000-000005000000}" name="ATT&amp;CK Technique"/>
    <tableColumn id="6" xr3:uid="{00000000-0010-0000-0000-000006000000}" name="Primary Telemetry"/>
    <tableColumn id="7" xr3:uid="{00000000-0010-0000-0000-000007000000}" name="Event / Method"/>
    <tableColumn id="8" xr3:uid="{00000000-0010-0000-0000-000008000000}" name="Detection Logic"/>
    <tableColumn id="9" xr3:uid="{00000000-0010-0000-0000-000009000000}" name="Severity"/>
    <tableColumn id="10" xr3:uid="{00000000-0010-0000-0000-00000A000000}" name="Expected Fidelity"/>
    <tableColumn id="11" xr3:uid="{00000000-0010-0000-0000-00000B000000}" name="Window"/>
    <tableColumn id="12" xr3:uid="{00000000-0010-0000-0000-00000C000000}" name="Response"/>
    <tableColumn id="13" xr3:uid="{00000000-0010-0000-0000-00000D000000}" name="Validation Test"/>
    <tableColumn id="14" xr3:uid="{00000000-0010-0000-0000-00000E000000}" name="Status"/>
    <tableColumn id="15" xr3:uid="{00000000-0010-0000-0000-00000F000000}" name="Enabled"/>
    <tableColumn id="16" xr3:uid="{00000000-0010-0000-0000-000010000000}" name="Owner"/>
    <tableColumn id="17" xr3:uid="{00000000-0010-0000-0000-000011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WSThreatHunts" displayName="AWSThreatHunts" ref="A4:K19">
  <tableColumns count="11">
    <tableColumn id="1" xr3:uid="{00000000-0010-0000-0100-000001000000}" name="Hunt ID"/>
    <tableColumn id="2" xr3:uid="{00000000-0010-0000-0100-000002000000}" name="Domain"/>
    <tableColumn id="3" xr3:uid="{00000000-0010-0000-0100-000003000000}" name="Hypothesis"/>
    <tableColumn id="4" xr3:uid="{00000000-0010-0000-0100-000004000000}" name="Data Sources"/>
    <tableColumn id="5" xr3:uid="{00000000-0010-0000-0100-000005000000}" name="Analytic Approach"/>
    <tableColumn id="6" xr3:uid="{00000000-0010-0000-0100-000006000000}" name="Incident Type"/>
    <tableColumn id="7" xr3:uid="{00000000-0010-0000-0100-000007000000}" name="ATT&amp;CK"/>
    <tableColumn id="8" xr3:uid="{00000000-0010-0000-0100-000008000000}" name="Cadence"/>
    <tableColumn id="9" xr3:uid="{00000000-0010-0000-0100-000009000000}" name="Priority"/>
    <tableColumn id="10" xr3:uid="{00000000-0010-0000-0100-00000A000000}" name="Status"/>
    <tableColumn id="11" xr3:uid="{00000000-0010-0000-0100-00000B000000}" name="Investigation Outco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WSAttackChains" displayName="AWSAttackChains" ref="A4:J12">
  <tableColumns count="10">
    <tableColumn id="1" xr3:uid="{00000000-0010-0000-0200-000001000000}" name="Chain ID"/>
    <tableColumn id="2" xr3:uid="{00000000-0010-0000-0200-000002000000}" name="Scenario"/>
    <tableColumn id="3" xr3:uid="{00000000-0010-0000-0200-000003000000}" name="Stage 1"/>
    <tableColumn id="4" xr3:uid="{00000000-0010-0000-0200-000004000000}" name="Stage 2"/>
    <tableColumn id="5" xr3:uid="{00000000-0010-0000-0200-000005000000}" name="Stage 3"/>
    <tableColumn id="6" xr3:uid="{00000000-0010-0000-0200-000006000000}" name="Stage 4"/>
    <tableColumn id="7" xr3:uid="{00000000-0010-0000-0200-000007000000}" name="Severity"/>
    <tableColumn id="8" xr3:uid="{00000000-0010-0000-0200-000008000000}" name="Window"/>
    <tableColumn id="9" xr3:uid="{00000000-0010-0000-0200-000009000000}" name="Join Keys"/>
    <tableColumn id="10" xr3:uid="{00000000-0010-0000-0200-00000A000000}" name="Respon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WSDetectionQuality" displayName="AWSDetectionQuality" ref="A4:K64">
  <tableColumns count="11">
    <tableColumn id="1" xr3:uid="{00000000-0010-0000-0300-000001000000}" name="Detection ID"/>
    <tableColumn id="2" xr3:uid="{00000000-0010-0000-0300-000002000000}" name="Alerts"/>
    <tableColumn id="3" xr3:uid="{00000000-0010-0000-0300-000003000000}" name="True Positives"/>
    <tableColumn id="4" xr3:uid="{00000000-0010-0000-0300-000004000000}" name="False Positives"/>
    <tableColumn id="5" xr3:uid="{00000000-0010-0000-0300-000005000000}" name="Precision %"/>
    <tableColumn id="6" xr3:uid="{00000000-0010-0000-0300-000006000000}" name="Latency Min"/>
    <tableColumn id="7" xr3:uid="{00000000-0010-0000-0300-000007000000}" name="Triage Min"/>
    <tableColumn id="8" xr3:uid="{00000000-0010-0000-0300-000008000000}" name="Test Status"/>
    <tableColumn id="9" xr3:uid="{00000000-0010-0000-0300-000009000000}" name="Validation %"/>
    <tableColumn id="10" xr3:uid="{00000000-0010-0000-0300-00000A000000}" name="Quality Status"/>
    <tableColumn id="11" xr3:uid="{00000000-0010-0000-0300-00000B000000}" name="Own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WSSources" displayName="AWSSources" ref="A1:E17">
  <tableColumns count="5">
    <tableColumn id="1" xr3:uid="{00000000-0010-0000-0400-000001000000}" name="Publisher"/>
    <tableColumn id="2" xr3:uid="{00000000-0010-0000-0400-000002000000}" name="Source"/>
    <tableColumn id="3" xr3:uid="{00000000-0010-0000-0400-000003000000}" name="Workbook Use"/>
    <tableColumn id="4" xr3:uid="{00000000-0010-0000-0400-000004000000}" name="URL"/>
    <tableColumn id="5" xr3:uid="{00000000-0010-0000-0400-000005000000}" name="Acces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workbookViewId="0">
      <selection activeCell="C10" sqref="C10"/>
    </sheetView>
  </sheetViews>
  <sheetFormatPr defaultRowHeight="14.25"/>
  <cols>
    <col min="1" max="1" width="15" customWidth="1"/>
    <col min="2" max="2" width="18" customWidth="1"/>
    <col min="3" max="3" width="38" customWidth="1"/>
    <col min="4" max="4" width="25" customWidth="1"/>
    <col min="5" max="5" width="18" customWidth="1"/>
    <col min="6" max="6" width="28" customWidth="1"/>
    <col min="7" max="7" width="34" customWidth="1"/>
    <col min="8" max="8" width="58" customWidth="1"/>
    <col min="9" max="9" width="11" customWidth="1"/>
    <col min="10" max="10" width="15" customWidth="1"/>
    <col min="11" max="11" width="12" customWidth="1"/>
    <col min="12" max="12" width="46" customWidth="1"/>
    <col min="13" max="13" width="42" customWidth="1"/>
    <col min="14" max="14" width="14" customWidth="1"/>
    <col min="15" max="15" width="10" customWidth="1"/>
    <col min="16" max="16" width="24" customWidth="1"/>
    <col min="17" max="17" width="64" customWidth="1"/>
  </cols>
  <sheetData>
    <row r="1" spans="1:17" ht="20.100000000000001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0.100000000000001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20.100000000000001" customHeight="1">
      <c r="A3" s="6" t="s">
        <v>710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20.100000000000001" customHeight="1"/>
    <row r="5" spans="1:17" ht="20.100000000000001" customHeight="1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</row>
    <row r="6" spans="1:17" ht="20.100000000000001" customHeight="1">
      <c r="A6" t="s">
        <v>18</v>
      </c>
      <c r="B6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</row>
    <row r="7" spans="1:17" ht="20.100000000000001" customHeight="1">
      <c r="A7" t="s">
        <v>35</v>
      </c>
      <c r="B7" t="s">
        <v>19</v>
      </c>
      <c r="C7" s="2" t="s">
        <v>36</v>
      </c>
      <c r="D7" s="2" t="s">
        <v>37</v>
      </c>
      <c r="E7" s="2" t="s">
        <v>38</v>
      </c>
      <c r="F7" s="2" t="s">
        <v>23</v>
      </c>
      <c r="G7" s="2" t="s">
        <v>39</v>
      </c>
      <c r="H7" s="2" t="s">
        <v>40</v>
      </c>
      <c r="I7" s="2" t="s">
        <v>26</v>
      </c>
      <c r="J7" s="2" t="s">
        <v>27</v>
      </c>
      <c r="K7" s="2" t="s">
        <v>28</v>
      </c>
      <c r="L7" s="2" t="s">
        <v>41</v>
      </c>
      <c r="M7" s="2" t="s">
        <v>42</v>
      </c>
      <c r="N7" s="2" t="s">
        <v>31</v>
      </c>
      <c r="O7" s="2" t="s">
        <v>32</v>
      </c>
      <c r="P7" s="2" t="s">
        <v>33</v>
      </c>
      <c r="Q7" s="2" t="s">
        <v>34</v>
      </c>
    </row>
    <row r="8" spans="1:17" ht="20.100000000000001" customHeight="1">
      <c r="A8" t="s">
        <v>43</v>
      </c>
      <c r="B8" t="s">
        <v>19</v>
      </c>
      <c r="C8" s="2" t="s">
        <v>44</v>
      </c>
      <c r="D8" s="2" t="s">
        <v>45</v>
      </c>
      <c r="E8" s="2" t="s">
        <v>46</v>
      </c>
      <c r="F8" s="2" t="s">
        <v>23</v>
      </c>
      <c r="G8" s="2" t="s">
        <v>47</v>
      </c>
      <c r="H8" s="2" t="s">
        <v>48</v>
      </c>
      <c r="I8" s="2" t="s">
        <v>26</v>
      </c>
      <c r="J8" s="2" t="s">
        <v>27</v>
      </c>
      <c r="K8" s="2" t="s">
        <v>28</v>
      </c>
      <c r="L8" s="2" t="s">
        <v>49</v>
      </c>
      <c r="M8" s="2" t="s">
        <v>50</v>
      </c>
      <c r="N8" s="2" t="s">
        <v>31</v>
      </c>
      <c r="O8" s="2" t="s">
        <v>32</v>
      </c>
      <c r="P8" s="2" t="s">
        <v>33</v>
      </c>
      <c r="Q8" s="2" t="s">
        <v>34</v>
      </c>
    </row>
    <row r="9" spans="1:17" ht="20.100000000000001" customHeight="1">
      <c r="A9" t="s">
        <v>51</v>
      </c>
      <c r="B9" t="s">
        <v>19</v>
      </c>
      <c r="C9" s="2" t="s">
        <v>52</v>
      </c>
      <c r="D9" s="2" t="s">
        <v>45</v>
      </c>
      <c r="E9" s="2" t="s">
        <v>46</v>
      </c>
      <c r="F9" s="2" t="s">
        <v>23</v>
      </c>
      <c r="G9" s="2" t="s">
        <v>53</v>
      </c>
      <c r="H9" s="2" t="s">
        <v>54</v>
      </c>
      <c r="I9" s="2" t="s">
        <v>26</v>
      </c>
      <c r="J9" s="2" t="s">
        <v>27</v>
      </c>
      <c r="K9" s="2" t="s">
        <v>55</v>
      </c>
      <c r="L9" s="2" t="s">
        <v>56</v>
      </c>
      <c r="M9" s="2" t="s">
        <v>57</v>
      </c>
      <c r="N9" s="2" t="s">
        <v>31</v>
      </c>
      <c r="O9" s="2" t="s">
        <v>32</v>
      </c>
      <c r="P9" s="2" t="s">
        <v>33</v>
      </c>
      <c r="Q9" s="2" t="s">
        <v>34</v>
      </c>
    </row>
    <row r="10" spans="1:17" ht="20.100000000000001" customHeight="1">
      <c r="A10" t="s">
        <v>58</v>
      </c>
      <c r="B10" t="s">
        <v>19</v>
      </c>
      <c r="C10" s="2" t="s">
        <v>59</v>
      </c>
      <c r="D10" s="2" t="s">
        <v>60</v>
      </c>
      <c r="E10" s="2" t="s">
        <v>22</v>
      </c>
      <c r="F10" s="2" t="s">
        <v>23</v>
      </c>
      <c r="G10" s="2" t="s">
        <v>61</v>
      </c>
      <c r="H10" s="2" t="s">
        <v>62</v>
      </c>
      <c r="I10" s="2" t="s">
        <v>26</v>
      </c>
      <c r="J10" s="2" t="s">
        <v>27</v>
      </c>
      <c r="K10" s="2" t="s">
        <v>63</v>
      </c>
      <c r="L10" s="2" t="s">
        <v>64</v>
      </c>
      <c r="M10" s="2" t="s">
        <v>65</v>
      </c>
      <c r="N10" s="2" t="s">
        <v>31</v>
      </c>
      <c r="O10" s="2" t="s">
        <v>32</v>
      </c>
      <c r="P10" s="2" t="s">
        <v>33</v>
      </c>
      <c r="Q10" s="2" t="s">
        <v>34</v>
      </c>
    </row>
    <row r="11" spans="1:17" ht="20.100000000000001" customHeight="1">
      <c r="A11" t="s">
        <v>66</v>
      </c>
      <c r="B11" t="s">
        <v>19</v>
      </c>
      <c r="C11" s="2" t="s">
        <v>67</v>
      </c>
      <c r="D11" s="2" t="s">
        <v>45</v>
      </c>
      <c r="E11" s="2" t="s">
        <v>46</v>
      </c>
      <c r="F11" s="2" t="s">
        <v>23</v>
      </c>
      <c r="G11" s="2" t="s">
        <v>68</v>
      </c>
      <c r="H11" s="2" t="s">
        <v>69</v>
      </c>
      <c r="I11" s="2" t="s">
        <v>27</v>
      </c>
      <c r="J11" s="2" t="s">
        <v>70</v>
      </c>
      <c r="K11" s="2" t="s">
        <v>71</v>
      </c>
      <c r="L11" s="2" t="s">
        <v>72</v>
      </c>
      <c r="M11" s="2" t="s">
        <v>73</v>
      </c>
      <c r="N11" s="2" t="s">
        <v>74</v>
      </c>
      <c r="O11" s="2" t="s">
        <v>32</v>
      </c>
      <c r="P11" s="2" t="s">
        <v>33</v>
      </c>
      <c r="Q11" s="2" t="s">
        <v>34</v>
      </c>
    </row>
    <row r="12" spans="1:17" ht="20.100000000000001" customHeight="1">
      <c r="A12" t="s">
        <v>75</v>
      </c>
      <c r="B12" t="s">
        <v>19</v>
      </c>
      <c r="C12" s="2" t="s">
        <v>76</v>
      </c>
      <c r="D12" s="2" t="s">
        <v>77</v>
      </c>
      <c r="E12" s="2" t="s">
        <v>78</v>
      </c>
      <c r="F12" s="2" t="s">
        <v>23</v>
      </c>
      <c r="G12" s="2" t="s">
        <v>79</v>
      </c>
      <c r="H12" s="2" t="s">
        <v>80</v>
      </c>
      <c r="I12" s="2" t="s">
        <v>27</v>
      </c>
      <c r="J12" s="2" t="s">
        <v>70</v>
      </c>
      <c r="K12" s="2" t="s">
        <v>81</v>
      </c>
      <c r="L12" s="2" t="s">
        <v>82</v>
      </c>
      <c r="M12" s="2" t="s">
        <v>83</v>
      </c>
      <c r="N12" s="2" t="s">
        <v>74</v>
      </c>
      <c r="O12" s="2" t="s">
        <v>32</v>
      </c>
      <c r="P12" s="2" t="s">
        <v>33</v>
      </c>
      <c r="Q12" s="2" t="s">
        <v>34</v>
      </c>
    </row>
    <row r="13" spans="1:17" ht="20.100000000000001" customHeight="1">
      <c r="A13" t="s">
        <v>84</v>
      </c>
      <c r="B13" t="s">
        <v>19</v>
      </c>
      <c r="C13" s="2" t="s">
        <v>85</v>
      </c>
      <c r="D13" s="2" t="s">
        <v>37</v>
      </c>
      <c r="E13" s="2" t="s">
        <v>22</v>
      </c>
      <c r="F13" s="2" t="s">
        <v>23</v>
      </c>
      <c r="G13" s="2" t="s">
        <v>86</v>
      </c>
      <c r="H13" s="2" t="s">
        <v>87</v>
      </c>
      <c r="I13" s="2" t="s">
        <v>26</v>
      </c>
      <c r="J13" s="2" t="s">
        <v>27</v>
      </c>
      <c r="K13" s="2" t="s">
        <v>63</v>
      </c>
      <c r="L13" s="2" t="s">
        <v>88</v>
      </c>
      <c r="M13" s="2" t="s">
        <v>89</v>
      </c>
      <c r="N13" s="2" t="s">
        <v>31</v>
      </c>
      <c r="O13" s="2" t="s">
        <v>32</v>
      </c>
      <c r="P13" s="2" t="s">
        <v>33</v>
      </c>
      <c r="Q13" s="2" t="s">
        <v>34</v>
      </c>
    </row>
    <row r="14" spans="1:17" ht="20.100000000000001" customHeight="1">
      <c r="A14" t="s">
        <v>90</v>
      </c>
      <c r="B14" t="s">
        <v>19</v>
      </c>
      <c r="C14" s="2" t="s">
        <v>91</v>
      </c>
      <c r="D14" s="2" t="s">
        <v>21</v>
      </c>
      <c r="E14" s="2" t="s">
        <v>22</v>
      </c>
      <c r="F14" s="2" t="s">
        <v>23</v>
      </c>
      <c r="G14" s="2" t="s">
        <v>92</v>
      </c>
      <c r="H14" s="2" t="s">
        <v>93</v>
      </c>
      <c r="I14" s="2" t="s">
        <v>26</v>
      </c>
      <c r="J14" s="2" t="s">
        <v>27</v>
      </c>
      <c r="K14" s="2" t="s">
        <v>63</v>
      </c>
      <c r="L14" s="2" t="s">
        <v>94</v>
      </c>
      <c r="M14" s="2" t="s">
        <v>95</v>
      </c>
      <c r="N14" s="2" t="s">
        <v>31</v>
      </c>
      <c r="O14" s="2" t="s">
        <v>32</v>
      </c>
      <c r="P14" s="2" t="s">
        <v>33</v>
      </c>
      <c r="Q14" s="2" t="s">
        <v>34</v>
      </c>
    </row>
    <row r="15" spans="1:17" ht="20.100000000000001" customHeight="1">
      <c r="A15" t="s">
        <v>96</v>
      </c>
      <c r="B15" t="s">
        <v>97</v>
      </c>
      <c r="C15" s="2" t="s">
        <v>98</v>
      </c>
      <c r="D15" s="2" t="s">
        <v>99</v>
      </c>
      <c r="E15" s="2" t="s">
        <v>100</v>
      </c>
      <c r="F15" s="2" t="s">
        <v>23</v>
      </c>
      <c r="G15" s="2" t="s">
        <v>101</v>
      </c>
      <c r="H15" s="2" t="s">
        <v>102</v>
      </c>
      <c r="I15" s="2" t="s">
        <v>26</v>
      </c>
      <c r="J15" s="2" t="s">
        <v>27</v>
      </c>
      <c r="K15" s="2" t="s">
        <v>28</v>
      </c>
      <c r="L15" s="2" t="s">
        <v>103</v>
      </c>
      <c r="M15" s="2" t="s">
        <v>104</v>
      </c>
      <c r="N15" s="2" t="s">
        <v>31</v>
      </c>
      <c r="O15" s="2" t="s">
        <v>32</v>
      </c>
      <c r="P15" s="2" t="s">
        <v>33</v>
      </c>
      <c r="Q15" s="2" t="s">
        <v>34</v>
      </c>
    </row>
    <row r="16" spans="1:17" ht="20.100000000000001" customHeight="1">
      <c r="A16" t="s">
        <v>105</v>
      </c>
      <c r="B16" t="s">
        <v>23</v>
      </c>
      <c r="C16" s="2" t="s">
        <v>106</v>
      </c>
      <c r="D16" s="2" t="s">
        <v>99</v>
      </c>
      <c r="E16" s="2" t="s">
        <v>107</v>
      </c>
      <c r="F16" s="2" t="s">
        <v>23</v>
      </c>
      <c r="G16" s="2" t="s">
        <v>108</v>
      </c>
      <c r="H16" s="2" t="s">
        <v>109</v>
      </c>
      <c r="I16" s="2" t="s">
        <v>26</v>
      </c>
      <c r="J16" s="2" t="s">
        <v>27</v>
      </c>
      <c r="K16" s="2" t="s">
        <v>28</v>
      </c>
      <c r="L16" s="2" t="s">
        <v>110</v>
      </c>
      <c r="M16" s="2" t="s">
        <v>111</v>
      </c>
      <c r="N16" s="2" t="s">
        <v>31</v>
      </c>
      <c r="O16" s="2" t="s">
        <v>32</v>
      </c>
      <c r="P16" s="2" t="s">
        <v>33</v>
      </c>
      <c r="Q16" s="2" t="s">
        <v>112</v>
      </c>
    </row>
    <row r="17" spans="1:17" ht="20.100000000000001" customHeight="1">
      <c r="A17" t="s">
        <v>113</v>
      </c>
      <c r="B17" t="s">
        <v>23</v>
      </c>
      <c r="C17" s="2" t="s">
        <v>114</v>
      </c>
      <c r="D17" s="2" t="s">
        <v>99</v>
      </c>
      <c r="E17" s="2" t="s">
        <v>107</v>
      </c>
      <c r="F17" s="2" t="s">
        <v>23</v>
      </c>
      <c r="G17" s="2" t="s">
        <v>115</v>
      </c>
      <c r="H17" s="2" t="s">
        <v>116</v>
      </c>
      <c r="I17" s="2" t="s">
        <v>26</v>
      </c>
      <c r="J17" s="2" t="s">
        <v>27</v>
      </c>
      <c r="K17" s="2" t="s">
        <v>28</v>
      </c>
      <c r="L17" s="2" t="s">
        <v>117</v>
      </c>
      <c r="M17" s="2" t="s">
        <v>118</v>
      </c>
      <c r="N17" s="2" t="s">
        <v>31</v>
      </c>
      <c r="O17" s="2" t="s">
        <v>32</v>
      </c>
      <c r="P17" s="2" t="s">
        <v>33</v>
      </c>
      <c r="Q17" s="2" t="s">
        <v>112</v>
      </c>
    </row>
    <row r="18" spans="1:17" ht="20.100000000000001" customHeight="1">
      <c r="A18" t="s">
        <v>119</v>
      </c>
      <c r="B18" t="s">
        <v>23</v>
      </c>
      <c r="C18" s="2" t="s">
        <v>120</v>
      </c>
      <c r="D18" s="2" t="s">
        <v>99</v>
      </c>
      <c r="E18" s="2" t="s">
        <v>107</v>
      </c>
      <c r="F18" s="2" t="s">
        <v>23</v>
      </c>
      <c r="G18" s="2" t="s">
        <v>121</v>
      </c>
      <c r="H18" s="2" t="s">
        <v>122</v>
      </c>
      <c r="I18" s="2" t="s">
        <v>26</v>
      </c>
      <c r="J18" s="2" t="s">
        <v>27</v>
      </c>
      <c r="K18" s="2" t="s">
        <v>63</v>
      </c>
      <c r="L18" s="2" t="s">
        <v>123</v>
      </c>
      <c r="M18" s="2" t="s">
        <v>124</v>
      </c>
      <c r="N18" s="2" t="s">
        <v>31</v>
      </c>
      <c r="O18" s="2" t="s">
        <v>32</v>
      </c>
      <c r="P18" s="2" t="s">
        <v>33</v>
      </c>
      <c r="Q18" s="2" t="s">
        <v>112</v>
      </c>
    </row>
    <row r="19" spans="1:17" ht="20.100000000000001" customHeight="1">
      <c r="A19" t="s">
        <v>125</v>
      </c>
      <c r="B19" t="s">
        <v>23</v>
      </c>
      <c r="C19" s="2" t="s">
        <v>126</v>
      </c>
      <c r="D19" s="2" t="s">
        <v>99</v>
      </c>
      <c r="E19" s="2" t="s">
        <v>107</v>
      </c>
      <c r="F19" s="2" t="s">
        <v>23</v>
      </c>
      <c r="G19" s="2" t="s">
        <v>127</v>
      </c>
      <c r="H19" s="2" t="s">
        <v>128</v>
      </c>
      <c r="I19" s="2" t="s">
        <v>26</v>
      </c>
      <c r="J19" s="2" t="s">
        <v>27</v>
      </c>
      <c r="K19" s="2" t="s">
        <v>28</v>
      </c>
      <c r="L19" s="2" t="s">
        <v>129</v>
      </c>
      <c r="M19" s="2" t="s">
        <v>130</v>
      </c>
      <c r="N19" s="2" t="s">
        <v>31</v>
      </c>
      <c r="O19" s="2" t="s">
        <v>32</v>
      </c>
      <c r="P19" s="2" t="s">
        <v>33</v>
      </c>
      <c r="Q19" s="2" t="s">
        <v>112</v>
      </c>
    </row>
    <row r="20" spans="1:17" ht="20.100000000000001" customHeight="1">
      <c r="A20" t="s">
        <v>131</v>
      </c>
      <c r="B20" t="s">
        <v>132</v>
      </c>
      <c r="C20" s="2" t="s">
        <v>133</v>
      </c>
      <c r="D20" s="2" t="s">
        <v>99</v>
      </c>
      <c r="E20" s="2" t="s">
        <v>100</v>
      </c>
      <c r="F20" s="2" t="s">
        <v>134</v>
      </c>
      <c r="G20" s="2" t="s">
        <v>135</v>
      </c>
      <c r="H20" s="2" t="s">
        <v>136</v>
      </c>
      <c r="I20" s="2" t="s">
        <v>27</v>
      </c>
      <c r="J20" s="2" t="s">
        <v>27</v>
      </c>
      <c r="K20" s="2" t="s">
        <v>63</v>
      </c>
      <c r="L20" s="2" t="s">
        <v>137</v>
      </c>
      <c r="M20" s="2" t="s">
        <v>138</v>
      </c>
      <c r="N20" s="2" t="s">
        <v>31</v>
      </c>
      <c r="O20" s="2" t="s">
        <v>32</v>
      </c>
      <c r="P20" s="2" t="s">
        <v>33</v>
      </c>
      <c r="Q20" s="2" t="s">
        <v>139</v>
      </c>
    </row>
    <row r="21" spans="1:17" ht="20.100000000000001" customHeight="1">
      <c r="A21" t="s">
        <v>140</v>
      </c>
      <c r="B21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  <c r="H21" s="2" t="s">
        <v>147</v>
      </c>
      <c r="I21" s="2" t="s">
        <v>26</v>
      </c>
      <c r="J21" s="2" t="s">
        <v>27</v>
      </c>
      <c r="K21" s="2" t="s">
        <v>28</v>
      </c>
      <c r="L21" s="2" t="s">
        <v>148</v>
      </c>
      <c r="M21" s="2" t="s">
        <v>149</v>
      </c>
      <c r="N21" s="2" t="s">
        <v>31</v>
      </c>
      <c r="O21" s="2" t="s">
        <v>32</v>
      </c>
      <c r="P21" s="2" t="s">
        <v>33</v>
      </c>
      <c r="Q21" s="2" t="s">
        <v>150</v>
      </c>
    </row>
    <row r="22" spans="1:17" ht="20.100000000000001" customHeight="1">
      <c r="A22" t="s">
        <v>151</v>
      </c>
      <c r="B22" t="s">
        <v>141</v>
      </c>
      <c r="C22" s="2" t="s">
        <v>152</v>
      </c>
      <c r="D22" s="2" t="s">
        <v>99</v>
      </c>
      <c r="E22" s="2" t="s">
        <v>100</v>
      </c>
      <c r="F22" s="2" t="s">
        <v>23</v>
      </c>
      <c r="G22" s="2" t="s">
        <v>153</v>
      </c>
      <c r="H22" s="2" t="s">
        <v>154</v>
      </c>
      <c r="I22" s="2" t="s">
        <v>26</v>
      </c>
      <c r="J22" s="2" t="s">
        <v>27</v>
      </c>
      <c r="K22" s="2" t="s">
        <v>28</v>
      </c>
      <c r="L22" s="2" t="s">
        <v>155</v>
      </c>
      <c r="M22" s="2" t="s">
        <v>156</v>
      </c>
      <c r="N22" s="2" t="s">
        <v>31</v>
      </c>
      <c r="O22" s="2" t="s">
        <v>32</v>
      </c>
      <c r="P22" s="2" t="s">
        <v>33</v>
      </c>
      <c r="Q22" s="2" t="s">
        <v>150</v>
      </c>
    </row>
    <row r="23" spans="1:17" ht="20.100000000000001" customHeight="1">
      <c r="A23" t="s">
        <v>157</v>
      </c>
      <c r="B23" t="s">
        <v>141</v>
      </c>
      <c r="C23" s="2" t="s">
        <v>158</v>
      </c>
      <c r="D23" s="2" t="s">
        <v>143</v>
      </c>
      <c r="E23" s="2" t="s">
        <v>144</v>
      </c>
      <c r="F23" s="2" t="s">
        <v>159</v>
      </c>
      <c r="G23" s="2" t="s">
        <v>160</v>
      </c>
      <c r="H23" s="2" t="s">
        <v>161</v>
      </c>
      <c r="I23" s="2" t="s">
        <v>26</v>
      </c>
      <c r="J23" s="2" t="s">
        <v>70</v>
      </c>
      <c r="K23" s="2" t="s">
        <v>81</v>
      </c>
      <c r="L23" s="2" t="s">
        <v>162</v>
      </c>
      <c r="M23" s="2" t="s">
        <v>163</v>
      </c>
      <c r="N23" s="2" t="s">
        <v>74</v>
      </c>
      <c r="O23" s="2" t="s">
        <v>32</v>
      </c>
      <c r="P23" s="2" t="s">
        <v>33</v>
      </c>
      <c r="Q23" s="2" t="s">
        <v>150</v>
      </c>
    </row>
    <row r="24" spans="1:17" ht="20.100000000000001" customHeight="1">
      <c r="A24" t="s">
        <v>164</v>
      </c>
      <c r="B24" t="s">
        <v>141</v>
      </c>
      <c r="C24" s="2" t="s">
        <v>165</v>
      </c>
      <c r="D24" s="2" t="s">
        <v>166</v>
      </c>
      <c r="E24" s="2" t="s">
        <v>167</v>
      </c>
      <c r="F24" s="2" t="s">
        <v>159</v>
      </c>
      <c r="G24" s="2" t="s">
        <v>168</v>
      </c>
      <c r="H24" s="2" t="s">
        <v>169</v>
      </c>
      <c r="I24" s="2" t="s">
        <v>26</v>
      </c>
      <c r="J24" s="2" t="s">
        <v>27</v>
      </c>
      <c r="K24" s="2" t="s">
        <v>71</v>
      </c>
      <c r="L24" s="2" t="s">
        <v>170</v>
      </c>
      <c r="M24" s="2" t="s">
        <v>171</v>
      </c>
      <c r="N24" s="2" t="s">
        <v>31</v>
      </c>
      <c r="O24" s="2" t="s">
        <v>32</v>
      </c>
      <c r="P24" s="2" t="s">
        <v>33</v>
      </c>
      <c r="Q24" s="2" t="s">
        <v>150</v>
      </c>
    </row>
    <row r="25" spans="1:17" ht="20.100000000000001" customHeight="1">
      <c r="A25" t="s">
        <v>172</v>
      </c>
      <c r="B25" t="s">
        <v>141</v>
      </c>
      <c r="C25" s="2" t="s">
        <v>173</v>
      </c>
      <c r="D25" s="2" t="s">
        <v>174</v>
      </c>
      <c r="E25" s="2" t="s">
        <v>167</v>
      </c>
      <c r="F25" s="2" t="s">
        <v>23</v>
      </c>
      <c r="G25" s="2" t="s">
        <v>175</v>
      </c>
      <c r="H25" s="2" t="s">
        <v>176</v>
      </c>
      <c r="I25" s="2" t="s">
        <v>26</v>
      </c>
      <c r="J25" s="2" t="s">
        <v>27</v>
      </c>
      <c r="K25" s="2" t="s">
        <v>63</v>
      </c>
      <c r="L25" s="2" t="s">
        <v>177</v>
      </c>
      <c r="M25" s="2" t="s">
        <v>178</v>
      </c>
      <c r="N25" s="2" t="s">
        <v>31</v>
      </c>
      <c r="O25" s="2" t="s">
        <v>32</v>
      </c>
      <c r="P25" s="2" t="s">
        <v>33</v>
      </c>
      <c r="Q25" s="2" t="s">
        <v>150</v>
      </c>
    </row>
    <row r="26" spans="1:17" ht="20.100000000000001" customHeight="1">
      <c r="A26" t="s">
        <v>179</v>
      </c>
      <c r="B26" t="s">
        <v>141</v>
      </c>
      <c r="C26" s="2" t="s">
        <v>180</v>
      </c>
      <c r="D26" s="2" t="s">
        <v>181</v>
      </c>
      <c r="E26" s="2" t="s">
        <v>144</v>
      </c>
      <c r="F26" s="2" t="s">
        <v>182</v>
      </c>
      <c r="G26" s="2" t="s">
        <v>183</v>
      </c>
      <c r="H26" s="2" t="s">
        <v>184</v>
      </c>
      <c r="I26" s="2" t="s">
        <v>26</v>
      </c>
      <c r="J26" s="2" t="s">
        <v>27</v>
      </c>
      <c r="K26" s="2" t="s">
        <v>55</v>
      </c>
      <c r="L26" s="2" t="s">
        <v>185</v>
      </c>
      <c r="M26" s="2" t="s">
        <v>186</v>
      </c>
      <c r="N26" s="2" t="s">
        <v>31</v>
      </c>
      <c r="O26" s="2" t="s">
        <v>32</v>
      </c>
      <c r="P26" s="2" t="s">
        <v>33</v>
      </c>
      <c r="Q26" s="2" t="s">
        <v>150</v>
      </c>
    </row>
    <row r="27" spans="1:17" ht="20.100000000000001" customHeight="1">
      <c r="A27" t="s">
        <v>187</v>
      </c>
      <c r="B27" t="s">
        <v>141</v>
      </c>
      <c r="C27" s="2" t="s">
        <v>188</v>
      </c>
      <c r="D27" s="2" t="s">
        <v>189</v>
      </c>
      <c r="E27" s="2" t="s">
        <v>190</v>
      </c>
      <c r="F27" s="2" t="s">
        <v>191</v>
      </c>
      <c r="G27" s="2" t="s">
        <v>192</v>
      </c>
      <c r="H27" s="2" t="s">
        <v>193</v>
      </c>
      <c r="I27" s="2" t="s">
        <v>26</v>
      </c>
      <c r="J27" s="2" t="s">
        <v>27</v>
      </c>
      <c r="K27" s="2" t="s">
        <v>55</v>
      </c>
      <c r="L27" s="2" t="s">
        <v>194</v>
      </c>
      <c r="M27" s="2" t="s">
        <v>195</v>
      </c>
      <c r="N27" s="2" t="s">
        <v>31</v>
      </c>
      <c r="O27" s="2" t="s">
        <v>32</v>
      </c>
      <c r="P27" s="2" t="s">
        <v>33</v>
      </c>
      <c r="Q27" s="2" t="s">
        <v>150</v>
      </c>
    </row>
    <row r="28" spans="1:17" ht="20.100000000000001" customHeight="1">
      <c r="A28" t="s">
        <v>196</v>
      </c>
      <c r="B28" t="s">
        <v>197</v>
      </c>
      <c r="C28" s="2" t="s">
        <v>198</v>
      </c>
      <c r="D28" s="2" t="s">
        <v>199</v>
      </c>
      <c r="E28" s="2" t="s">
        <v>200</v>
      </c>
      <c r="F28" s="2" t="s">
        <v>134</v>
      </c>
      <c r="G28" s="2" t="s">
        <v>201</v>
      </c>
      <c r="H28" s="2" t="s">
        <v>202</v>
      </c>
      <c r="I28" s="2" t="s">
        <v>26</v>
      </c>
      <c r="J28" s="2" t="s">
        <v>27</v>
      </c>
      <c r="K28" s="2" t="s">
        <v>28</v>
      </c>
      <c r="L28" s="2" t="s">
        <v>203</v>
      </c>
      <c r="M28" s="2" t="s">
        <v>204</v>
      </c>
      <c r="N28" s="2" t="s">
        <v>31</v>
      </c>
      <c r="O28" s="2" t="s">
        <v>32</v>
      </c>
      <c r="P28" s="2" t="s">
        <v>33</v>
      </c>
      <c r="Q28" s="2" t="s">
        <v>205</v>
      </c>
    </row>
    <row r="29" spans="1:17" ht="20.100000000000001" customHeight="1">
      <c r="A29" t="s">
        <v>206</v>
      </c>
      <c r="B29" t="s">
        <v>197</v>
      </c>
      <c r="C29" s="2" t="s">
        <v>207</v>
      </c>
      <c r="D29" s="2" t="s">
        <v>60</v>
      </c>
      <c r="E29" s="2" t="s">
        <v>22</v>
      </c>
      <c r="F29" s="2" t="s">
        <v>23</v>
      </c>
      <c r="G29" s="2" t="s">
        <v>208</v>
      </c>
      <c r="H29" s="2" t="s">
        <v>209</v>
      </c>
      <c r="I29" s="2" t="s">
        <v>26</v>
      </c>
      <c r="J29" s="2" t="s">
        <v>27</v>
      </c>
      <c r="K29" s="2" t="s">
        <v>28</v>
      </c>
      <c r="L29" s="2" t="s">
        <v>210</v>
      </c>
      <c r="M29" s="2" t="s">
        <v>211</v>
      </c>
      <c r="N29" s="2" t="s">
        <v>31</v>
      </c>
      <c r="O29" s="2" t="s">
        <v>32</v>
      </c>
      <c r="P29" s="2" t="s">
        <v>33</v>
      </c>
      <c r="Q29" s="2" t="s">
        <v>205</v>
      </c>
    </row>
    <row r="30" spans="1:17" ht="20.100000000000001" customHeight="1">
      <c r="A30" t="s">
        <v>212</v>
      </c>
      <c r="B30" t="s">
        <v>197</v>
      </c>
      <c r="C30" s="2" t="s">
        <v>213</v>
      </c>
      <c r="D30" s="2" t="s">
        <v>77</v>
      </c>
      <c r="E30" s="2" t="s">
        <v>214</v>
      </c>
      <c r="F30" s="2" t="s">
        <v>23</v>
      </c>
      <c r="G30" s="2" t="s">
        <v>215</v>
      </c>
      <c r="H30" s="2" t="s">
        <v>216</v>
      </c>
      <c r="I30" s="2" t="s">
        <v>27</v>
      </c>
      <c r="J30" s="2" t="s">
        <v>70</v>
      </c>
      <c r="K30" s="2" t="s">
        <v>63</v>
      </c>
      <c r="L30" s="2" t="s">
        <v>217</v>
      </c>
      <c r="M30" s="2" t="s">
        <v>218</v>
      </c>
      <c r="N30" s="2" t="s">
        <v>74</v>
      </c>
      <c r="O30" s="2" t="s">
        <v>32</v>
      </c>
      <c r="P30" s="2" t="s">
        <v>33</v>
      </c>
      <c r="Q30" s="2" t="s">
        <v>205</v>
      </c>
    </row>
    <row r="31" spans="1:17" ht="20.100000000000001" customHeight="1">
      <c r="A31" t="s">
        <v>219</v>
      </c>
      <c r="B31" t="s">
        <v>197</v>
      </c>
      <c r="C31" s="2" t="s">
        <v>220</v>
      </c>
      <c r="D31" s="2" t="s">
        <v>221</v>
      </c>
      <c r="E31" s="2" t="s">
        <v>222</v>
      </c>
      <c r="F31" s="2" t="s">
        <v>223</v>
      </c>
      <c r="G31" s="2" t="s">
        <v>224</v>
      </c>
      <c r="H31" s="2" t="s">
        <v>225</v>
      </c>
      <c r="I31" s="2" t="s">
        <v>26</v>
      </c>
      <c r="J31" s="2" t="s">
        <v>70</v>
      </c>
      <c r="K31" s="2" t="s">
        <v>71</v>
      </c>
      <c r="L31" s="2" t="s">
        <v>226</v>
      </c>
      <c r="M31" s="2" t="s">
        <v>227</v>
      </c>
      <c r="N31" s="2" t="s">
        <v>74</v>
      </c>
      <c r="O31" s="2" t="s">
        <v>32</v>
      </c>
      <c r="P31" s="2" t="s">
        <v>33</v>
      </c>
      <c r="Q31" s="2" t="s">
        <v>205</v>
      </c>
    </row>
    <row r="32" spans="1:17" ht="20.100000000000001" customHeight="1">
      <c r="A32" t="s">
        <v>228</v>
      </c>
      <c r="B32" t="s">
        <v>197</v>
      </c>
      <c r="C32" s="2" t="s">
        <v>229</v>
      </c>
      <c r="D32" s="2" t="s">
        <v>221</v>
      </c>
      <c r="E32" s="2" t="s">
        <v>222</v>
      </c>
      <c r="F32" s="2" t="s">
        <v>182</v>
      </c>
      <c r="G32" s="2" t="s">
        <v>230</v>
      </c>
      <c r="H32" s="2" t="s">
        <v>231</v>
      </c>
      <c r="I32" s="2" t="s">
        <v>26</v>
      </c>
      <c r="J32" s="2" t="s">
        <v>27</v>
      </c>
      <c r="K32" s="2" t="s">
        <v>55</v>
      </c>
      <c r="L32" s="2" t="s">
        <v>232</v>
      </c>
      <c r="M32" s="2" t="s">
        <v>233</v>
      </c>
      <c r="N32" s="2" t="s">
        <v>31</v>
      </c>
      <c r="O32" s="2" t="s">
        <v>32</v>
      </c>
      <c r="P32" s="2" t="s">
        <v>33</v>
      </c>
      <c r="Q32" s="2" t="s">
        <v>205</v>
      </c>
    </row>
    <row r="33" spans="1:17" ht="20.100000000000001" customHeight="1">
      <c r="A33" t="s">
        <v>234</v>
      </c>
      <c r="B33" t="s">
        <v>197</v>
      </c>
      <c r="C33" s="2" t="s">
        <v>235</v>
      </c>
      <c r="D33" s="2" t="s">
        <v>236</v>
      </c>
      <c r="E33" s="2" t="s">
        <v>237</v>
      </c>
      <c r="F33" s="2" t="s">
        <v>238</v>
      </c>
      <c r="G33" s="2" t="s">
        <v>239</v>
      </c>
      <c r="H33" s="2" t="s">
        <v>240</v>
      </c>
      <c r="I33" s="2" t="s">
        <v>26</v>
      </c>
      <c r="J33" s="2" t="s">
        <v>27</v>
      </c>
      <c r="K33" s="2" t="s">
        <v>55</v>
      </c>
      <c r="L33" s="2" t="s">
        <v>241</v>
      </c>
      <c r="M33" s="2" t="s">
        <v>233</v>
      </c>
      <c r="N33" s="2" t="s">
        <v>31</v>
      </c>
      <c r="O33" s="2" t="s">
        <v>32</v>
      </c>
      <c r="P33" s="2" t="s">
        <v>33</v>
      </c>
      <c r="Q33" s="2" t="s">
        <v>205</v>
      </c>
    </row>
    <row r="34" spans="1:17" ht="20.100000000000001" customHeight="1">
      <c r="A34" t="s">
        <v>242</v>
      </c>
      <c r="B34" t="s">
        <v>197</v>
      </c>
      <c r="C34" s="2" t="s">
        <v>243</v>
      </c>
      <c r="D34" s="2" t="s">
        <v>143</v>
      </c>
      <c r="E34" s="2" t="s">
        <v>144</v>
      </c>
      <c r="F34" s="2" t="s">
        <v>23</v>
      </c>
      <c r="G34" s="2" t="s">
        <v>244</v>
      </c>
      <c r="H34" s="2" t="s">
        <v>245</v>
      </c>
      <c r="I34" s="2" t="s">
        <v>26</v>
      </c>
      <c r="J34" s="2" t="s">
        <v>27</v>
      </c>
      <c r="K34" s="2" t="s">
        <v>28</v>
      </c>
      <c r="L34" s="2" t="s">
        <v>246</v>
      </c>
      <c r="M34" s="2" t="s">
        <v>247</v>
      </c>
      <c r="N34" s="2" t="s">
        <v>31</v>
      </c>
      <c r="O34" s="2" t="s">
        <v>32</v>
      </c>
      <c r="P34" s="2" t="s">
        <v>33</v>
      </c>
      <c r="Q34" s="2" t="s">
        <v>205</v>
      </c>
    </row>
    <row r="35" spans="1:17" ht="20.100000000000001" customHeight="1">
      <c r="A35" t="s">
        <v>248</v>
      </c>
      <c r="B35" t="s">
        <v>197</v>
      </c>
      <c r="C35" s="2" t="s">
        <v>249</v>
      </c>
      <c r="D35" s="2" t="s">
        <v>166</v>
      </c>
      <c r="E35" s="2" t="s">
        <v>167</v>
      </c>
      <c r="F35" s="2" t="s">
        <v>23</v>
      </c>
      <c r="G35" s="2" t="s">
        <v>250</v>
      </c>
      <c r="H35" s="2" t="s">
        <v>251</v>
      </c>
      <c r="I35" s="2" t="s">
        <v>27</v>
      </c>
      <c r="J35" s="2" t="s">
        <v>27</v>
      </c>
      <c r="K35" s="2" t="s">
        <v>63</v>
      </c>
      <c r="L35" s="2" t="s">
        <v>252</v>
      </c>
      <c r="M35" s="2" t="s">
        <v>253</v>
      </c>
      <c r="N35" s="2" t="s">
        <v>31</v>
      </c>
      <c r="O35" s="2" t="s">
        <v>32</v>
      </c>
      <c r="P35" s="2" t="s">
        <v>33</v>
      </c>
      <c r="Q35" s="2" t="s">
        <v>205</v>
      </c>
    </row>
    <row r="36" spans="1:17" ht="20.100000000000001" customHeight="1">
      <c r="A36" t="s">
        <v>254</v>
      </c>
      <c r="B36" t="s">
        <v>255</v>
      </c>
      <c r="C36" s="2" t="s">
        <v>256</v>
      </c>
      <c r="D36" s="2" t="s">
        <v>60</v>
      </c>
      <c r="E36" s="2" t="s">
        <v>22</v>
      </c>
      <c r="F36" s="2" t="s">
        <v>257</v>
      </c>
      <c r="G36" s="2" t="s">
        <v>258</v>
      </c>
      <c r="H36" s="2" t="s">
        <v>259</v>
      </c>
      <c r="I36" s="2" t="s">
        <v>26</v>
      </c>
      <c r="J36" s="2" t="s">
        <v>27</v>
      </c>
      <c r="K36" s="2" t="s">
        <v>28</v>
      </c>
      <c r="L36" s="2" t="s">
        <v>260</v>
      </c>
      <c r="M36" s="2" t="s">
        <v>261</v>
      </c>
      <c r="N36" s="2" t="s">
        <v>31</v>
      </c>
      <c r="O36" s="2" t="s">
        <v>32</v>
      </c>
      <c r="P36" s="2" t="s">
        <v>33</v>
      </c>
      <c r="Q36" s="2" t="s">
        <v>262</v>
      </c>
    </row>
    <row r="37" spans="1:17" ht="20.100000000000001" customHeight="1">
      <c r="A37" t="s">
        <v>263</v>
      </c>
      <c r="B37" t="s">
        <v>255</v>
      </c>
      <c r="C37" s="2" t="s">
        <v>264</v>
      </c>
      <c r="D37" s="2" t="s">
        <v>60</v>
      </c>
      <c r="E37" s="2" t="s">
        <v>265</v>
      </c>
      <c r="F37" s="2" t="s">
        <v>257</v>
      </c>
      <c r="G37" s="2" t="s">
        <v>266</v>
      </c>
      <c r="H37" s="2" t="s">
        <v>267</v>
      </c>
      <c r="I37" s="2" t="s">
        <v>26</v>
      </c>
      <c r="J37" s="2" t="s">
        <v>27</v>
      </c>
      <c r="K37" s="2" t="s">
        <v>28</v>
      </c>
      <c r="L37" s="2" t="s">
        <v>268</v>
      </c>
      <c r="M37" s="2" t="s">
        <v>269</v>
      </c>
      <c r="N37" s="2" t="s">
        <v>31</v>
      </c>
      <c r="O37" s="2" t="s">
        <v>32</v>
      </c>
      <c r="P37" s="2" t="s">
        <v>33</v>
      </c>
      <c r="Q37" s="2" t="s">
        <v>262</v>
      </c>
    </row>
    <row r="38" spans="1:17" ht="20.100000000000001" customHeight="1">
      <c r="A38" t="s">
        <v>270</v>
      </c>
      <c r="B38" t="s">
        <v>255</v>
      </c>
      <c r="C38" s="2" t="s">
        <v>271</v>
      </c>
      <c r="D38" s="2" t="s">
        <v>272</v>
      </c>
      <c r="E38" s="2" t="s">
        <v>273</v>
      </c>
      <c r="F38" s="2" t="s">
        <v>257</v>
      </c>
      <c r="G38" s="2" t="s">
        <v>274</v>
      </c>
      <c r="H38" s="2" t="s">
        <v>275</v>
      </c>
      <c r="I38" s="2" t="s">
        <v>26</v>
      </c>
      <c r="J38" s="2" t="s">
        <v>70</v>
      </c>
      <c r="K38" s="2" t="s">
        <v>71</v>
      </c>
      <c r="L38" s="2" t="s">
        <v>276</v>
      </c>
      <c r="M38" s="2" t="s">
        <v>277</v>
      </c>
      <c r="N38" s="2" t="s">
        <v>74</v>
      </c>
      <c r="O38" s="2" t="s">
        <v>32</v>
      </c>
      <c r="P38" s="2" t="s">
        <v>33</v>
      </c>
      <c r="Q38" s="2" t="s">
        <v>262</v>
      </c>
    </row>
    <row r="39" spans="1:17" ht="20.100000000000001" customHeight="1">
      <c r="A39" t="s">
        <v>278</v>
      </c>
      <c r="B39" t="s">
        <v>255</v>
      </c>
      <c r="C39" s="2" t="s">
        <v>279</v>
      </c>
      <c r="D39" s="2" t="s">
        <v>280</v>
      </c>
      <c r="E39" s="2" t="s">
        <v>281</v>
      </c>
      <c r="F39" s="2" t="s">
        <v>282</v>
      </c>
      <c r="G39" s="2" t="s">
        <v>283</v>
      </c>
      <c r="H39" s="2" t="s">
        <v>284</v>
      </c>
      <c r="I39" s="2" t="s">
        <v>26</v>
      </c>
      <c r="J39" s="2" t="s">
        <v>27</v>
      </c>
      <c r="K39" s="2" t="s">
        <v>55</v>
      </c>
      <c r="L39" s="2" t="s">
        <v>285</v>
      </c>
      <c r="M39" s="2" t="s">
        <v>233</v>
      </c>
      <c r="N39" s="2" t="s">
        <v>31</v>
      </c>
      <c r="O39" s="2" t="s">
        <v>32</v>
      </c>
      <c r="P39" s="2" t="s">
        <v>33</v>
      </c>
      <c r="Q39" s="2" t="s">
        <v>262</v>
      </c>
    </row>
    <row r="40" spans="1:17" ht="20.100000000000001" customHeight="1">
      <c r="A40" t="s">
        <v>286</v>
      </c>
      <c r="B40" t="s">
        <v>255</v>
      </c>
      <c r="C40" s="2" t="s">
        <v>287</v>
      </c>
      <c r="D40" s="2" t="s">
        <v>199</v>
      </c>
      <c r="E40" s="2" t="s">
        <v>200</v>
      </c>
      <c r="F40" s="2" t="s">
        <v>288</v>
      </c>
      <c r="G40" s="2" t="s">
        <v>289</v>
      </c>
      <c r="H40" s="2" t="s">
        <v>290</v>
      </c>
      <c r="I40" s="2" t="s">
        <v>27</v>
      </c>
      <c r="J40" s="2" t="s">
        <v>27</v>
      </c>
      <c r="K40" s="2" t="s">
        <v>63</v>
      </c>
      <c r="L40" s="2" t="s">
        <v>291</v>
      </c>
      <c r="M40" s="2" t="s">
        <v>292</v>
      </c>
      <c r="N40" s="2" t="s">
        <v>31</v>
      </c>
      <c r="O40" s="2" t="s">
        <v>32</v>
      </c>
      <c r="P40" s="2" t="s">
        <v>33</v>
      </c>
      <c r="Q40" s="2" t="s">
        <v>262</v>
      </c>
    </row>
    <row r="41" spans="1:17" ht="20.100000000000001" customHeight="1">
      <c r="A41" t="s">
        <v>293</v>
      </c>
      <c r="B41" t="s">
        <v>294</v>
      </c>
      <c r="C41" s="2" t="s">
        <v>295</v>
      </c>
      <c r="D41" s="2" t="s">
        <v>296</v>
      </c>
      <c r="E41" s="2" t="s">
        <v>200</v>
      </c>
      <c r="F41" s="2" t="s">
        <v>23</v>
      </c>
      <c r="G41" s="2" t="s">
        <v>297</v>
      </c>
      <c r="H41" s="2" t="s">
        <v>298</v>
      </c>
      <c r="I41" s="2" t="s">
        <v>26</v>
      </c>
      <c r="J41" s="2" t="s">
        <v>27</v>
      </c>
      <c r="K41" s="2" t="s">
        <v>28</v>
      </c>
      <c r="L41" s="2" t="s">
        <v>299</v>
      </c>
      <c r="M41" s="2" t="s">
        <v>300</v>
      </c>
      <c r="N41" s="2" t="s">
        <v>31</v>
      </c>
      <c r="O41" s="2" t="s">
        <v>32</v>
      </c>
      <c r="P41" s="2" t="s">
        <v>33</v>
      </c>
      <c r="Q41" s="2" t="s">
        <v>301</v>
      </c>
    </row>
    <row r="42" spans="1:17" ht="20.100000000000001" customHeight="1">
      <c r="A42" t="s">
        <v>302</v>
      </c>
      <c r="B42" t="s">
        <v>294</v>
      </c>
      <c r="C42" s="2" t="s">
        <v>303</v>
      </c>
      <c r="D42" s="2" t="s">
        <v>60</v>
      </c>
      <c r="E42" s="2" t="s">
        <v>22</v>
      </c>
      <c r="F42" s="2" t="s">
        <v>23</v>
      </c>
      <c r="G42" s="2" t="s">
        <v>304</v>
      </c>
      <c r="H42" s="2" t="s">
        <v>305</v>
      </c>
      <c r="I42" s="2" t="s">
        <v>26</v>
      </c>
      <c r="J42" s="2" t="s">
        <v>27</v>
      </c>
      <c r="K42" s="2" t="s">
        <v>63</v>
      </c>
      <c r="L42" s="2" t="s">
        <v>306</v>
      </c>
      <c r="M42" s="2" t="s">
        <v>307</v>
      </c>
      <c r="N42" s="2" t="s">
        <v>31</v>
      </c>
      <c r="O42" s="2" t="s">
        <v>32</v>
      </c>
      <c r="P42" s="2" t="s">
        <v>33</v>
      </c>
      <c r="Q42" s="2" t="s">
        <v>301</v>
      </c>
    </row>
    <row r="43" spans="1:17" ht="20.100000000000001" customHeight="1">
      <c r="A43" t="s">
        <v>308</v>
      </c>
      <c r="B43" t="s">
        <v>294</v>
      </c>
      <c r="C43" s="2" t="s">
        <v>309</v>
      </c>
      <c r="D43" s="2" t="s">
        <v>310</v>
      </c>
      <c r="E43" s="2" t="s">
        <v>311</v>
      </c>
      <c r="F43" s="2" t="s">
        <v>23</v>
      </c>
      <c r="G43" s="2" t="s">
        <v>312</v>
      </c>
      <c r="H43" s="2" t="s">
        <v>313</v>
      </c>
      <c r="I43" s="2" t="s">
        <v>27</v>
      </c>
      <c r="J43" s="2" t="s">
        <v>27</v>
      </c>
      <c r="K43" s="2" t="s">
        <v>63</v>
      </c>
      <c r="L43" s="2" t="s">
        <v>314</v>
      </c>
      <c r="M43" s="2" t="s">
        <v>307</v>
      </c>
      <c r="N43" s="2" t="s">
        <v>31</v>
      </c>
      <c r="O43" s="2" t="s">
        <v>32</v>
      </c>
      <c r="P43" s="2" t="s">
        <v>33</v>
      </c>
      <c r="Q43" s="2" t="s">
        <v>301</v>
      </c>
    </row>
    <row r="44" spans="1:17" ht="20.100000000000001" customHeight="1">
      <c r="A44" t="s">
        <v>315</v>
      </c>
      <c r="B44" t="s">
        <v>294</v>
      </c>
      <c r="C44" s="2" t="s">
        <v>316</v>
      </c>
      <c r="D44" s="2" t="s">
        <v>317</v>
      </c>
      <c r="E44" s="2" t="s">
        <v>281</v>
      </c>
      <c r="F44" s="2" t="s">
        <v>318</v>
      </c>
      <c r="G44" s="2" t="s">
        <v>283</v>
      </c>
      <c r="H44" s="2" t="s">
        <v>319</v>
      </c>
      <c r="I44" s="2" t="s">
        <v>26</v>
      </c>
      <c r="J44" s="2" t="s">
        <v>27</v>
      </c>
      <c r="K44" s="2" t="s">
        <v>55</v>
      </c>
      <c r="L44" s="2" t="s">
        <v>320</v>
      </c>
      <c r="M44" s="2" t="s">
        <v>321</v>
      </c>
      <c r="N44" s="2" t="s">
        <v>31</v>
      </c>
      <c r="O44" s="2" t="s">
        <v>32</v>
      </c>
      <c r="P44" s="2" t="s">
        <v>33</v>
      </c>
      <c r="Q44" s="2" t="s">
        <v>301</v>
      </c>
    </row>
    <row r="45" spans="1:17" ht="20.100000000000001" customHeight="1">
      <c r="A45" t="s">
        <v>322</v>
      </c>
      <c r="B45" t="s">
        <v>323</v>
      </c>
      <c r="C45" s="2" t="s">
        <v>324</v>
      </c>
      <c r="D45" s="2" t="s">
        <v>166</v>
      </c>
      <c r="E45" s="2" t="s">
        <v>167</v>
      </c>
      <c r="F45" s="2" t="s">
        <v>23</v>
      </c>
      <c r="G45" s="2" t="s">
        <v>325</v>
      </c>
      <c r="H45" s="2" t="s">
        <v>326</v>
      </c>
      <c r="I45" s="2" t="s">
        <v>26</v>
      </c>
      <c r="J45" s="2" t="s">
        <v>27</v>
      </c>
      <c r="K45" s="2" t="s">
        <v>28</v>
      </c>
      <c r="L45" s="2" t="s">
        <v>327</v>
      </c>
      <c r="M45" s="2" t="s">
        <v>328</v>
      </c>
      <c r="N45" s="2" t="s">
        <v>31</v>
      </c>
      <c r="O45" s="2" t="s">
        <v>32</v>
      </c>
      <c r="P45" s="2" t="s">
        <v>33</v>
      </c>
      <c r="Q45" s="2" t="s">
        <v>329</v>
      </c>
    </row>
    <row r="46" spans="1:17" ht="20.100000000000001" customHeight="1">
      <c r="A46" t="s">
        <v>330</v>
      </c>
      <c r="B46" t="s">
        <v>323</v>
      </c>
      <c r="C46" s="2" t="s">
        <v>331</v>
      </c>
      <c r="D46" s="2" t="s">
        <v>332</v>
      </c>
      <c r="E46" s="2" t="s">
        <v>333</v>
      </c>
      <c r="F46" s="2" t="s">
        <v>159</v>
      </c>
      <c r="G46" s="2" t="s">
        <v>334</v>
      </c>
      <c r="H46" s="2" t="s">
        <v>335</v>
      </c>
      <c r="I46" s="2" t="s">
        <v>26</v>
      </c>
      <c r="J46" s="2" t="s">
        <v>70</v>
      </c>
      <c r="K46" s="2" t="s">
        <v>71</v>
      </c>
      <c r="L46" s="2" t="s">
        <v>336</v>
      </c>
      <c r="M46" s="2" t="s">
        <v>337</v>
      </c>
      <c r="N46" s="2" t="s">
        <v>74</v>
      </c>
      <c r="O46" s="2" t="s">
        <v>32</v>
      </c>
      <c r="P46" s="2" t="s">
        <v>33</v>
      </c>
      <c r="Q46" s="2" t="s">
        <v>329</v>
      </c>
    </row>
    <row r="47" spans="1:17" ht="20.100000000000001" customHeight="1">
      <c r="A47" t="s">
        <v>338</v>
      </c>
      <c r="B47" t="s">
        <v>339</v>
      </c>
      <c r="C47" s="2" t="s">
        <v>340</v>
      </c>
      <c r="D47" s="2" t="s">
        <v>272</v>
      </c>
      <c r="E47" s="2" t="s">
        <v>273</v>
      </c>
      <c r="F47" s="2" t="s">
        <v>159</v>
      </c>
      <c r="G47" s="2" t="s">
        <v>341</v>
      </c>
      <c r="H47" s="2" t="s">
        <v>342</v>
      </c>
      <c r="I47" s="2" t="s">
        <v>27</v>
      </c>
      <c r="J47" s="2" t="s">
        <v>70</v>
      </c>
      <c r="K47" s="2" t="s">
        <v>71</v>
      </c>
      <c r="L47" s="2" t="s">
        <v>343</v>
      </c>
      <c r="M47" s="2" t="s">
        <v>344</v>
      </c>
      <c r="N47" s="2" t="s">
        <v>74</v>
      </c>
      <c r="O47" s="2" t="s">
        <v>32</v>
      </c>
      <c r="P47" s="2" t="s">
        <v>33</v>
      </c>
      <c r="Q47" s="2" t="s">
        <v>329</v>
      </c>
    </row>
    <row r="48" spans="1:17" ht="20.100000000000001" customHeight="1">
      <c r="A48" t="s">
        <v>345</v>
      </c>
      <c r="B48" t="s">
        <v>339</v>
      </c>
      <c r="C48" s="2" t="s">
        <v>346</v>
      </c>
      <c r="D48" s="2" t="s">
        <v>272</v>
      </c>
      <c r="E48" s="2" t="s">
        <v>273</v>
      </c>
      <c r="F48" s="2" t="s">
        <v>159</v>
      </c>
      <c r="G48" s="2" t="s">
        <v>341</v>
      </c>
      <c r="H48" s="2" t="s">
        <v>347</v>
      </c>
      <c r="I48" s="2" t="s">
        <v>26</v>
      </c>
      <c r="J48" s="2" t="s">
        <v>70</v>
      </c>
      <c r="K48" s="2" t="s">
        <v>71</v>
      </c>
      <c r="L48" s="2" t="s">
        <v>348</v>
      </c>
      <c r="M48" s="2" t="s">
        <v>349</v>
      </c>
      <c r="N48" s="2" t="s">
        <v>74</v>
      </c>
      <c r="O48" s="2" t="s">
        <v>32</v>
      </c>
      <c r="P48" s="2" t="s">
        <v>33</v>
      </c>
      <c r="Q48" s="2" t="s">
        <v>329</v>
      </c>
    </row>
    <row r="49" spans="1:17" ht="20.100000000000001" customHeight="1">
      <c r="A49" t="s">
        <v>350</v>
      </c>
      <c r="B49" t="s">
        <v>339</v>
      </c>
      <c r="C49" s="2" t="s">
        <v>351</v>
      </c>
      <c r="D49" s="2" t="s">
        <v>352</v>
      </c>
      <c r="E49" s="2" t="s">
        <v>22</v>
      </c>
      <c r="F49" s="2" t="s">
        <v>23</v>
      </c>
      <c r="G49" s="2" t="s">
        <v>353</v>
      </c>
      <c r="H49" s="2" t="s">
        <v>354</v>
      </c>
      <c r="I49" s="2" t="s">
        <v>26</v>
      </c>
      <c r="J49" s="2" t="s">
        <v>27</v>
      </c>
      <c r="K49" s="2" t="s">
        <v>28</v>
      </c>
      <c r="L49" s="2" t="s">
        <v>355</v>
      </c>
      <c r="M49" s="2" t="s">
        <v>356</v>
      </c>
      <c r="N49" s="2" t="s">
        <v>31</v>
      </c>
      <c r="O49" s="2" t="s">
        <v>32</v>
      </c>
      <c r="P49" s="2" t="s">
        <v>33</v>
      </c>
      <c r="Q49" s="2" t="s">
        <v>329</v>
      </c>
    </row>
    <row r="50" spans="1:17" ht="20.100000000000001" customHeight="1">
      <c r="A50" t="s">
        <v>357</v>
      </c>
      <c r="B50" t="s">
        <v>358</v>
      </c>
      <c r="C50" s="2" t="s">
        <v>359</v>
      </c>
      <c r="D50" s="2" t="s">
        <v>199</v>
      </c>
      <c r="E50" s="2" t="s">
        <v>200</v>
      </c>
      <c r="F50" s="2" t="s">
        <v>134</v>
      </c>
      <c r="G50" s="2" t="s">
        <v>360</v>
      </c>
      <c r="H50" s="2" t="s">
        <v>361</v>
      </c>
      <c r="I50" s="2" t="s">
        <v>26</v>
      </c>
      <c r="J50" s="2" t="s">
        <v>27</v>
      </c>
      <c r="K50" s="2" t="s">
        <v>63</v>
      </c>
      <c r="L50" s="2" t="s">
        <v>362</v>
      </c>
      <c r="M50" s="2" t="s">
        <v>363</v>
      </c>
      <c r="N50" s="2" t="s">
        <v>31</v>
      </c>
      <c r="O50" s="2" t="s">
        <v>32</v>
      </c>
      <c r="P50" s="2" t="s">
        <v>33</v>
      </c>
      <c r="Q50" s="2" t="s">
        <v>301</v>
      </c>
    </row>
    <row r="51" spans="1:17" ht="20.100000000000001" customHeight="1">
      <c r="A51" t="s">
        <v>364</v>
      </c>
      <c r="B51" t="s">
        <v>358</v>
      </c>
      <c r="C51" s="2" t="s">
        <v>365</v>
      </c>
      <c r="D51" s="2" t="s">
        <v>143</v>
      </c>
      <c r="E51" s="2" t="s">
        <v>144</v>
      </c>
      <c r="F51" s="2" t="s">
        <v>23</v>
      </c>
      <c r="G51" s="2" t="s">
        <v>366</v>
      </c>
      <c r="H51" s="2" t="s">
        <v>367</v>
      </c>
      <c r="I51" s="2" t="s">
        <v>26</v>
      </c>
      <c r="J51" s="2" t="s">
        <v>27</v>
      </c>
      <c r="K51" s="2" t="s">
        <v>28</v>
      </c>
      <c r="L51" s="2" t="s">
        <v>368</v>
      </c>
      <c r="M51" s="2" t="s">
        <v>369</v>
      </c>
      <c r="N51" s="2" t="s">
        <v>31</v>
      </c>
      <c r="O51" s="2" t="s">
        <v>32</v>
      </c>
      <c r="P51" s="2" t="s">
        <v>33</v>
      </c>
      <c r="Q51" s="2" t="s">
        <v>301</v>
      </c>
    </row>
    <row r="52" spans="1:17" ht="20.100000000000001" customHeight="1">
      <c r="A52" t="s">
        <v>370</v>
      </c>
      <c r="B52" t="s">
        <v>358</v>
      </c>
      <c r="C52" s="2" t="s">
        <v>371</v>
      </c>
      <c r="D52" s="2" t="s">
        <v>372</v>
      </c>
      <c r="E52" s="2" t="s">
        <v>281</v>
      </c>
      <c r="F52" s="2" t="s">
        <v>373</v>
      </c>
      <c r="G52" s="2" t="s">
        <v>283</v>
      </c>
      <c r="H52" s="2" t="s">
        <v>374</v>
      </c>
      <c r="I52" s="2" t="s">
        <v>26</v>
      </c>
      <c r="J52" s="2" t="s">
        <v>27</v>
      </c>
      <c r="K52" s="2" t="s">
        <v>55</v>
      </c>
      <c r="L52" s="2" t="s">
        <v>375</v>
      </c>
      <c r="M52" s="2" t="s">
        <v>376</v>
      </c>
      <c r="N52" s="2" t="s">
        <v>31</v>
      </c>
      <c r="O52" s="2" t="s">
        <v>32</v>
      </c>
      <c r="P52" s="2" t="s">
        <v>33</v>
      </c>
      <c r="Q52" s="2" t="s">
        <v>301</v>
      </c>
    </row>
    <row r="53" spans="1:17" ht="20.100000000000001" customHeight="1">
      <c r="A53" t="s">
        <v>377</v>
      </c>
      <c r="B53" t="s">
        <v>358</v>
      </c>
      <c r="C53" s="2" t="s">
        <v>378</v>
      </c>
      <c r="D53" s="2" t="s">
        <v>379</v>
      </c>
      <c r="E53" s="2" t="s">
        <v>380</v>
      </c>
      <c r="F53" s="2" t="s">
        <v>23</v>
      </c>
      <c r="G53" s="2" t="s">
        <v>381</v>
      </c>
      <c r="H53" s="2" t="s">
        <v>382</v>
      </c>
      <c r="I53" s="2" t="s">
        <v>26</v>
      </c>
      <c r="J53" s="2" t="s">
        <v>27</v>
      </c>
      <c r="K53" s="2" t="s">
        <v>63</v>
      </c>
      <c r="L53" s="2" t="s">
        <v>383</v>
      </c>
      <c r="M53" s="2" t="s">
        <v>384</v>
      </c>
      <c r="N53" s="2" t="s">
        <v>31</v>
      </c>
      <c r="O53" s="2" t="s">
        <v>32</v>
      </c>
      <c r="P53" s="2" t="s">
        <v>33</v>
      </c>
      <c r="Q53" s="2" t="s">
        <v>301</v>
      </c>
    </row>
    <row r="54" spans="1:17" ht="20.100000000000001" customHeight="1">
      <c r="A54" t="s">
        <v>385</v>
      </c>
      <c r="B54" t="s">
        <v>386</v>
      </c>
      <c r="C54" s="2" t="s">
        <v>387</v>
      </c>
      <c r="D54" s="2" t="s">
        <v>99</v>
      </c>
      <c r="E54" s="2" t="s">
        <v>100</v>
      </c>
      <c r="F54" s="2" t="s">
        <v>23</v>
      </c>
      <c r="G54" s="2" t="s">
        <v>388</v>
      </c>
      <c r="H54" s="2" t="s">
        <v>389</v>
      </c>
      <c r="I54" s="2" t="s">
        <v>27</v>
      </c>
      <c r="J54" s="2" t="s">
        <v>27</v>
      </c>
      <c r="K54" s="2" t="s">
        <v>63</v>
      </c>
      <c r="L54" s="2" t="s">
        <v>390</v>
      </c>
      <c r="M54" s="2" t="s">
        <v>391</v>
      </c>
      <c r="N54" s="2" t="s">
        <v>31</v>
      </c>
      <c r="O54" s="2" t="s">
        <v>32</v>
      </c>
      <c r="P54" s="2" t="s">
        <v>33</v>
      </c>
      <c r="Q54" s="2" t="s">
        <v>392</v>
      </c>
    </row>
    <row r="55" spans="1:17" ht="20.100000000000001" customHeight="1">
      <c r="A55" t="s">
        <v>393</v>
      </c>
      <c r="B55" t="s">
        <v>386</v>
      </c>
      <c r="C55" s="2" t="s">
        <v>394</v>
      </c>
      <c r="D55" s="2" t="s">
        <v>99</v>
      </c>
      <c r="E55" s="2" t="s">
        <v>100</v>
      </c>
      <c r="F55" s="2" t="s">
        <v>23</v>
      </c>
      <c r="G55" s="2" t="s">
        <v>395</v>
      </c>
      <c r="H55" s="2" t="s">
        <v>396</v>
      </c>
      <c r="I55" s="2" t="s">
        <v>26</v>
      </c>
      <c r="J55" s="2" t="s">
        <v>27</v>
      </c>
      <c r="K55" s="2" t="s">
        <v>28</v>
      </c>
      <c r="L55" s="2" t="s">
        <v>397</v>
      </c>
      <c r="M55" s="2" t="s">
        <v>398</v>
      </c>
      <c r="N55" s="2" t="s">
        <v>31</v>
      </c>
      <c r="O55" s="2" t="s">
        <v>32</v>
      </c>
      <c r="P55" s="2" t="s">
        <v>33</v>
      </c>
      <c r="Q55" s="2" t="s">
        <v>392</v>
      </c>
    </row>
    <row r="56" spans="1:17" ht="20.100000000000001" customHeight="1">
      <c r="A56" t="s">
        <v>399</v>
      </c>
      <c r="B56" t="s">
        <v>386</v>
      </c>
      <c r="C56" s="2" t="s">
        <v>400</v>
      </c>
      <c r="D56" s="2" t="s">
        <v>401</v>
      </c>
      <c r="E56" s="2" t="s">
        <v>402</v>
      </c>
      <c r="F56" s="2" t="s">
        <v>182</v>
      </c>
      <c r="G56" s="2" t="s">
        <v>403</v>
      </c>
      <c r="H56" s="2" t="s">
        <v>404</v>
      </c>
      <c r="I56" s="2" t="s">
        <v>26</v>
      </c>
      <c r="J56" s="2" t="s">
        <v>27</v>
      </c>
      <c r="K56" s="2" t="s">
        <v>55</v>
      </c>
      <c r="L56" s="2" t="s">
        <v>405</v>
      </c>
      <c r="M56" s="2" t="s">
        <v>233</v>
      </c>
      <c r="N56" s="2" t="s">
        <v>31</v>
      </c>
      <c r="O56" s="2" t="s">
        <v>32</v>
      </c>
      <c r="P56" s="2" t="s">
        <v>33</v>
      </c>
      <c r="Q56" s="2" t="s">
        <v>392</v>
      </c>
    </row>
    <row r="57" spans="1:17" ht="20.100000000000001" customHeight="1">
      <c r="A57" t="s">
        <v>406</v>
      </c>
      <c r="B57" t="s">
        <v>386</v>
      </c>
      <c r="C57" s="2" t="s">
        <v>407</v>
      </c>
      <c r="D57" s="2" t="s">
        <v>77</v>
      </c>
      <c r="E57" s="2" t="s">
        <v>78</v>
      </c>
      <c r="F57" s="2" t="s">
        <v>23</v>
      </c>
      <c r="G57" s="2" t="s">
        <v>408</v>
      </c>
      <c r="H57" s="2" t="s">
        <v>409</v>
      </c>
      <c r="I57" s="2" t="s">
        <v>27</v>
      </c>
      <c r="J57" s="2" t="s">
        <v>27</v>
      </c>
      <c r="K57" s="2" t="s">
        <v>63</v>
      </c>
      <c r="L57" s="2" t="s">
        <v>410</v>
      </c>
      <c r="M57" s="2" t="s">
        <v>411</v>
      </c>
      <c r="N57" s="2" t="s">
        <v>31</v>
      </c>
      <c r="O57" s="2" t="s">
        <v>32</v>
      </c>
      <c r="P57" s="2" t="s">
        <v>33</v>
      </c>
      <c r="Q57" s="2" t="s">
        <v>392</v>
      </c>
    </row>
    <row r="58" spans="1:17" ht="20.100000000000001" customHeight="1">
      <c r="A58" t="s">
        <v>412</v>
      </c>
      <c r="B58" t="s">
        <v>132</v>
      </c>
      <c r="C58" s="2" t="s">
        <v>413</v>
      </c>
      <c r="D58" s="2" t="s">
        <v>414</v>
      </c>
      <c r="E58" s="2" t="s">
        <v>415</v>
      </c>
      <c r="F58" s="2" t="s">
        <v>416</v>
      </c>
      <c r="G58" s="2" t="s">
        <v>417</v>
      </c>
      <c r="H58" s="2" t="s">
        <v>418</v>
      </c>
      <c r="I58" s="2" t="s">
        <v>26</v>
      </c>
      <c r="J58" s="2" t="s">
        <v>27</v>
      </c>
      <c r="K58" s="2" t="s">
        <v>71</v>
      </c>
      <c r="L58" s="2" t="s">
        <v>419</v>
      </c>
      <c r="M58" s="2" t="s">
        <v>420</v>
      </c>
      <c r="N58" s="2" t="s">
        <v>31</v>
      </c>
      <c r="O58" s="2" t="s">
        <v>32</v>
      </c>
      <c r="P58" s="2" t="s">
        <v>33</v>
      </c>
      <c r="Q58" s="2" t="s">
        <v>139</v>
      </c>
    </row>
    <row r="59" spans="1:17" ht="20.100000000000001" customHeight="1">
      <c r="A59" t="s">
        <v>421</v>
      </c>
      <c r="B59" t="s">
        <v>132</v>
      </c>
      <c r="C59" s="2" t="s">
        <v>422</v>
      </c>
      <c r="D59" s="2" t="s">
        <v>99</v>
      </c>
      <c r="E59" s="2" t="s">
        <v>100</v>
      </c>
      <c r="F59" s="2" t="s">
        <v>23</v>
      </c>
      <c r="G59" s="2" t="s">
        <v>423</v>
      </c>
      <c r="H59" s="2" t="s">
        <v>424</v>
      </c>
      <c r="I59" s="2" t="s">
        <v>26</v>
      </c>
      <c r="J59" s="2" t="s">
        <v>27</v>
      </c>
      <c r="K59" s="2" t="s">
        <v>28</v>
      </c>
      <c r="L59" s="2" t="s">
        <v>425</v>
      </c>
      <c r="M59" s="2" t="s">
        <v>426</v>
      </c>
      <c r="N59" s="2" t="s">
        <v>31</v>
      </c>
      <c r="O59" s="2" t="s">
        <v>32</v>
      </c>
      <c r="P59" s="2" t="s">
        <v>33</v>
      </c>
      <c r="Q59" s="2" t="s">
        <v>139</v>
      </c>
    </row>
    <row r="60" spans="1:17" ht="20.100000000000001" customHeight="1">
      <c r="A60" t="s">
        <v>427</v>
      </c>
      <c r="B60" t="s">
        <v>182</v>
      </c>
      <c r="C60" s="2" t="s">
        <v>428</v>
      </c>
      <c r="D60" s="2" t="s">
        <v>99</v>
      </c>
      <c r="E60" s="2" t="s">
        <v>100</v>
      </c>
      <c r="F60" s="2" t="s">
        <v>23</v>
      </c>
      <c r="G60" s="2" t="s">
        <v>429</v>
      </c>
      <c r="H60" s="2" t="s">
        <v>430</v>
      </c>
      <c r="I60" s="2" t="s">
        <v>26</v>
      </c>
      <c r="J60" s="2" t="s">
        <v>27</v>
      </c>
      <c r="K60" s="2" t="s">
        <v>28</v>
      </c>
      <c r="L60" s="2" t="s">
        <v>431</v>
      </c>
      <c r="M60" s="2" t="s">
        <v>432</v>
      </c>
      <c r="N60" s="2" t="s">
        <v>31</v>
      </c>
      <c r="O60" s="2" t="s">
        <v>32</v>
      </c>
      <c r="P60" s="2" t="s">
        <v>33</v>
      </c>
      <c r="Q60" s="2" t="s">
        <v>301</v>
      </c>
    </row>
    <row r="61" spans="1:17" ht="20.100000000000001" customHeight="1">
      <c r="A61" t="s">
        <v>433</v>
      </c>
      <c r="B61" t="s">
        <v>182</v>
      </c>
      <c r="C61" s="2" t="s">
        <v>434</v>
      </c>
      <c r="D61" s="2" t="s">
        <v>281</v>
      </c>
      <c r="E61" s="2" t="s">
        <v>281</v>
      </c>
      <c r="F61" s="2" t="s">
        <v>435</v>
      </c>
      <c r="G61" s="2" t="s">
        <v>436</v>
      </c>
      <c r="H61" s="2" t="s">
        <v>437</v>
      </c>
      <c r="I61" s="2" t="s">
        <v>26</v>
      </c>
      <c r="J61" s="2" t="s">
        <v>27</v>
      </c>
      <c r="K61" s="2" t="s">
        <v>55</v>
      </c>
      <c r="L61" s="2" t="s">
        <v>438</v>
      </c>
      <c r="M61" s="2" t="s">
        <v>439</v>
      </c>
      <c r="N61" s="2" t="s">
        <v>31</v>
      </c>
      <c r="O61" s="2" t="s">
        <v>32</v>
      </c>
      <c r="P61" s="2" t="s">
        <v>33</v>
      </c>
      <c r="Q61" s="2" t="s">
        <v>301</v>
      </c>
    </row>
    <row r="62" spans="1:17" ht="20.100000000000001" customHeight="1">
      <c r="A62" t="s">
        <v>440</v>
      </c>
      <c r="B62" t="s">
        <v>441</v>
      </c>
      <c r="C62" s="2" t="s">
        <v>442</v>
      </c>
      <c r="D62" s="2" t="s">
        <v>143</v>
      </c>
      <c r="E62" s="2" t="s">
        <v>144</v>
      </c>
      <c r="F62" s="2" t="s">
        <v>443</v>
      </c>
      <c r="G62" s="2" t="s">
        <v>444</v>
      </c>
      <c r="H62" s="2" t="s">
        <v>445</v>
      </c>
      <c r="I62" s="2" t="s">
        <v>26</v>
      </c>
      <c r="J62" s="2" t="s">
        <v>27</v>
      </c>
      <c r="K62" s="2" t="s">
        <v>55</v>
      </c>
      <c r="L62" s="2" t="s">
        <v>446</v>
      </c>
      <c r="M62" s="2" t="s">
        <v>447</v>
      </c>
      <c r="N62" s="2" t="s">
        <v>31</v>
      </c>
      <c r="O62" s="2" t="s">
        <v>32</v>
      </c>
      <c r="P62" s="2" t="s">
        <v>33</v>
      </c>
      <c r="Q62" s="2" t="s">
        <v>448</v>
      </c>
    </row>
    <row r="63" spans="1:17" ht="20.100000000000001" customHeight="1">
      <c r="A63" t="s">
        <v>449</v>
      </c>
      <c r="B63" t="s">
        <v>450</v>
      </c>
      <c r="C63" s="2" t="s">
        <v>451</v>
      </c>
      <c r="D63" s="2" t="s">
        <v>199</v>
      </c>
      <c r="E63" s="2" t="s">
        <v>415</v>
      </c>
      <c r="F63" s="2" t="s">
        <v>452</v>
      </c>
      <c r="G63" s="2" t="s">
        <v>453</v>
      </c>
      <c r="H63" s="2" t="s">
        <v>454</v>
      </c>
      <c r="I63" s="2" t="s">
        <v>26</v>
      </c>
      <c r="J63" s="2" t="s">
        <v>27</v>
      </c>
      <c r="K63" s="2" t="s">
        <v>455</v>
      </c>
      <c r="L63" s="2" t="s">
        <v>456</v>
      </c>
      <c r="M63" s="2" t="s">
        <v>457</v>
      </c>
      <c r="N63" s="2" t="s">
        <v>31</v>
      </c>
      <c r="O63" s="2" t="s">
        <v>32</v>
      </c>
      <c r="P63" s="2" t="s">
        <v>33</v>
      </c>
      <c r="Q63" s="2" t="s">
        <v>448</v>
      </c>
    </row>
    <row r="64" spans="1:17" ht="20.100000000000001" customHeight="1">
      <c r="A64" t="s">
        <v>458</v>
      </c>
      <c r="B64" t="s">
        <v>459</v>
      </c>
      <c r="C64" s="2" t="s">
        <v>460</v>
      </c>
      <c r="D64" s="2" t="s">
        <v>461</v>
      </c>
      <c r="E64" s="2" t="s">
        <v>311</v>
      </c>
      <c r="F64" s="2" t="s">
        <v>23</v>
      </c>
      <c r="G64" s="2" t="s">
        <v>462</v>
      </c>
      <c r="H64" s="2" t="s">
        <v>463</v>
      </c>
      <c r="I64" s="2" t="s">
        <v>27</v>
      </c>
      <c r="J64" s="2" t="s">
        <v>27</v>
      </c>
      <c r="K64" s="2" t="s">
        <v>63</v>
      </c>
      <c r="L64" s="2" t="s">
        <v>464</v>
      </c>
      <c r="M64" s="2" t="s">
        <v>465</v>
      </c>
      <c r="N64" s="2" t="s">
        <v>31</v>
      </c>
      <c r="O64" s="2" t="s">
        <v>32</v>
      </c>
      <c r="P64" s="2" t="s">
        <v>33</v>
      </c>
      <c r="Q64" s="2" t="s">
        <v>34</v>
      </c>
    </row>
    <row r="65" spans="1:17" ht="20.100000000000001" customHeight="1">
      <c r="A65" t="s">
        <v>466</v>
      </c>
      <c r="B65" t="s">
        <v>467</v>
      </c>
      <c r="C65" s="2" t="s">
        <v>468</v>
      </c>
      <c r="D65" s="2" t="s">
        <v>469</v>
      </c>
      <c r="E65" s="2" t="s">
        <v>311</v>
      </c>
      <c r="F65" s="2" t="s">
        <v>23</v>
      </c>
      <c r="G65" s="2" t="s">
        <v>470</v>
      </c>
      <c r="H65" s="2" t="s">
        <v>471</v>
      </c>
      <c r="I65" s="2" t="s">
        <v>26</v>
      </c>
      <c r="J65" s="2" t="s">
        <v>27</v>
      </c>
      <c r="K65" s="2" t="s">
        <v>63</v>
      </c>
      <c r="L65" s="2" t="s">
        <v>472</v>
      </c>
      <c r="M65" s="2" t="s">
        <v>473</v>
      </c>
      <c r="N65" s="2" t="s">
        <v>31</v>
      </c>
      <c r="O65" s="2" t="s">
        <v>32</v>
      </c>
      <c r="P65" s="2" t="s">
        <v>33</v>
      </c>
      <c r="Q65" s="2" t="s">
        <v>34</v>
      </c>
    </row>
    <row r="66" spans="1:17" ht="20.100000000000001" customHeight="1"/>
    <row r="67" spans="1:17" ht="20.100000000000001" customHeight="1"/>
    <row r="68" spans="1:17" ht="20.100000000000001" customHeight="1"/>
    <row r="69" spans="1:17" ht="20.100000000000001" customHeight="1"/>
    <row r="70" spans="1:17" ht="20.100000000000001" customHeight="1"/>
    <row r="71" spans="1:17" ht="20.100000000000001" customHeight="1"/>
    <row r="72" spans="1:17" ht="20.100000000000001" customHeight="1"/>
    <row r="73" spans="1:17" ht="20.100000000000001" customHeight="1"/>
    <row r="74" spans="1:17" ht="20.100000000000001" customHeight="1"/>
    <row r="75" spans="1:17" ht="20.100000000000001" customHeight="1"/>
    <row r="76" spans="1:17" ht="20.100000000000001" customHeight="1"/>
    <row r="77" spans="1:17" ht="20.100000000000001" customHeight="1"/>
    <row r="78" spans="1:17" ht="20.100000000000001" customHeight="1"/>
    <row r="79" spans="1:17" ht="20.100000000000001" customHeight="1"/>
    <row r="80" spans="1:17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2">
    <mergeCell ref="A1:Q2"/>
    <mergeCell ref="A3:Q3"/>
  </mergeCells>
  <conditionalFormatting sqref="I6:I65">
    <cfRule type="expression" dxfId="0" priority="1">
      <formula>I6="Critical"</formula>
    </cfRule>
  </conditionalFormatting>
  <dataValidations count="1">
    <dataValidation type="list" sqref="N6:N65" xr:uid="{00000000-0002-0000-0000-000000000000}">
      <formula1>"Ready,Needs tuning,In testing,Retired"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/>
  </sheetViews>
  <sheetFormatPr defaultRowHeight="14.25"/>
  <cols>
    <col min="1" max="1" width="14" customWidth="1"/>
    <col min="2" max="2" width="17" customWidth="1"/>
    <col min="3" max="3" width="50" customWidth="1"/>
    <col min="4" max="4" width="34" customWidth="1"/>
    <col min="5" max="5" width="55" customWidth="1"/>
    <col min="6" max="6" width="28" customWidth="1"/>
    <col min="7" max="7" width="18" customWidth="1"/>
    <col min="8" max="9" width="11" customWidth="1"/>
    <col min="10" max="10" width="13" customWidth="1"/>
    <col min="11" max="11" width="42" customWidth="1"/>
  </cols>
  <sheetData>
    <row r="1" spans="1:11" ht="20.100000000000001" customHeight="1">
      <c r="A1" s="5" t="s">
        <v>474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0.100000000000001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0.100000000000001" customHeight="1"/>
    <row r="4" spans="1:11" ht="20.100000000000001" customHeight="1">
      <c r="A4" s="1" t="s">
        <v>475</v>
      </c>
      <c r="B4" s="1" t="s">
        <v>476</v>
      </c>
      <c r="C4" s="1" t="s">
        <v>477</v>
      </c>
      <c r="D4" s="1" t="s">
        <v>478</v>
      </c>
      <c r="E4" s="1" t="s">
        <v>479</v>
      </c>
      <c r="F4" s="1" t="s">
        <v>480</v>
      </c>
      <c r="G4" s="1" t="s">
        <v>481</v>
      </c>
      <c r="H4" s="1" t="s">
        <v>482</v>
      </c>
      <c r="I4" s="1" t="s">
        <v>483</v>
      </c>
      <c r="J4" s="1" t="s">
        <v>14</v>
      </c>
      <c r="K4" s="1" t="s">
        <v>484</v>
      </c>
    </row>
    <row r="5" spans="1:11" ht="20.100000000000001" customHeight="1">
      <c r="A5" t="s">
        <v>485</v>
      </c>
      <c r="B5" t="s">
        <v>19</v>
      </c>
      <c r="C5" s="2" t="s">
        <v>486</v>
      </c>
      <c r="D5" s="2" t="s">
        <v>23</v>
      </c>
      <c r="E5" s="2" t="s">
        <v>487</v>
      </c>
      <c r="F5" s="2" t="s">
        <v>488</v>
      </c>
      <c r="G5" s="2" t="s">
        <v>46</v>
      </c>
      <c r="H5" s="2" t="s">
        <v>489</v>
      </c>
      <c r="I5" s="2" t="s">
        <v>27</v>
      </c>
      <c r="J5" s="2" t="s">
        <v>490</v>
      </c>
      <c r="K5" s="2"/>
    </row>
    <row r="6" spans="1:11" ht="20.100000000000001" customHeight="1">
      <c r="A6" t="s">
        <v>491</v>
      </c>
      <c r="B6" t="s">
        <v>19</v>
      </c>
      <c r="C6" s="2" t="s">
        <v>492</v>
      </c>
      <c r="D6" s="2" t="s">
        <v>23</v>
      </c>
      <c r="E6" s="2" t="s">
        <v>493</v>
      </c>
      <c r="F6" s="2" t="s">
        <v>494</v>
      </c>
      <c r="G6" s="2" t="s">
        <v>78</v>
      </c>
      <c r="H6" s="2" t="s">
        <v>489</v>
      </c>
      <c r="I6" s="2" t="s">
        <v>26</v>
      </c>
      <c r="J6" s="2" t="s">
        <v>490</v>
      </c>
      <c r="K6" s="2"/>
    </row>
    <row r="7" spans="1:11" ht="20.100000000000001" customHeight="1">
      <c r="A7" t="s">
        <v>495</v>
      </c>
      <c r="B7" t="s">
        <v>19</v>
      </c>
      <c r="C7" s="2" t="s">
        <v>496</v>
      </c>
      <c r="D7" s="2" t="s">
        <v>497</v>
      </c>
      <c r="E7" s="2" t="s">
        <v>498</v>
      </c>
      <c r="F7" s="2" t="s">
        <v>499</v>
      </c>
      <c r="G7" s="2" t="s">
        <v>500</v>
      </c>
      <c r="H7" s="2" t="s">
        <v>489</v>
      </c>
      <c r="I7" s="2" t="s">
        <v>26</v>
      </c>
      <c r="J7" s="2" t="s">
        <v>490</v>
      </c>
      <c r="K7" s="2"/>
    </row>
    <row r="8" spans="1:11" ht="20.100000000000001" customHeight="1">
      <c r="A8" t="s">
        <v>501</v>
      </c>
      <c r="B8" t="s">
        <v>23</v>
      </c>
      <c r="C8" s="2" t="s">
        <v>502</v>
      </c>
      <c r="D8" s="2" t="s">
        <v>23</v>
      </c>
      <c r="E8" s="2" t="s">
        <v>503</v>
      </c>
      <c r="F8" s="2" t="s">
        <v>504</v>
      </c>
      <c r="G8" s="2" t="s">
        <v>107</v>
      </c>
      <c r="H8" s="2" t="s">
        <v>489</v>
      </c>
      <c r="I8" s="2" t="s">
        <v>26</v>
      </c>
      <c r="J8" s="2" t="s">
        <v>490</v>
      </c>
      <c r="K8" s="2"/>
    </row>
    <row r="9" spans="1:11" ht="20.100000000000001" customHeight="1">
      <c r="A9" t="s">
        <v>505</v>
      </c>
      <c r="B9" t="s">
        <v>141</v>
      </c>
      <c r="C9" s="2" t="s">
        <v>506</v>
      </c>
      <c r="D9" s="2" t="s">
        <v>507</v>
      </c>
      <c r="E9" s="2" t="s">
        <v>508</v>
      </c>
      <c r="F9" s="2" t="s">
        <v>509</v>
      </c>
      <c r="G9" s="2" t="s">
        <v>510</v>
      </c>
      <c r="H9" s="2" t="s">
        <v>489</v>
      </c>
      <c r="I9" s="2" t="s">
        <v>26</v>
      </c>
      <c r="J9" s="2" t="s">
        <v>490</v>
      </c>
      <c r="K9" s="2"/>
    </row>
    <row r="10" spans="1:11" ht="20.100000000000001" customHeight="1">
      <c r="A10" t="s">
        <v>511</v>
      </c>
      <c r="B10" t="s">
        <v>141</v>
      </c>
      <c r="C10" s="2" t="s">
        <v>512</v>
      </c>
      <c r="D10" s="2" t="s">
        <v>507</v>
      </c>
      <c r="E10" s="2" t="s">
        <v>513</v>
      </c>
      <c r="F10" s="2" t="s">
        <v>514</v>
      </c>
      <c r="G10" s="2" t="s">
        <v>515</v>
      </c>
      <c r="H10" s="2" t="s">
        <v>489</v>
      </c>
      <c r="I10" s="2" t="s">
        <v>27</v>
      </c>
      <c r="J10" s="2" t="s">
        <v>490</v>
      </c>
      <c r="K10" s="2"/>
    </row>
    <row r="11" spans="1:11" ht="20.100000000000001" customHeight="1">
      <c r="A11" t="s">
        <v>516</v>
      </c>
      <c r="B11" t="s">
        <v>197</v>
      </c>
      <c r="C11" s="2" t="s">
        <v>517</v>
      </c>
      <c r="D11" s="2" t="s">
        <v>518</v>
      </c>
      <c r="E11" s="2" t="s">
        <v>519</v>
      </c>
      <c r="F11" s="2" t="s">
        <v>520</v>
      </c>
      <c r="G11" s="2" t="s">
        <v>222</v>
      </c>
      <c r="H11" s="2" t="s">
        <v>455</v>
      </c>
      <c r="I11" s="2" t="s">
        <v>26</v>
      </c>
      <c r="J11" s="2" t="s">
        <v>490</v>
      </c>
      <c r="K11" s="2"/>
    </row>
    <row r="12" spans="1:11" ht="20.100000000000001" customHeight="1">
      <c r="A12" t="s">
        <v>521</v>
      </c>
      <c r="B12" t="s">
        <v>197</v>
      </c>
      <c r="C12" s="2" t="s">
        <v>522</v>
      </c>
      <c r="D12" s="2" t="s">
        <v>23</v>
      </c>
      <c r="E12" s="2" t="s">
        <v>523</v>
      </c>
      <c r="F12" s="2" t="s">
        <v>524</v>
      </c>
      <c r="G12" s="2" t="s">
        <v>214</v>
      </c>
      <c r="H12" s="2" t="s">
        <v>489</v>
      </c>
      <c r="I12" s="2" t="s">
        <v>27</v>
      </c>
      <c r="J12" s="2" t="s">
        <v>490</v>
      </c>
      <c r="K12" s="2"/>
    </row>
    <row r="13" spans="1:11" ht="20.100000000000001" customHeight="1">
      <c r="A13" t="s">
        <v>525</v>
      </c>
      <c r="B13" t="s">
        <v>255</v>
      </c>
      <c r="C13" s="2" t="s">
        <v>526</v>
      </c>
      <c r="D13" s="2" t="s">
        <v>527</v>
      </c>
      <c r="E13" s="2" t="s">
        <v>528</v>
      </c>
      <c r="F13" s="2" t="s">
        <v>529</v>
      </c>
      <c r="G13" s="2" t="s">
        <v>530</v>
      </c>
      <c r="H13" s="2" t="s">
        <v>489</v>
      </c>
      <c r="I13" s="2" t="s">
        <v>27</v>
      </c>
      <c r="J13" s="2" t="s">
        <v>490</v>
      </c>
      <c r="K13" s="2"/>
    </row>
    <row r="14" spans="1:11" ht="20.100000000000001" customHeight="1">
      <c r="A14" t="s">
        <v>531</v>
      </c>
      <c r="B14" t="s">
        <v>255</v>
      </c>
      <c r="C14" s="2" t="s">
        <v>532</v>
      </c>
      <c r="D14" s="2" t="s">
        <v>527</v>
      </c>
      <c r="E14" s="2" t="s">
        <v>533</v>
      </c>
      <c r="F14" s="2" t="s">
        <v>534</v>
      </c>
      <c r="G14" s="2" t="s">
        <v>265</v>
      </c>
      <c r="H14" s="2" t="s">
        <v>455</v>
      </c>
      <c r="I14" s="2" t="s">
        <v>26</v>
      </c>
      <c r="J14" s="2" t="s">
        <v>490</v>
      </c>
      <c r="K14" s="2"/>
    </row>
    <row r="15" spans="1:11" ht="20.100000000000001" customHeight="1">
      <c r="A15" t="s">
        <v>535</v>
      </c>
      <c r="B15" t="s">
        <v>536</v>
      </c>
      <c r="C15" s="2" t="s">
        <v>537</v>
      </c>
      <c r="D15" s="2" t="s">
        <v>159</v>
      </c>
      <c r="E15" s="2" t="s">
        <v>538</v>
      </c>
      <c r="F15" s="2" t="s">
        <v>539</v>
      </c>
      <c r="G15" s="2" t="s">
        <v>273</v>
      </c>
      <c r="H15" s="2" t="s">
        <v>489</v>
      </c>
      <c r="I15" s="2" t="s">
        <v>26</v>
      </c>
      <c r="J15" s="2" t="s">
        <v>490</v>
      </c>
      <c r="K15" s="2"/>
    </row>
    <row r="16" spans="1:11" ht="20.100000000000001" customHeight="1">
      <c r="A16" t="s">
        <v>540</v>
      </c>
      <c r="B16" t="s">
        <v>358</v>
      </c>
      <c r="C16" s="2" t="s">
        <v>541</v>
      </c>
      <c r="D16" s="2" t="s">
        <v>23</v>
      </c>
      <c r="E16" s="2" t="s">
        <v>542</v>
      </c>
      <c r="F16" s="2" t="s">
        <v>543</v>
      </c>
      <c r="G16" s="2" t="s">
        <v>544</v>
      </c>
      <c r="H16" s="2" t="s">
        <v>489</v>
      </c>
      <c r="I16" s="2" t="s">
        <v>26</v>
      </c>
      <c r="J16" s="2" t="s">
        <v>490</v>
      </c>
      <c r="K16" s="2"/>
    </row>
    <row r="17" spans="1:11" ht="20.100000000000001" customHeight="1">
      <c r="A17" t="s">
        <v>545</v>
      </c>
      <c r="B17" t="s">
        <v>386</v>
      </c>
      <c r="C17" s="2" t="s">
        <v>546</v>
      </c>
      <c r="D17" s="2" t="s">
        <v>547</v>
      </c>
      <c r="E17" s="2" t="s">
        <v>548</v>
      </c>
      <c r="F17" s="2" t="s">
        <v>549</v>
      </c>
      <c r="G17" s="2" t="s">
        <v>550</v>
      </c>
      <c r="H17" s="2" t="s">
        <v>489</v>
      </c>
      <c r="I17" s="2" t="s">
        <v>27</v>
      </c>
      <c r="J17" s="2" t="s">
        <v>490</v>
      </c>
      <c r="K17" s="2"/>
    </row>
    <row r="18" spans="1:11" ht="20.100000000000001" customHeight="1">
      <c r="A18" t="s">
        <v>551</v>
      </c>
      <c r="B18" t="s">
        <v>97</v>
      </c>
      <c r="C18" s="2" t="s">
        <v>552</v>
      </c>
      <c r="D18" s="2" t="s">
        <v>23</v>
      </c>
      <c r="E18" s="2" t="s">
        <v>553</v>
      </c>
      <c r="F18" s="2" t="s">
        <v>554</v>
      </c>
      <c r="G18" s="2" t="s">
        <v>100</v>
      </c>
      <c r="H18" s="2" t="s">
        <v>489</v>
      </c>
      <c r="I18" s="2" t="s">
        <v>26</v>
      </c>
      <c r="J18" s="2" t="s">
        <v>490</v>
      </c>
      <c r="K18" s="2"/>
    </row>
    <row r="19" spans="1:11" ht="20.100000000000001" customHeight="1">
      <c r="A19" t="s">
        <v>555</v>
      </c>
      <c r="B19" t="s">
        <v>556</v>
      </c>
      <c r="C19" s="2" t="s">
        <v>557</v>
      </c>
      <c r="D19" s="2" t="s">
        <v>558</v>
      </c>
      <c r="E19" s="2" t="s">
        <v>559</v>
      </c>
      <c r="F19" s="2" t="s">
        <v>560</v>
      </c>
      <c r="G19" s="2" t="s">
        <v>311</v>
      </c>
      <c r="H19" s="2" t="s">
        <v>489</v>
      </c>
      <c r="I19" s="2" t="s">
        <v>26</v>
      </c>
      <c r="J19" s="2" t="s">
        <v>490</v>
      </c>
      <c r="K19" s="2"/>
    </row>
    <row r="20" spans="1:11" ht="20.100000000000001" customHeight="1"/>
    <row r="21" spans="1:11" ht="20.100000000000001" customHeight="1"/>
    <row r="22" spans="1:11" ht="20.100000000000001" customHeight="1"/>
    <row r="23" spans="1:11" ht="20.100000000000001" customHeight="1"/>
    <row r="24" spans="1:11" ht="20.100000000000001" customHeight="1"/>
    <row r="25" spans="1:11" ht="20.100000000000001" customHeight="1"/>
    <row r="26" spans="1:11" ht="20.100000000000001" customHeight="1"/>
    <row r="27" spans="1:11" ht="20.100000000000001" customHeight="1"/>
    <row r="28" spans="1:11" ht="20.100000000000001" customHeight="1"/>
    <row r="29" spans="1:11" ht="20.100000000000001" customHeight="1"/>
    <row r="30" spans="1:11" ht="20.100000000000001" customHeight="1"/>
    <row r="31" spans="1:11" ht="20.100000000000001" customHeight="1"/>
    <row r="32" spans="1:11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1">
    <mergeCell ref="A1:K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/>
  </sheetViews>
  <sheetFormatPr defaultRowHeight="14.25"/>
  <cols>
    <col min="1" max="1" width="15" customWidth="1"/>
    <col min="2" max="2" width="34" customWidth="1"/>
    <col min="3" max="6" width="30" customWidth="1"/>
    <col min="7" max="7" width="11" customWidth="1"/>
    <col min="8" max="8" width="10" customWidth="1"/>
    <col min="9" max="9" width="38" customWidth="1"/>
    <col min="10" max="10" width="46" customWidth="1"/>
  </cols>
  <sheetData>
    <row r="1" spans="1:10" ht="20.100000000000001" customHeight="1">
      <c r="A1" s="5" t="s">
        <v>561</v>
      </c>
      <c r="B1" s="5"/>
      <c r="C1" s="5"/>
      <c r="D1" s="5"/>
      <c r="E1" s="5"/>
      <c r="F1" s="5"/>
      <c r="G1" s="5"/>
      <c r="H1" s="5"/>
      <c r="I1" s="5"/>
      <c r="J1" s="5"/>
    </row>
    <row r="2" spans="1:10" ht="20.100000000000001" customHeigh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0.100000000000001" customHeight="1"/>
    <row r="4" spans="1:10" ht="20.100000000000001" customHeight="1">
      <c r="A4" s="1" t="s">
        <v>562</v>
      </c>
      <c r="B4" s="1" t="s">
        <v>563</v>
      </c>
      <c r="C4" s="1" t="s">
        <v>564</v>
      </c>
      <c r="D4" s="1" t="s">
        <v>565</v>
      </c>
      <c r="E4" s="1" t="s">
        <v>566</v>
      </c>
      <c r="F4" s="1" t="s">
        <v>567</v>
      </c>
      <c r="G4" s="1" t="s">
        <v>9</v>
      </c>
      <c r="H4" s="1" t="s">
        <v>11</v>
      </c>
      <c r="I4" s="1" t="s">
        <v>568</v>
      </c>
      <c r="J4" s="1" t="s">
        <v>12</v>
      </c>
    </row>
    <row r="5" spans="1:10" ht="20.100000000000001" customHeight="1">
      <c r="A5" t="s">
        <v>569</v>
      </c>
      <c r="B5" s="2" t="s">
        <v>570</v>
      </c>
      <c r="C5" s="2" t="s">
        <v>571</v>
      </c>
      <c r="D5" s="2" t="s">
        <v>572</v>
      </c>
      <c r="E5" s="2" t="s">
        <v>573</v>
      </c>
      <c r="F5" s="2" t="s">
        <v>574</v>
      </c>
      <c r="G5" s="2" t="s">
        <v>26</v>
      </c>
      <c r="H5" s="2" t="s">
        <v>575</v>
      </c>
      <c r="I5" s="2" t="s">
        <v>576</v>
      </c>
      <c r="J5" s="2" t="s">
        <v>577</v>
      </c>
    </row>
    <row r="6" spans="1:10" ht="20.100000000000001" customHeight="1">
      <c r="A6" t="s">
        <v>578</v>
      </c>
      <c r="B6" s="2" t="s">
        <v>579</v>
      </c>
      <c r="C6" s="2" t="s">
        <v>580</v>
      </c>
      <c r="D6" s="2" t="s">
        <v>581</v>
      </c>
      <c r="E6" s="2" t="s">
        <v>582</v>
      </c>
      <c r="F6" s="2" t="s">
        <v>583</v>
      </c>
      <c r="G6" s="2" t="s">
        <v>26</v>
      </c>
      <c r="H6" s="2" t="s">
        <v>584</v>
      </c>
      <c r="I6" s="2" t="s">
        <v>585</v>
      </c>
      <c r="J6" s="2" t="s">
        <v>586</v>
      </c>
    </row>
    <row r="7" spans="1:10" ht="20.100000000000001" customHeight="1">
      <c r="A7" t="s">
        <v>587</v>
      </c>
      <c r="B7" s="2" t="s">
        <v>588</v>
      </c>
      <c r="C7" s="2" t="s">
        <v>589</v>
      </c>
      <c r="D7" s="2" t="s">
        <v>590</v>
      </c>
      <c r="E7" s="2" t="s">
        <v>591</v>
      </c>
      <c r="F7" s="2" t="s">
        <v>592</v>
      </c>
      <c r="G7" s="2" t="s">
        <v>26</v>
      </c>
      <c r="H7" s="2" t="s">
        <v>575</v>
      </c>
      <c r="I7" s="2" t="s">
        <v>593</v>
      </c>
      <c r="J7" s="2" t="s">
        <v>594</v>
      </c>
    </row>
    <row r="8" spans="1:10" ht="20.100000000000001" customHeight="1">
      <c r="A8" t="s">
        <v>595</v>
      </c>
      <c r="B8" s="2" t="s">
        <v>596</v>
      </c>
      <c r="C8" s="2" t="s">
        <v>597</v>
      </c>
      <c r="D8" s="2" t="s">
        <v>598</v>
      </c>
      <c r="E8" s="2" t="s">
        <v>599</v>
      </c>
      <c r="F8" s="2" t="s">
        <v>600</v>
      </c>
      <c r="G8" s="2" t="s">
        <v>26</v>
      </c>
      <c r="H8" s="2" t="s">
        <v>601</v>
      </c>
      <c r="I8" s="2" t="s">
        <v>602</v>
      </c>
      <c r="J8" s="2" t="s">
        <v>603</v>
      </c>
    </row>
    <row r="9" spans="1:10" ht="20.100000000000001" customHeight="1">
      <c r="A9" t="s">
        <v>604</v>
      </c>
      <c r="B9" s="2" t="s">
        <v>605</v>
      </c>
      <c r="C9" s="2" t="s">
        <v>606</v>
      </c>
      <c r="D9" s="2" t="s">
        <v>607</v>
      </c>
      <c r="E9" s="2" t="s">
        <v>271</v>
      </c>
      <c r="F9" s="2" t="s">
        <v>608</v>
      </c>
      <c r="G9" s="2" t="s">
        <v>26</v>
      </c>
      <c r="H9" s="2" t="s">
        <v>584</v>
      </c>
      <c r="I9" s="2" t="s">
        <v>609</v>
      </c>
      <c r="J9" s="2" t="s">
        <v>610</v>
      </c>
    </row>
    <row r="10" spans="1:10" ht="20.100000000000001" customHeight="1">
      <c r="A10" t="s">
        <v>611</v>
      </c>
      <c r="B10" s="2" t="s">
        <v>612</v>
      </c>
      <c r="C10" s="2" t="s">
        <v>613</v>
      </c>
      <c r="D10" s="2" t="s">
        <v>614</v>
      </c>
      <c r="E10" s="2" t="s">
        <v>615</v>
      </c>
      <c r="F10" s="2" t="s">
        <v>616</v>
      </c>
      <c r="G10" s="2" t="s">
        <v>26</v>
      </c>
      <c r="H10" s="2" t="s">
        <v>584</v>
      </c>
      <c r="I10" s="2" t="s">
        <v>617</v>
      </c>
      <c r="J10" s="2" t="s">
        <v>618</v>
      </c>
    </row>
    <row r="11" spans="1:10" ht="20.100000000000001" customHeight="1">
      <c r="A11" t="s">
        <v>619</v>
      </c>
      <c r="B11" s="2" t="s">
        <v>620</v>
      </c>
      <c r="C11" s="2" t="s">
        <v>621</v>
      </c>
      <c r="D11" s="2" t="s">
        <v>622</v>
      </c>
      <c r="E11" s="2" t="s">
        <v>623</v>
      </c>
      <c r="F11" s="2" t="s">
        <v>624</v>
      </c>
      <c r="G11" s="2" t="s">
        <v>26</v>
      </c>
      <c r="H11" s="2" t="s">
        <v>625</v>
      </c>
      <c r="I11" s="2" t="s">
        <v>626</v>
      </c>
      <c r="J11" s="2" t="s">
        <v>627</v>
      </c>
    </row>
    <row r="12" spans="1:10" ht="20.100000000000001" customHeight="1">
      <c r="A12" t="s">
        <v>628</v>
      </c>
      <c r="B12" s="2" t="s">
        <v>629</v>
      </c>
      <c r="C12" s="2" t="s">
        <v>630</v>
      </c>
      <c r="D12" s="2" t="s">
        <v>631</v>
      </c>
      <c r="E12" s="2" t="s">
        <v>632</v>
      </c>
      <c r="F12" s="2" t="s">
        <v>633</v>
      </c>
      <c r="G12" s="2" t="s">
        <v>26</v>
      </c>
      <c r="H12" s="2" t="s">
        <v>634</v>
      </c>
      <c r="I12" s="2" t="s">
        <v>635</v>
      </c>
      <c r="J12" s="2" t="s">
        <v>636</v>
      </c>
    </row>
    <row r="13" spans="1:10" ht="20.100000000000001" customHeight="1"/>
    <row r="14" spans="1:10" ht="20.100000000000001" customHeight="1"/>
    <row r="15" spans="1:10" ht="20.100000000000001" customHeight="1"/>
    <row r="16" spans="1:10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1">
    <mergeCell ref="A1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"/>
  <sheetViews>
    <sheetView workbookViewId="0"/>
  </sheetViews>
  <sheetFormatPr defaultRowHeight="14.25"/>
  <cols>
    <col min="1" max="1" width="15" customWidth="1"/>
    <col min="2" max="2" width="10" customWidth="1"/>
    <col min="3" max="4" width="14" customWidth="1"/>
    <col min="5" max="8" width="13" customWidth="1"/>
    <col min="9" max="10" width="14" customWidth="1"/>
    <col min="11" max="11" width="25" customWidth="1"/>
  </cols>
  <sheetData>
    <row r="1" spans="1:11" ht="20.100000000000001" customHeight="1">
      <c r="A1" s="5" t="s">
        <v>637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0.100000000000001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0.100000000000001" customHeight="1"/>
    <row r="4" spans="1:11" ht="20.100000000000001" customHeight="1">
      <c r="A4" s="1" t="s">
        <v>1</v>
      </c>
      <c r="B4" s="1" t="s">
        <v>638</v>
      </c>
      <c r="C4" s="1" t="s">
        <v>639</v>
      </c>
      <c r="D4" s="1" t="s">
        <v>640</v>
      </c>
      <c r="E4" s="1" t="s">
        <v>641</v>
      </c>
      <c r="F4" s="1" t="s">
        <v>642</v>
      </c>
      <c r="G4" s="1" t="s">
        <v>643</v>
      </c>
      <c r="H4" s="1" t="s">
        <v>644</v>
      </c>
      <c r="I4" s="1" t="s">
        <v>645</v>
      </c>
      <c r="J4" s="1" t="s">
        <v>646</v>
      </c>
      <c r="K4" s="1" t="s">
        <v>16</v>
      </c>
    </row>
    <row r="5" spans="1:11" ht="20.100000000000001" customHeight="1">
      <c r="A5" t="s">
        <v>18</v>
      </c>
      <c r="B5">
        <v>12</v>
      </c>
      <c r="C5">
        <v>12</v>
      </c>
      <c r="D5">
        <v>0</v>
      </c>
      <c r="E5" s="3">
        <f t="shared" ref="E5:E36" si="0">IF(B5=0,0,C5/B5*100)</f>
        <v>100</v>
      </c>
      <c r="F5">
        <v>3</v>
      </c>
      <c r="G5">
        <v>10</v>
      </c>
      <c r="H5" t="s">
        <v>647</v>
      </c>
      <c r="I5" s="3">
        <f t="shared" ref="I5:I36" si="1">IF(H5="Pass",100,IF(H5="Partial",50,0))</f>
        <v>100</v>
      </c>
      <c r="J5" t="str">
        <f t="shared" ref="J5:J36" si="2">IF(AND(E5&gt;=80,I5=100,F5&lt;=15),"Healthy",IF(AND(E5&gt;=60,I5&gt;=50),"Review","Weak"))</f>
        <v>Healthy</v>
      </c>
      <c r="K5" t="s">
        <v>33</v>
      </c>
    </row>
    <row r="6" spans="1:11" ht="20.100000000000001" customHeight="1">
      <c r="A6" t="s">
        <v>35</v>
      </c>
      <c r="B6">
        <v>13</v>
      </c>
      <c r="C6">
        <v>12</v>
      </c>
      <c r="D6">
        <v>1</v>
      </c>
      <c r="E6" s="3">
        <f t="shared" si="0"/>
        <v>92.307692307692307</v>
      </c>
      <c r="F6">
        <v>4</v>
      </c>
      <c r="G6">
        <v>11</v>
      </c>
      <c r="H6" t="s">
        <v>647</v>
      </c>
      <c r="I6" s="3">
        <f t="shared" si="1"/>
        <v>100</v>
      </c>
      <c r="J6" t="str">
        <f t="shared" si="2"/>
        <v>Healthy</v>
      </c>
      <c r="K6" t="s">
        <v>33</v>
      </c>
    </row>
    <row r="7" spans="1:11" ht="20.100000000000001" customHeight="1">
      <c r="A7" t="s">
        <v>43</v>
      </c>
      <c r="B7">
        <v>14</v>
      </c>
      <c r="C7">
        <v>12</v>
      </c>
      <c r="D7">
        <v>2</v>
      </c>
      <c r="E7" s="3">
        <f t="shared" si="0"/>
        <v>85.714285714285708</v>
      </c>
      <c r="F7">
        <v>5</v>
      </c>
      <c r="G7">
        <v>12</v>
      </c>
      <c r="H7" t="s">
        <v>647</v>
      </c>
      <c r="I7" s="3">
        <f t="shared" si="1"/>
        <v>100</v>
      </c>
      <c r="J7" t="str">
        <f t="shared" si="2"/>
        <v>Healthy</v>
      </c>
      <c r="K7" t="s">
        <v>33</v>
      </c>
    </row>
    <row r="8" spans="1:11" ht="20.100000000000001" customHeight="1">
      <c r="A8" t="s">
        <v>51</v>
      </c>
      <c r="B8">
        <v>15</v>
      </c>
      <c r="C8">
        <v>12</v>
      </c>
      <c r="D8">
        <v>3</v>
      </c>
      <c r="E8" s="3">
        <f t="shared" si="0"/>
        <v>80</v>
      </c>
      <c r="F8">
        <v>6</v>
      </c>
      <c r="G8">
        <v>13</v>
      </c>
      <c r="H8" t="s">
        <v>647</v>
      </c>
      <c r="I8" s="3">
        <f t="shared" si="1"/>
        <v>100</v>
      </c>
      <c r="J8" t="str">
        <f t="shared" si="2"/>
        <v>Healthy</v>
      </c>
      <c r="K8" t="s">
        <v>33</v>
      </c>
    </row>
    <row r="9" spans="1:11" ht="20.100000000000001" customHeight="1">
      <c r="A9" t="s">
        <v>58</v>
      </c>
      <c r="B9">
        <v>16</v>
      </c>
      <c r="C9">
        <v>16</v>
      </c>
      <c r="D9">
        <v>0</v>
      </c>
      <c r="E9" s="3">
        <f t="shared" si="0"/>
        <v>100</v>
      </c>
      <c r="F9">
        <v>7</v>
      </c>
      <c r="G9">
        <v>14</v>
      </c>
      <c r="H9" t="s">
        <v>647</v>
      </c>
      <c r="I9" s="3">
        <f t="shared" si="1"/>
        <v>100</v>
      </c>
      <c r="J9" t="str">
        <f t="shared" si="2"/>
        <v>Healthy</v>
      </c>
      <c r="K9" t="s">
        <v>33</v>
      </c>
    </row>
    <row r="10" spans="1:11" ht="20.100000000000001" customHeight="1">
      <c r="A10" t="s">
        <v>66</v>
      </c>
      <c r="B10">
        <v>17</v>
      </c>
      <c r="C10">
        <v>16</v>
      </c>
      <c r="D10">
        <v>1</v>
      </c>
      <c r="E10" s="3">
        <f t="shared" si="0"/>
        <v>94.117647058823522</v>
      </c>
      <c r="F10">
        <v>8</v>
      </c>
      <c r="G10">
        <v>15</v>
      </c>
      <c r="H10" t="s">
        <v>648</v>
      </c>
      <c r="I10" s="3">
        <f t="shared" si="1"/>
        <v>50</v>
      </c>
      <c r="J10" t="str">
        <f t="shared" si="2"/>
        <v>Review</v>
      </c>
      <c r="K10" t="s">
        <v>33</v>
      </c>
    </row>
    <row r="11" spans="1:11" ht="20.100000000000001" customHeight="1">
      <c r="A11" t="s">
        <v>75</v>
      </c>
      <c r="B11">
        <v>18</v>
      </c>
      <c r="C11">
        <v>16</v>
      </c>
      <c r="D11">
        <v>2</v>
      </c>
      <c r="E11" s="3">
        <f t="shared" si="0"/>
        <v>88.888888888888886</v>
      </c>
      <c r="F11">
        <v>9</v>
      </c>
      <c r="G11">
        <v>16</v>
      </c>
      <c r="H11" t="s">
        <v>648</v>
      </c>
      <c r="I11" s="3">
        <f t="shared" si="1"/>
        <v>50</v>
      </c>
      <c r="J11" t="str">
        <f t="shared" si="2"/>
        <v>Review</v>
      </c>
      <c r="K11" t="s">
        <v>33</v>
      </c>
    </row>
    <row r="12" spans="1:11" ht="20.100000000000001" customHeight="1">
      <c r="A12" t="s">
        <v>84</v>
      </c>
      <c r="B12">
        <v>19</v>
      </c>
      <c r="C12">
        <v>16</v>
      </c>
      <c r="D12">
        <v>3</v>
      </c>
      <c r="E12" s="3">
        <f t="shared" si="0"/>
        <v>84.210526315789465</v>
      </c>
      <c r="F12">
        <v>3</v>
      </c>
      <c r="G12">
        <v>17</v>
      </c>
      <c r="H12" t="s">
        <v>647</v>
      </c>
      <c r="I12" s="3">
        <f t="shared" si="1"/>
        <v>100</v>
      </c>
      <c r="J12" t="str">
        <f t="shared" si="2"/>
        <v>Healthy</v>
      </c>
      <c r="K12" t="s">
        <v>33</v>
      </c>
    </row>
    <row r="13" spans="1:11" ht="20.100000000000001" customHeight="1">
      <c r="A13" t="s">
        <v>90</v>
      </c>
      <c r="B13">
        <v>12</v>
      </c>
      <c r="C13">
        <v>12</v>
      </c>
      <c r="D13">
        <v>0</v>
      </c>
      <c r="E13" s="3">
        <f t="shared" si="0"/>
        <v>100</v>
      </c>
      <c r="F13">
        <v>4</v>
      </c>
      <c r="G13">
        <v>10</v>
      </c>
      <c r="H13" t="s">
        <v>647</v>
      </c>
      <c r="I13" s="3">
        <f t="shared" si="1"/>
        <v>100</v>
      </c>
      <c r="J13" t="str">
        <f t="shared" si="2"/>
        <v>Healthy</v>
      </c>
      <c r="K13" t="s">
        <v>33</v>
      </c>
    </row>
    <row r="14" spans="1:11" ht="20.100000000000001" customHeight="1">
      <c r="A14" t="s">
        <v>96</v>
      </c>
      <c r="B14">
        <v>13</v>
      </c>
      <c r="C14">
        <v>12</v>
      </c>
      <c r="D14">
        <v>1</v>
      </c>
      <c r="E14" s="3">
        <f t="shared" si="0"/>
        <v>92.307692307692307</v>
      </c>
      <c r="F14">
        <v>5</v>
      </c>
      <c r="G14">
        <v>11</v>
      </c>
      <c r="H14" t="s">
        <v>647</v>
      </c>
      <c r="I14" s="3">
        <f t="shared" si="1"/>
        <v>100</v>
      </c>
      <c r="J14" t="str">
        <f t="shared" si="2"/>
        <v>Healthy</v>
      </c>
      <c r="K14" t="s">
        <v>33</v>
      </c>
    </row>
    <row r="15" spans="1:11" ht="20.100000000000001" customHeight="1">
      <c r="A15" t="s">
        <v>105</v>
      </c>
      <c r="B15">
        <v>14</v>
      </c>
      <c r="C15">
        <v>12</v>
      </c>
      <c r="D15">
        <v>2</v>
      </c>
      <c r="E15" s="3">
        <f t="shared" si="0"/>
        <v>85.714285714285708</v>
      </c>
      <c r="F15">
        <v>6</v>
      </c>
      <c r="G15">
        <v>12</v>
      </c>
      <c r="H15" t="s">
        <v>647</v>
      </c>
      <c r="I15" s="3">
        <f t="shared" si="1"/>
        <v>100</v>
      </c>
      <c r="J15" t="str">
        <f t="shared" si="2"/>
        <v>Healthy</v>
      </c>
      <c r="K15" t="s">
        <v>33</v>
      </c>
    </row>
    <row r="16" spans="1:11" ht="20.100000000000001" customHeight="1">
      <c r="A16" t="s">
        <v>113</v>
      </c>
      <c r="B16">
        <v>15</v>
      </c>
      <c r="C16">
        <v>12</v>
      </c>
      <c r="D16">
        <v>3</v>
      </c>
      <c r="E16" s="3">
        <f t="shared" si="0"/>
        <v>80</v>
      </c>
      <c r="F16">
        <v>7</v>
      </c>
      <c r="G16">
        <v>13</v>
      </c>
      <c r="H16" t="s">
        <v>647</v>
      </c>
      <c r="I16" s="3">
        <f t="shared" si="1"/>
        <v>100</v>
      </c>
      <c r="J16" t="str">
        <f t="shared" si="2"/>
        <v>Healthy</v>
      </c>
      <c r="K16" t="s">
        <v>33</v>
      </c>
    </row>
    <row r="17" spans="1:11" ht="20.100000000000001" customHeight="1">
      <c r="A17" t="s">
        <v>119</v>
      </c>
      <c r="B17">
        <v>16</v>
      </c>
      <c r="C17">
        <v>16</v>
      </c>
      <c r="D17">
        <v>0</v>
      </c>
      <c r="E17" s="3">
        <f t="shared" si="0"/>
        <v>100</v>
      </c>
      <c r="F17">
        <v>8</v>
      </c>
      <c r="G17">
        <v>14</v>
      </c>
      <c r="H17" t="s">
        <v>647</v>
      </c>
      <c r="I17" s="3">
        <f t="shared" si="1"/>
        <v>100</v>
      </c>
      <c r="J17" t="str">
        <f t="shared" si="2"/>
        <v>Healthy</v>
      </c>
      <c r="K17" t="s">
        <v>33</v>
      </c>
    </row>
    <row r="18" spans="1:11" ht="20.100000000000001" customHeight="1">
      <c r="A18" t="s">
        <v>125</v>
      </c>
      <c r="B18">
        <v>17</v>
      </c>
      <c r="C18">
        <v>16</v>
      </c>
      <c r="D18">
        <v>1</v>
      </c>
      <c r="E18" s="3">
        <f t="shared" si="0"/>
        <v>94.117647058823522</v>
      </c>
      <c r="F18">
        <v>9</v>
      </c>
      <c r="G18">
        <v>15</v>
      </c>
      <c r="H18" t="s">
        <v>647</v>
      </c>
      <c r="I18" s="3">
        <f t="shared" si="1"/>
        <v>100</v>
      </c>
      <c r="J18" t="str">
        <f t="shared" si="2"/>
        <v>Healthy</v>
      </c>
      <c r="K18" t="s">
        <v>33</v>
      </c>
    </row>
    <row r="19" spans="1:11" ht="20.100000000000001" customHeight="1">
      <c r="A19" t="s">
        <v>131</v>
      </c>
      <c r="B19">
        <v>18</v>
      </c>
      <c r="C19">
        <v>16</v>
      </c>
      <c r="D19">
        <v>2</v>
      </c>
      <c r="E19" s="3">
        <f t="shared" si="0"/>
        <v>88.888888888888886</v>
      </c>
      <c r="F19">
        <v>3</v>
      </c>
      <c r="G19">
        <v>16</v>
      </c>
      <c r="H19" t="s">
        <v>647</v>
      </c>
      <c r="I19" s="3">
        <f t="shared" si="1"/>
        <v>100</v>
      </c>
      <c r="J19" t="str">
        <f t="shared" si="2"/>
        <v>Healthy</v>
      </c>
      <c r="K19" t="s">
        <v>33</v>
      </c>
    </row>
    <row r="20" spans="1:11" ht="20.100000000000001" customHeight="1">
      <c r="A20" t="s">
        <v>140</v>
      </c>
      <c r="B20">
        <v>19</v>
      </c>
      <c r="C20">
        <v>16</v>
      </c>
      <c r="D20">
        <v>3</v>
      </c>
      <c r="E20" s="3">
        <f t="shared" si="0"/>
        <v>84.210526315789465</v>
      </c>
      <c r="F20">
        <v>4</v>
      </c>
      <c r="G20">
        <v>17</v>
      </c>
      <c r="H20" t="s">
        <v>647</v>
      </c>
      <c r="I20" s="3">
        <f t="shared" si="1"/>
        <v>100</v>
      </c>
      <c r="J20" t="str">
        <f t="shared" si="2"/>
        <v>Healthy</v>
      </c>
      <c r="K20" t="s">
        <v>33</v>
      </c>
    </row>
    <row r="21" spans="1:11" ht="20.100000000000001" customHeight="1">
      <c r="A21" t="s">
        <v>151</v>
      </c>
      <c r="B21">
        <v>12</v>
      </c>
      <c r="C21">
        <v>12</v>
      </c>
      <c r="D21">
        <v>0</v>
      </c>
      <c r="E21" s="3">
        <f t="shared" si="0"/>
        <v>100</v>
      </c>
      <c r="F21">
        <v>5</v>
      </c>
      <c r="G21">
        <v>10</v>
      </c>
      <c r="H21" t="s">
        <v>647</v>
      </c>
      <c r="I21" s="3">
        <f t="shared" si="1"/>
        <v>100</v>
      </c>
      <c r="J21" t="str">
        <f t="shared" si="2"/>
        <v>Healthy</v>
      </c>
      <c r="K21" t="s">
        <v>33</v>
      </c>
    </row>
    <row r="22" spans="1:11" ht="20.100000000000001" customHeight="1">
      <c r="A22" t="s">
        <v>157</v>
      </c>
      <c r="B22">
        <v>13</v>
      </c>
      <c r="C22">
        <v>12</v>
      </c>
      <c r="D22">
        <v>1</v>
      </c>
      <c r="E22" s="3">
        <f t="shared" si="0"/>
        <v>92.307692307692307</v>
      </c>
      <c r="F22">
        <v>6</v>
      </c>
      <c r="G22">
        <v>11</v>
      </c>
      <c r="H22" t="s">
        <v>648</v>
      </c>
      <c r="I22" s="3">
        <f t="shared" si="1"/>
        <v>50</v>
      </c>
      <c r="J22" t="str">
        <f t="shared" si="2"/>
        <v>Review</v>
      </c>
      <c r="K22" t="s">
        <v>33</v>
      </c>
    </row>
    <row r="23" spans="1:11" ht="20.100000000000001" customHeight="1">
      <c r="A23" t="s">
        <v>164</v>
      </c>
      <c r="B23">
        <v>14</v>
      </c>
      <c r="C23">
        <v>12</v>
      </c>
      <c r="D23">
        <v>2</v>
      </c>
      <c r="E23" s="3">
        <f t="shared" si="0"/>
        <v>85.714285714285708</v>
      </c>
      <c r="F23">
        <v>7</v>
      </c>
      <c r="G23">
        <v>12</v>
      </c>
      <c r="H23" t="s">
        <v>647</v>
      </c>
      <c r="I23" s="3">
        <f t="shared" si="1"/>
        <v>100</v>
      </c>
      <c r="J23" t="str">
        <f t="shared" si="2"/>
        <v>Healthy</v>
      </c>
      <c r="K23" t="s">
        <v>33</v>
      </c>
    </row>
    <row r="24" spans="1:11" ht="20.100000000000001" customHeight="1">
      <c r="A24" t="s">
        <v>172</v>
      </c>
      <c r="B24">
        <v>15</v>
      </c>
      <c r="C24">
        <v>12</v>
      </c>
      <c r="D24">
        <v>3</v>
      </c>
      <c r="E24" s="3">
        <f t="shared" si="0"/>
        <v>80</v>
      </c>
      <c r="F24">
        <v>8</v>
      </c>
      <c r="G24">
        <v>13</v>
      </c>
      <c r="H24" t="s">
        <v>647</v>
      </c>
      <c r="I24" s="3">
        <f t="shared" si="1"/>
        <v>100</v>
      </c>
      <c r="J24" t="str">
        <f t="shared" si="2"/>
        <v>Healthy</v>
      </c>
      <c r="K24" t="s">
        <v>33</v>
      </c>
    </row>
    <row r="25" spans="1:11" ht="20.100000000000001" customHeight="1">
      <c r="A25" t="s">
        <v>179</v>
      </c>
      <c r="B25">
        <v>16</v>
      </c>
      <c r="C25">
        <v>16</v>
      </c>
      <c r="D25">
        <v>0</v>
      </c>
      <c r="E25" s="3">
        <f t="shared" si="0"/>
        <v>100</v>
      </c>
      <c r="F25">
        <v>9</v>
      </c>
      <c r="G25">
        <v>14</v>
      </c>
      <c r="H25" t="s">
        <v>647</v>
      </c>
      <c r="I25" s="3">
        <f t="shared" si="1"/>
        <v>100</v>
      </c>
      <c r="J25" t="str">
        <f t="shared" si="2"/>
        <v>Healthy</v>
      </c>
      <c r="K25" t="s">
        <v>33</v>
      </c>
    </row>
    <row r="26" spans="1:11" ht="20.100000000000001" customHeight="1">
      <c r="A26" t="s">
        <v>187</v>
      </c>
      <c r="B26">
        <v>17</v>
      </c>
      <c r="C26">
        <v>16</v>
      </c>
      <c r="D26">
        <v>1</v>
      </c>
      <c r="E26" s="3">
        <f t="shared" si="0"/>
        <v>94.117647058823522</v>
      </c>
      <c r="F26">
        <v>3</v>
      </c>
      <c r="G26">
        <v>15</v>
      </c>
      <c r="H26" t="s">
        <v>647</v>
      </c>
      <c r="I26" s="3">
        <f t="shared" si="1"/>
        <v>100</v>
      </c>
      <c r="J26" t="str">
        <f t="shared" si="2"/>
        <v>Healthy</v>
      </c>
      <c r="K26" t="s">
        <v>33</v>
      </c>
    </row>
    <row r="27" spans="1:11" ht="20.100000000000001" customHeight="1">
      <c r="A27" t="s">
        <v>196</v>
      </c>
      <c r="B27">
        <v>18</v>
      </c>
      <c r="C27">
        <v>16</v>
      </c>
      <c r="D27">
        <v>2</v>
      </c>
      <c r="E27" s="3">
        <f t="shared" si="0"/>
        <v>88.888888888888886</v>
      </c>
      <c r="F27">
        <v>4</v>
      </c>
      <c r="G27">
        <v>16</v>
      </c>
      <c r="H27" t="s">
        <v>647</v>
      </c>
      <c r="I27" s="3">
        <f t="shared" si="1"/>
        <v>100</v>
      </c>
      <c r="J27" t="str">
        <f t="shared" si="2"/>
        <v>Healthy</v>
      </c>
      <c r="K27" t="s">
        <v>33</v>
      </c>
    </row>
    <row r="28" spans="1:11" ht="20.100000000000001" customHeight="1">
      <c r="A28" t="s">
        <v>206</v>
      </c>
      <c r="B28">
        <v>19</v>
      </c>
      <c r="C28">
        <v>16</v>
      </c>
      <c r="D28">
        <v>3</v>
      </c>
      <c r="E28" s="3">
        <f t="shared" si="0"/>
        <v>84.210526315789465</v>
      </c>
      <c r="F28">
        <v>5</v>
      </c>
      <c r="G28">
        <v>17</v>
      </c>
      <c r="H28" t="s">
        <v>647</v>
      </c>
      <c r="I28" s="3">
        <f t="shared" si="1"/>
        <v>100</v>
      </c>
      <c r="J28" t="str">
        <f t="shared" si="2"/>
        <v>Healthy</v>
      </c>
      <c r="K28" t="s">
        <v>33</v>
      </c>
    </row>
    <row r="29" spans="1:11" ht="20.100000000000001" customHeight="1">
      <c r="A29" t="s">
        <v>212</v>
      </c>
      <c r="B29">
        <v>12</v>
      </c>
      <c r="C29">
        <v>12</v>
      </c>
      <c r="D29">
        <v>0</v>
      </c>
      <c r="E29" s="3">
        <f t="shared" si="0"/>
        <v>100</v>
      </c>
      <c r="F29">
        <v>6</v>
      </c>
      <c r="G29">
        <v>10</v>
      </c>
      <c r="H29" t="s">
        <v>648</v>
      </c>
      <c r="I29" s="3">
        <f t="shared" si="1"/>
        <v>50</v>
      </c>
      <c r="J29" t="str">
        <f t="shared" si="2"/>
        <v>Review</v>
      </c>
      <c r="K29" t="s">
        <v>33</v>
      </c>
    </row>
    <row r="30" spans="1:11" ht="20.100000000000001" customHeight="1">
      <c r="A30" t="s">
        <v>219</v>
      </c>
      <c r="B30">
        <v>13</v>
      </c>
      <c r="C30">
        <v>12</v>
      </c>
      <c r="D30">
        <v>1</v>
      </c>
      <c r="E30" s="3">
        <f t="shared" si="0"/>
        <v>92.307692307692307</v>
      </c>
      <c r="F30">
        <v>7</v>
      </c>
      <c r="G30">
        <v>11</v>
      </c>
      <c r="H30" t="s">
        <v>648</v>
      </c>
      <c r="I30" s="3">
        <f t="shared" si="1"/>
        <v>50</v>
      </c>
      <c r="J30" t="str">
        <f t="shared" si="2"/>
        <v>Review</v>
      </c>
      <c r="K30" t="s">
        <v>33</v>
      </c>
    </row>
    <row r="31" spans="1:11" ht="20.100000000000001" customHeight="1">
      <c r="A31" t="s">
        <v>228</v>
      </c>
      <c r="B31">
        <v>14</v>
      </c>
      <c r="C31">
        <v>12</v>
      </c>
      <c r="D31">
        <v>2</v>
      </c>
      <c r="E31" s="3">
        <f t="shared" si="0"/>
        <v>85.714285714285708</v>
      </c>
      <c r="F31">
        <v>8</v>
      </c>
      <c r="G31">
        <v>12</v>
      </c>
      <c r="H31" t="s">
        <v>647</v>
      </c>
      <c r="I31" s="3">
        <f t="shared" si="1"/>
        <v>100</v>
      </c>
      <c r="J31" t="str">
        <f t="shared" si="2"/>
        <v>Healthy</v>
      </c>
      <c r="K31" t="s">
        <v>33</v>
      </c>
    </row>
    <row r="32" spans="1:11" ht="20.100000000000001" customHeight="1">
      <c r="A32" t="s">
        <v>234</v>
      </c>
      <c r="B32">
        <v>15</v>
      </c>
      <c r="C32">
        <v>12</v>
      </c>
      <c r="D32">
        <v>3</v>
      </c>
      <c r="E32" s="3">
        <f t="shared" si="0"/>
        <v>80</v>
      </c>
      <c r="F32">
        <v>9</v>
      </c>
      <c r="G32">
        <v>13</v>
      </c>
      <c r="H32" t="s">
        <v>647</v>
      </c>
      <c r="I32" s="3">
        <f t="shared" si="1"/>
        <v>100</v>
      </c>
      <c r="J32" t="str">
        <f t="shared" si="2"/>
        <v>Healthy</v>
      </c>
      <c r="K32" t="s">
        <v>33</v>
      </c>
    </row>
    <row r="33" spans="1:11" ht="20.100000000000001" customHeight="1">
      <c r="A33" t="s">
        <v>242</v>
      </c>
      <c r="B33">
        <v>16</v>
      </c>
      <c r="C33">
        <v>16</v>
      </c>
      <c r="D33">
        <v>0</v>
      </c>
      <c r="E33" s="3">
        <f t="shared" si="0"/>
        <v>100</v>
      </c>
      <c r="F33">
        <v>3</v>
      </c>
      <c r="G33">
        <v>14</v>
      </c>
      <c r="H33" t="s">
        <v>647</v>
      </c>
      <c r="I33" s="3">
        <f t="shared" si="1"/>
        <v>100</v>
      </c>
      <c r="J33" t="str">
        <f t="shared" si="2"/>
        <v>Healthy</v>
      </c>
      <c r="K33" t="s">
        <v>33</v>
      </c>
    </row>
    <row r="34" spans="1:11" ht="20.100000000000001" customHeight="1">
      <c r="A34" t="s">
        <v>248</v>
      </c>
      <c r="B34">
        <v>17</v>
      </c>
      <c r="C34">
        <v>16</v>
      </c>
      <c r="D34">
        <v>1</v>
      </c>
      <c r="E34" s="3">
        <f t="shared" si="0"/>
        <v>94.117647058823522</v>
      </c>
      <c r="F34">
        <v>4</v>
      </c>
      <c r="G34">
        <v>15</v>
      </c>
      <c r="H34" t="s">
        <v>647</v>
      </c>
      <c r="I34" s="3">
        <f t="shared" si="1"/>
        <v>100</v>
      </c>
      <c r="J34" t="str">
        <f t="shared" si="2"/>
        <v>Healthy</v>
      </c>
      <c r="K34" t="s">
        <v>33</v>
      </c>
    </row>
    <row r="35" spans="1:11" ht="20.100000000000001" customHeight="1">
      <c r="A35" t="s">
        <v>254</v>
      </c>
      <c r="B35">
        <v>18</v>
      </c>
      <c r="C35">
        <v>16</v>
      </c>
      <c r="D35">
        <v>2</v>
      </c>
      <c r="E35" s="3">
        <f t="shared" si="0"/>
        <v>88.888888888888886</v>
      </c>
      <c r="F35">
        <v>5</v>
      </c>
      <c r="G35">
        <v>16</v>
      </c>
      <c r="H35" t="s">
        <v>647</v>
      </c>
      <c r="I35" s="3">
        <f t="shared" si="1"/>
        <v>100</v>
      </c>
      <c r="J35" t="str">
        <f t="shared" si="2"/>
        <v>Healthy</v>
      </c>
      <c r="K35" t="s">
        <v>33</v>
      </c>
    </row>
    <row r="36" spans="1:11" ht="20.100000000000001" customHeight="1">
      <c r="A36" t="s">
        <v>263</v>
      </c>
      <c r="B36">
        <v>19</v>
      </c>
      <c r="C36">
        <v>16</v>
      </c>
      <c r="D36">
        <v>3</v>
      </c>
      <c r="E36" s="3">
        <f t="shared" si="0"/>
        <v>84.210526315789465</v>
      </c>
      <c r="F36">
        <v>6</v>
      </c>
      <c r="G36">
        <v>17</v>
      </c>
      <c r="H36" t="s">
        <v>647</v>
      </c>
      <c r="I36" s="3">
        <f t="shared" si="1"/>
        <v>100</v>
      </c>
      <c r="J36" t="str">
        <f t="shared" si="2"/>
        <v>Healthy</v>
      </c>
      <c r="K36" t="s">
        <v>33</v>
      </c>
    </row>
    <row r="37" spans="1:11" ht="20.100000000000001" customHeight="1">
      <c r="A37" t="s">
        <v>270</v>
      </c>
      <c r="B37">
        <v>12</v>
      </c>
      <c r="C37">
        <v>12</v>
      </c>
      <c r="D37">
        <v>0</v>
      </c>
      <c r="E37" s="3">
        <f t="shared" ref="E37:E64" si="3">IF(B37=0,0,C37/B37*100)</f>
        <v>100</v>
      </c>
      <c r="F37">
        <v>7</v>
      </c>
      <c r="G37">
        <v>10</v>
      </c>
      <c r="H37" t="s">
        <v>648</v>
      </c>
      <c r="I37" s="3">
        <f t="shared" ref="I37:I68" si="4">IF(H37="Pass",100,IF(H37="Partial",50,0))</f>
        <v>50</v>
      </c>
      <c r="J37" t="str">
        <f t="shared" ref="J37:J68" si="5">IF(AND(E37&gt;=80,I37=100,F37&lt;=15),"Healthy",IF(AND(E37&gt;=60,I37&gt;=50),"Review","Weak"))</f>
        <v>Review</v>
      </c>
      <c r="K37" t="s">
        <v>33</v>
      </c>
    </row>
    <row r="38" spans="1:11" ht="20.100000000000001" customHeight="1">
      <c r="A38" t="s">
        <v>278</v>
      </c>
      <c r="B38">
        <v>13</v>
      </c>
      <c r="C38">
        <v>12</v>
      </c>
      <c r="D38">
        <v>1</v>
      </c>
      <c r="E38" s="3">
        <f t="shared" si="3"/>
        <v>92.307692307692307</v>
      </c>
      <c r="F38">
        <v>8</v>
      </c>
      <c r="G38">
        <v>11</v>
      </c>
      <c r="H38" t="s">
        <v>647</v>
      </c>
      <c r="I38" s="3">
        <f t="shared" si="4"/>
        <v>100</v>
      </c>
      <c r="J38" t="str">
        <f t="shared" si="5"/>
        <v>Healthy</v>
      </c>
      <c r="K38" t="s">
        <v>33</v>
      </c>
    </row>
    <row r="39" spans="1:11" ht="20.100000000000001" customHeight="1">
      <c r="A39" t="s">
        <v>286</v>
      </c>
      <c r="B39">
        <v>14</v>
      </c>
      <c r="C39">
        <v>12</v>
      </c>
      <c r="D39">
        <v>2</v>
      </c>
      <c r="E39" s="3">
        <f t="shared" si="3"/>
        <v>85.714285714285708</v>
      </c>
      <c r="F39">
        <v>9</v>
      </c>
      <c r="G39">
        <v>12</v>
      </c>
      <c r="H39" t="s">
        <v>647</v>
      </c>
      <c r="I39" s="3">
        <f t="shared" si="4"/>
        <v>100</v>
      </c>
      <c r="J39" t="str">
        <f t="shared" si="5"/>
        <v>Healthy</v>
      </c>
      <c r="K39" t="s">
        <v>33</v>
      </c>
    </row>
    <row r="40" spans="1:11" ht="20.100000000000001" customHeight="1">
      <c r="A40" t="s">
        <v>293</v>
      </c>
      <c r="B40">
        <v>15</v>
      </c>
      <c r="C40">
        <v>12</v>
      </c>
      <c r="D40">
        <v>3</v>
      </c>
      <c r="E40" s="3">
        <f t="shared" si="3"/>
        <v>80</v>
      </c>
      <c r="F40">
        <v>3</v>
      </c>
      <c r="G40">
        <v>13</v>
      </c>
      <c r="H40" t="s">
        <v>647</v>
      </c>
      <c r="I40" s="3">
        <f t="shared" si="4"/>
        <v>100</v>
      </c>
      <c r="J40" t="str">
        <f t="shared" si="5"/>
        <v>Healthy</v>
      </c>
      <c r="K40" t="s">
        <v>33</v>
      </c>
    </row>
    <row r="41" spans="1:11" ht="20.100000000000001" customHeight="1">
      <c r="A41" t="s">
        <v>302</v>
      </c>
      <c r="B41">
        <v>16</v>
      </c>
      <c r="C41">
        <v>16</v>
      </c>
      <c r="D41">
        <v>0</v>
      </c>
      <c r="E41" s="3">
        <f t="shared" si="3"/>
        <v>100</v>
      </c>
      <c r="F41">
        <v>4</v>
      </c>
      <c r="G41">
        <v>14</v>
      </c>
      <c r="H41" t="s">
        <v>647</v>
      </c>
      <c r="I41" s="3">
        <f t="shared" si="4"/>
        <v>100</v>
      </c>
      <c r="J41" t="str">
        <f t="shared" si="5"/>
        <v>Healthy</v>
      </c>
      <c r="K41" t="s">
        <v>33</v>
      </c>
    </row>
    <row r="42" spans="1:11" ht="20.100000000000001" customHeight="1">
      <c r="A42" t="s">
        <v>308</v>
      </c>
      <c r="B42">
        <v>17</v>
      </c>
      <c r="C42">
        <v>16</v>
      </c>
      <c r="D42">
        <v>1</v>
      </c>
      <c r="E42" s="3">
        <f t="shared" si="3"/>
        <v>94.117647058823522</v>
      </c>
      <c r="F42">
        <v>5</v>
      </c>
      <c r="G42">
        <v>15</v>
      </c>
      <c r="H42" t="s">
        <v>647</v>
      </c>
      <c r="I42" s="3">
        <f t="shared" si="4"/>
        <v>100</v>
      </c>
      <c r="J42" t="str">
        <f t="shared" si="5"/>
        <v>Healthy</v>
      </c>
      <c r="K42" t="s">
        <v>33</v>
      </c>
    </row>
    <row r="43" spans="1:11" ht="20.100000000000001" customHeight="1">
      <c r="A43" t="s">
        <v>315</v>
      </c>
      <c r="B43">
        <v>18</v>
      </c>
      <c r="C43">
        <v>16</v>
      </c>
      <c r="D43">
        <v>2</v>
      </c>
      <c r="E43" s="3">
        <f t="shared" si="3"/>
        <v>88.888888888888886</v>
      </c>
      <c r="F43">
        <v>6</v>
      </c>
      <c r="G43">
        <v>16</v>
      </c>
      <c r="H43" t="s">
        <v>647</v>
      </c>
      <c r="I43" s="3">
        <f t="shared" si="4"/>
        <v>100</v>
      </c>
      <c r="J43" t="str">
        <f t="shared" si="5"/>
        <v>Healthy</v>
      </c>
      <c r="K43" t="s">
        <v>33</v>
      </c>
    </row>
    <row r="44" spans="1:11" ht="20.100000000000001" customHeight="1">
      <c r="A44" t="s">
        <v>322</v>
      </c>
      <c r="B44">
        <v>19</v>
      </c>
      <c r="C44">
        <v>16</v>
      </c>
      <c r="D44">
        <v>3</v>
      </c>
      <c r="E44" s="3">
        <f t="shared" si="3"/>
        <v>84.210526315789465</v>
      </c>
      <c r="F44">
        <v>7</v>
      </c>
      <c r="G44">
        <v>17</v>
      </c>
      <c r="H44" t="s">
        <v>647</v>
      </c>
      <c r="I44" s="3">
        <f t="shared" si="4"/>
        <v>100</v>
      </c>
      <c r="J44" t="str">
        <f t="shared" si="5"/>
        <v>Healthy</v>
      </c>
      <c r="K44" t="s">
        <v>33</v>
      </c>
    </row>
    <row r="45" spans="1:11" ht="20.100000000000001" customHeight="1">
      <c r="A45" t="s">
        <v>330</v>
      </c>
      <c r="B45">
        <v>12</v>
      </c>
      <c r="C45">
        <v>12</v>
      </c>
      <c r="D45">
        <v>0</v>
      </c>
      <c r="E45" s="3">
        <f t="shared" si="3"/>
        <v>100</v>
      </c>
      <c r="F45">
        <v>8</v>
      </c>
      <c r="G45">
        <v>10</v>
      </c>
      <c r="H45" t="s">
        <v>648</v>
      </c>
      <c r="I45" s="3">
        <f t="shared" si="4"/>
        <v>50</v>
      </c>
      <c r="J45" t="str">
        <f t="shared" si="5"/>
        <v>Review</v>
      </c>
      <c r="K45" t="s">
        <v>33</v>
      </c>
    </row>
    <row r="46" spans="1:11" ht="20.100000000000001" customHeight="1">
      <c r="A46" t="s">
        <v>338</v>
      </c>
      <c r="B46">
        <v>13</v>
      </c>
      <c r="C46">
        <v>12</v>
      </c>
      <c r="D46">
        <v>1</v>
      </c>
      <c r="E46" s="3">
        <f t="shared" si="3"/>
        <v>92.307692307692307</v>
      </c>
      <c r="F46">
        <v>9</v>
      </c>
      <c r="G46">
        <v>11</v>
      </c>
      <c r="H46" t="s">
        <v>648</v>
      </c>
      <c r="I46" s="3">
        <f t="shared" si="4"/>
        <v>50</v>
      </c>
      <c r="J46" t="str">
        <f t="shared" si="5"/>
        <v>Review</v>
      </c>
      <c r="K46" t="s">
        <v>33</v>
      </c>
    </row>
    <row r="47" spans="1:11" ht="20.100000000000001" customHeight="1">
      <c r="A47" t="s">
        <v>345</v>
      </c>
      <c r="B47">
        <v>14</v>
      </c>
      <c r="C47">
        <v>12</v>
      </c>
      <c r="D47">
        <v>2</v>
      </c>
      <c r="E47" s="3">
        <f t="shared" si="3"/>
        <v>85.714285714285708</v>
      </c>
      <c r="F47">
        <v>3</v>
      </c>
      <c r="G47">
        <v>12</v>
      </c>
      <c r="H47" t="s">
        <v>648</v>
      </c>
      <c r="I47" s="3">
        <f t="shared" si="4"/>
        <v>50</v>
      </c>
      <c r="J47" t="str">
        <f t="shared" si="5"/>
        <v>Review</v>
      </c>
      <c r="K47" t="s">
        <v>33</v>
      </c>
    </row>
    <row r="48" spans="1:11" ht="20.100000000000001" customHeight="1">
      <c r="A48" t="s">
        <v>350</v>
      </c>
      <c r="B48">
        <v>15</v>
      </c>
      <c r="C48">
        <v>12</v>
      </c>
      <c r="D48">
        <v>3</v>
      </c>
      <c r="E48" s="3">
        <f t="shared" si="3"/>
        <v>80</v>
      </c>
      <c r="F48">
        <v>4</v>
      </c>
      <c r="G48">
        <v>13</v>
      </c>
      <c r="H48" t="s">
        <v>647</v>
      </c>
      <c r="I48" s="3">
        <f t="shared" si="4"/>
        <v>100</v>
      </c>
      <c r="J48" t="str">
        <f t="shared" si="5"/>
        <v>Healthy</v>
      </c>
      <c r="K48" t="s">
        <v>33</v>
      </c>
    </row>
    <row r="49" spans="1:11" ht="20.100000000000001" customHeight="1">
      <c r="A49" t="s">
        <v>357</v>
      </c>
      <c r="B49">
        <v>16</v>
      </c>
      <c r="C49">
        <v>16</v>
      </c>
      <c r="D49">
        <v>0</v>
      </c>
      <c r="E49" s="3">
        <f t="shared" si="3"/>
        <v>100</v>
      </c>
      <c r="F49">
        <v>5</v>
      </c>
      <c r="G49">
        <v>14</v>
      </c>
      <c r="H49" t="s">
        <v>647</v>
      </c>
      <c r="I49" s="3">
        <f t="shared" si="4"/>
        <v>100</v>
      </c>
      <c r="J49" t="str">
        <f t="shared" si="5"/>
        <v>Healthy</v>
      </c>
      <c r="K49" t="s">
        <v>33</v>
      </c>
    </row>
    <row r="50" spans="1:11" ht="20.100000000000001" customHeight="1">
      <c r="A50" t="s">
        <v>364</v>
      </c>
      <c r="B50">
        <v>17</v>
      </c>
      <c r="C50">
        <v>16</v>
      </c>
      <c r="D50">
        <v>1</v>
      </c>
      <c r="E50" s="3">
        <f t="shared" si="3"/>
        <v>94.117647058823522</v>
      </c>
      <c r="F50">
        <v>6</v>
      </c>
      <c r="G50">
        <v>15</v>
      </c>
      <c r="H50" t="s">
        <v>647</v>
      </c>
      <c r="I50" s="3">
        <f t="shared" si="4"/>
        <v>100</v>
      </c>
      <c r="J50" t="str">
        <f t="shared" si="5"/>
        <v>Healthy</v>
      </c>
      <c r="K50" t="s">
        <v>33</v>
      </c>
    </row>
    <row r="51" spans="1:11" ht="20.100000000000001" customHeight="1">
      <c r="A51" t="s">
        <v>370</v>
      </c>
      <c r="B51">
        <v>18</v>
      </c>
      <c r="C51">
        <v>16</v>
      </c>
      <c r="D51">
        <v>2</v>
      </c>
      <c r="E51" s="3">
        <f t="shared" si="3"/>
        <v>88.888888888888886</v>
      </c>
      <c r="F51">
        <v>7</v>
      </c>
      <c r="G51">
        <v>16</v>
      </c>
      <c r="H51" t="s">
        <v>647</v>
      </c>
      <c r="I51" s="3">
        <f t="shared" si="4"/>
        <v>100</v>
      </c>
      <c r="J51" t="str">
        <f t="shared" si="5"/>
        <v>Healthy</v>
      </c>
      <c r="K51" t="s">
        <v>33</v>
      </c>
    </row>
    <row r="52" spans="1:11" ht="20.100000000000001" customHeight="1">
      <c r="A52" t="s">
        <v>377</v>
      </c>
      <c r="B52">
        <v>19</v>
      </c>
      <c r="C52">
        <v>16</v>
      </c>
      <c r="D52">
        <v>3</v>
      </c>
      <c r="E52" s="3">
        <f t="shared" si="3"/>
        <v>84.210526315789465</v>
      </c>
      <c r="F52">
        <v>8</v>
      </c>
      <c r="G52">
        <v>17</v>
      </c>
      <c r="H52" t="s">
        <v>647</v>
      </c>
      <c r="I52" s="3">
        <f t="shared" si="4"/>
        <v>100</v>
      </c>
      <c r="J52" t="str">
        <f t="shared" si="5"/>
        <v>Healthy</v>
      </c>
      <c r="K52" t="s">
        <v>33</v>
      </c>
    </row>
    <row r="53" spans="1:11" ht="20.100000000000001" customHeight="1">
      <c r="A53" t="s">
        <v>385</v>
      </c>
      <c r="B53">
        <v>12</v>
      </c>
      <c r="C53">
        <v>12</v>
      </c>
      <c r="D53">
        <v>0</v>
      </c>
      <c r="E53" s="3">
        <f t="shared" si="3"/>
        <v>100</v>
      </c>
      <c r="F53">
        <v>9</v>
      </c>
      <c r="G53">
        <v>10</v>
      </c>
      <c r="H53" t="s">
        <v>647</v>
      </c>
      <c r="I53" s="3">
        <f t="shared" si="4"/>
        <v>100</v>
      </c>
      <c r="J53" t="str">
        <f t="shared" si="5"/>
        <v>Healthy</v>
      </c>
      <c r="K53" t="s">
        <v>33</v>
      </c>
    </row>
    <row r="54" spans="1:11" ht="20.100000000000001" customHeight="1">
      <c r="A54" t="s">
        <v>393</v>
      </c>
      <c r="B54">
        <v>13</v>
      </c>
      <c r="C54">
        <v>12</v>
      </c>
      <c r="D54">
        <v>1</v>
      </c>
      <c r="E54" s="3">
        <f t="shared" si="3"/>
        <v>92.307692307692307</v>
      </c>
      <c r="F54">
        <v>3</v>
      </c>
      <c r="G54">
        <v>11</v>
      </c>
      <c r="H54" t="s">
        <v>647</v>
      </c>
      <c r="I54" s="3">
        <f t="shared" si="4"/>
        <v>100</v>
      </c>
      <c r="J54" t="str">
        <f t="shared" si="5"/>
        <v>Healthy</v>
      </c>
      <c r="K54" t="s">
        <v>33</v>
      </c>
    </row>
    <row r="55" spans="1:11" ht="20.100000000000001" customHeight="1">
      <c r="A55" t="s">
        <v>399</v>
      </c>
      <c r="B55">
        <v>14</v>
      </c>
      <c r="C55">
        <v>12</v>
      </c>
      <c r="D55">
        <v>2</v>
      </c>
      <c r="E55" s="3">
        <f t="shared" si="3"/>
        <v>85.714285714285708</v>
      </c>
      <c r="F55">
        <v>4</v>
      </c>
      <c r="G55">
        <v>12</v>
      </c>
      <c r="H55" t="s">
        <v>647</v>
      </c>
      <c r="I55" s="3">
        <f t="shared" si="4"/>
        <v>100</v>
      </c>
      <c r="J55" t="str">
        <f t="shared" si="5"/>
        <v>Healthy</v>
      </c>
      <c r="K55" t="s">
        <v>33</v>
      </c>
    </row>
    <row r="56" spans="1:11" ht="20.100000000000001" customHeight="1">
      <c r="A56" t="s">
        <v>406</v>
      </c>
      <c r="B56">
        <v>15</v>
      </c>
      <c r="C56">
        <v>12</v>
      </c>
      <c r="D56">
        <v>3</v>
      </c>
      <c r="E56" s="3">
        <f t="shared" si="3"/>
        <v>80</v>
      </c>
      <c r="F56">
        <v>5</v>
      </c>
      <c r="G56">
        <v>13</v>
      </c>
      <c r="H56" t="s">
        <v>647</v>
      </c>
      <c r="I56" s="3">
        <f t="shared" si="4"/>
        <v>100</v>
      </c>
      <c r="J56" t="str">
        <f t="shared" si="5"/>
        <v>Healthy</v>
      </c>
      <c r="K56" t="s">
        <v>33</v>
      </c>
    </row>
    <row r="57" spans="1:11" ht="20.100000000000001" customHeight="1">
      <c r="A57" t="s">
        <v>412</v>
      </c>
      <c r="B57">
        <v>16</v>
      </c>
      <c r="C57">
        <v>16</v>
      </c>
      <c r="D57">
        <v>0</v>
      </c>
      <c r="E57" s="3">
        <f t="shared" si="3"/>
        <v>100</v>
      </c>
      <c r="F57">
        <v>6</v>
      </c>
      <c r="G57">
        <v>14</v>
      </c>
      <c r="H57" t="s">
        <v>647</v>
      </c>
      <c r="I57" s="3">
        <f t="shared" si="4"/>
        <v>100</v>
      </c>
      <c r="J57" t="str">
        <f t="shared" si="5"/>
        <v>Healthy</v>
      </c>
      <c r="K57" t="s">
        <v>33</v>
      </c>
    </row>
    <row r="58" spans="1:11" ht="20.100000000000001" customHeight="1">
      <c r="A58" t="s">
        <v>421</v>
      </c>
      <c r="B58">
        <v>17</v>
      </c>
      <c r="C58">
        <v>16</v>
      </c>
      <c r="D58">
        <v>1</v>
      </c>
      <c r="E58" s="3">
        <f t="shared" si="3"/>
        <v>94.117647058823522</v>
      </c>
      <c r="F58">
        <v>7</v>
      </c>
      <c r="G58">
        <v>15</v>
      </c>
      <c r="H58" t="s">
        <v>647</v>
      </c>
      <c r="I58" s="3">
        <f t="shared" si="4"/>
        <v>100</v>
      </c>
      <c r="J58" t="str">
        <f t="shared" si="5"/>
        <v>Healthy</v>
      </c>
      <c r="K58" t="s">
        <v>33</v>
      </c>
    </row>
    <row r="59" spans="1:11" ht="20.100000000000001" customHeight="1">
      <c r="A59" t="s">
        <v>427</v>
      </c>
      <c r="B59">
        <v>18</v>
      </c>
      <c r="C59">
        <v>16</v>
      </c>
      <c r="D59">
        <v>2</v>
      </c>
      <c r="E59" s="3">
        <f t="shared" si="3"/>
        <v>88.888888888888886</v>
      </c>
      <c r="F59">
        <v>8</v>
      </c>
      <c r="G59">
        <v>16</v>
      </c>
      <c r="H59" t="s">
        <v>647</v>
      </c>
      <c r="I59" s="3">
        <f t="shared" si="4"/>
        <v>100</v>
      </c>
      <c r="J59" t="str">
        <f t="shared" si="5"/>
        <v>Healthy</v>
      </c>
      <c r="K59" t="s">
        <v>33</v>
      </c>
    </row>
    <row r="60" spans="1:11" ht="20.100000000000001" customHeight="1">
      <c r="A60" t="s">
        <v>433</v>
      </c>
      <c r="B60">
        <v>19</v>
      </c>
      <c r="C60">
        <v>16</v>
      </c>
      <c r="D60">
        <v>3</v>
      </c>
      <c r="E60" s="3">
        <f t="shared" si="3"/>
        <v>84.210526315789465</v>
      </c>
      <c r="F60">
        <v>9</v>
      </c>
      <c r="G60">
        <v>17</v>
      </c>
      <c r="H60" t="s">
        <v>647</v>
      </c>
      <c r="I60" s="3">
        <f t="shared" si="4"/>
        <v>100</v>
      </c>
      <c r="J60" t="str">
        <f t="shared" si="5"/>
        <v>Healthy</v>
      </c>
      <c r="K60" t="s">
        <v>33</v>
      </c>
    </row>
    <row r="61" spans="1:11" ht="20.100000000000001" customHeight="1">
      <c r="A61" t="s">
        <v>440</v>
      </c>
      <c r="B61">
        <v>12</v>
      </c>
      <c r="C61">
        <v>12</v>
      </c>
      <c r="D61">
        <v>0</v>
      </c>
      <c r="E61" s="3">
        <f t="shared" si="3"/>
        <v>100</v>
      </c>
      <c r="F61">
        <v>3</v>
      </c>
      <c r="G61">
        <v>10</v>
      </c>
      <c r="H61" t="s">
        <v>647</v>
      </c>
      <c r="I61" s="3">
        <f t="shared" si="4"/>
        <v>100</v>
      </c>
      <c r="J61" t="str">
        <f t="shared" si="5"/>
        <v>Healthy</v>
      </c>
      <c r="K61" t="s">
        <v>33</v>
      </c>
    </row>
    <row r="62" spans="1:11" ht="20.100000000000001" customHeight="1">
      <c r="A62" t="s">
        <v>449</v>
      </c>
      <c r="B62">
        <v>13</v>
      </c>
      <c r="C62">
        <v>12</v>
      </c>
      <c r="D62">
        <v>1</v>
      </c>
      <c r="E62" s="3">
        <f t="shared" si="3"/>
        <v>92.307692307692307</v>
      </c>
      <c r="F62">
        <v>4</v>
      </c>
      <c r="G62">
        <v>11</v>
      </c>
      <c r="H62" t="s">
        <v>647</v>
      </c>
      <c r="I62" s="3">
        <f t="shared" si="4"/>
        <v>100</v>
      </c>
      <c r="J62" t="str">
        <f t="shared" si="5"/>
        <v>Healthy</v>
      </c>
      <c r="K62" t="s">
        <v>33</v>
      </c>
    </row>
    <row r="63" spans="1:11" ht="20.100000000000001" customHeight="1">
      <c r="A63" t="s">
        <v>458</v>
      </c>
      <c r="B63">
        <v>14</v>
      </c>
      <c r="C63">
        <v>12</v>
      </c>
      <c r="D63">
        <v>2</v>
      </c>
      <c r="E63" s="3">
        <f t="shared" si="3"/>
        <v>85.714285714285708</v>
      </c>
      <c r="F63">
        <v>5</v>
      </c>
      <c r="G63">
        <v>12</v>
      </c>
      <c r="H63" t="s">
        <v>647</v>
      </c>
      <c r="I63" s="3">
        <f t="shared" si="4"/>
        <v>100</v>
      </c>
      <c r="J63" t="str">
        <f t="shared" si="5"/>
        <v>Healthy</v>
      </c>
      <c r="K63" t="s">
        <v>33</v>
      </c>
    </row>
    <row r="64" spans="1:11" ht="20.100000000000001" customHeight="1">
      <c r="A64" t="s">
        <v>466</v>
      </c>
      <c r="B64">
        <v>15</v>
      </c>
      <c r="C64">
        <v>12</v>
      </c>
      <c r="D64">
        <v>3</v>
      </c>
      <c r="E64" s="3">
        <f t="shared" si="3"/>
        <v>80</v>
      </c>
      <c r="F64">
        <v>6</v>
      </c>
      <c r="G64">
        <v>13</v>
      </c>
      <c r="H64" t="s">
        <v>647</v>
      </c>
      <c r="I64" s="3">
        <f t="shared" si="4"/>
        <v>100</v>
      </c>
      <c r="J64" t="str">
        <f t="shared" si="5"/>
        <v>Healthy</v>
      </c>
      <c r="K64" t="s">
        <v>33</v>
      </c>
    </row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1">
    <mergeCell ref="A1:K2"/>
  </mergeCells>
  <conditionalFormatting sqref="E5:E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0"/>
  <sheetViews>
    <sheetView workbookViewId="0"/>
  </sheetViews>
  <sheetFormatPr defaultRowHeight="14.25"/>
  <cols>
    <col min="1" max="1" width="18" customWidth="1"/>
    <col min="2" max="2" width="13" customWidth="1"/>
    <col min="3" max="3" width="12" customWidth="1"/>
    <col min="4" max="4" width="3" customWidth="1"/>
    <col min="5" max="5" width="23" customWidth="1"/>
    <col min="6" max="6" width="16" customWidth="1"/>
    <col min="7" max="7" width="12" customWidth="1"/>
    <col min="8" max="8" width="3" customWidth="1"/>
    <col min="9" max="9" width="16" customWidth="1"/>
    <col min="10" max="12" width="12" customWidth="1"/>
  </cols>
  <sheetData>
    <row r="1" spans="1:12" ht="20.100000000000001" customHeight="1">
      <c r="A1" s="5" t="s">
        <v>649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0.100000000000001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20.100000000000001" customHeight="1">
      <c r="A3" s="6" t="s">
        <v>650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0.100000000000001" customHeight="1"/>
    <row r="5" spans="1:12" ht="20.100000000000001" customHeight="1">
      <c r="A5" s="7" t="s">
        <v>651</v>
      </c>
      <c r="B5" s="7"/>
      <c r="C5" s="7"/>
      <c r="D5" s="7" t="s">
        <v>652</v>
      </c>
      <c r="E5" s="7"/>
      <c r="F5" s="7"/>
      <c r="G5" s="7" t="s">
        <v>653</v>
      </c>
      <c r="H5" s="7"/>
      <c r="I5" s="7"/>
      <c r="J5" s="7" t="s">
        <v>654</v>
      </c>
      <c r="K5" s="7"/>
      <c r="L5" s="7"/>
    </row>
    <row r="6" spans="1:12" ht="20.100000000000001" customHeight="1">
      <c r="A6" s="8">
        <f>COUNTA('Detection Catalog'!A6:A65)</f>
        <v>60</v>
      </c>
      <c r="B6" s="8"/>
      <c r="C6" s="8"/>
      <c r="D6" s="8">
        <f>COUNTIF('Detection Catalog'!N6:N65,"Ready")</f>
        <v>51</v>
      </c>
      <c r="E6" s="8"/>
      <c r="F6" s="8"/>
      <c r="G6" s="8">
        <f>COUNTIF('Detection Catalog'!I6:I65,"Critical")</f>
        <v>49</v>
      </c>
      <c r="H6" s="8"/>
      <c r="I6" s="8"/>
      <c r="J6" s="8">
        <f>COUNTA('Threat Hunting'!A5:A19)</f>
        <v>15</v>
      </c>
      <c r="K6" s="8"/>
      <c r="L6" s="8"/>
    </row>
    <row r="7" spans="1:12" ht="20.100000000000001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20.100000000000001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20.100000000000001" customHeight="1"/>
    <row r="10" spans="1:12" ht="20.100000000000001" customHeight="1"/>
    <row r="11" spans="1:12" ht="20.100000000000001" customHeight="1">
      <c r="A11" s="1" t="s">
        <v>2</v>
      </c>
      <c r="B11" s="1" t="s">
        <v>655</v>
      </c>
      <c r="C11" s="1" t="s">
        <v>26</v>
      </c>
      <c r="E11" s="1" t="s">
        <v>4</v>
      </c>
      <c r="F11" s="1" t="s">
        <v>656</v>
      </c>
      <c r="G11" s="1" t="s">
        <v>657</v>
      </c>
      <c r="I11" s="1" t="s">
        <v>646</v>
      </c>
      <c r="J11" s="1" t="s">
        <v>658</v>
      </c>
    </row>
    <row r="12" spans="1:12" ht="20.100000000000001" customHeight="1">
      <c r="A12" t="s">
        <v>19</v>
      </c>
      <c r="B12">
        <f>COUNTIF('Detection Catalog'!B6:B65,A12)</f>
        <v>9</v>
      </c>
      <c r="C12">
        <f>COUNTIFS('Detection Catalog'!B6:B65,A12,'Detection Catalog'!I6:I65,"Critical")</f>
        <v>7</v>
      </c>
      <c r="E12" t="s">
        <v>199</v>
      </c>
      <c r="F12">
        <v>6</v>
      </c>
      <c r="G12">
        <v>4</v>
      </c>
      <c r="I12" t="s">
        <v>659</v>
      </c>
      <c r="J12">
        <f>COUNTIF('Detection Quality'!J5:J64,I12)</f>
        <v>51</v>
      </c>
    </row>
    <row r="13" spans="1:12" ht="20.100000000000001" customHeight="1">
      <c r="A13" t="s">
        <v>97</v>
      </c>
      <c r="B13">
        <f>COUNTIF('Detection Catalog'!B6:B65,A13)</f>
        <v>1</v>
      </c>
      <c r="C13">
        <f>COUNTIFS('Detection Catalog'!B6:B65,A13,'Detection Catalog'!I6:I65,"Critical")</f>
        <v>1</v>
      </c>
      <c r="E13" t="s">
        <v>236</v>
      </c>
      <c r="F13">
        <v>5</v>
      </c>
      <c r="G13">
        <v>4</v>
      </c>
      <c r="I13" t="s">
        <v>660</v>
      </c>
      <c r="J13">
        <f>COUNTIF('Detection Quality'!J5:J64,I13)</f>
        <v>9</v>
      </c>
    </row>
    <row r="14" spans="1:12" ht="20.100000000000001" customHeight="1">
      <c r="A14" t="s">
        <v>23</v>
      </c>
      <c r="B14">
        <f>COUNTIF('Detection Catalog'!B6:B65,A14)</f>
        <v>4</v>
      </c>
      <c r="C14">
        <f>COUNTIFS('Detection Catalog'!B6:B65,A14,'Detection Catalog'!I6:I65,"Critical")</f>
        <v>4</v>
      </c>
      <c r="E14" t="s">
        <v>37</v>
      </c>
      <c r="F14">
        <v>8</v>
      </c>
      <c r="G14">
        <v>4</v>
      </c>
      <c r="I14" t="s">
        <v>661</v>
      </c>
      <c r="J14">
        <f>COUNTIF('Detection Quality'!J5:J64,I14)</f>
        <v>0</v>
      </c>
    </row>
    <row r="15" spans="1:12" ht="20.100000000000001" customHeight="1">
      <c r="A15" t="s">
        <v>141</v>
      </c>
      <c r="B15">
        <f>COUNTIF('Detection Catalog'!B6:B65,A15)</f>
        <v>7</v>
      </c>
      <c r="C15">
        <f>COUNTIFS('Detection Catalog'!B6:B65,A15,'Detection Catalog'!I6:I65,"Critical")</f>
        <v>7</v>
      </c>
      <c r="E15" t="s">
        <v>60</v>
      </c>
      <c r="F15">
        <v>7</v>
      </c>
      <c r="G15">
        <v>4</v>
      </c>
    </row>
    <row r="16" spans="1:12" ht="20.100000000000001" customHeight="1">
      <c r="A16" t="s">
        <v>197</v>
      </c>
      <c r="B16">
        <f>COUNTIF('Detection Catalog'!B6:B65,A16)</f>
        <v>8</v>
      </c>
      <c r="C16">
        <f>COUNTIFS('Detection Catalog'!B6:B65,A16,'Detection Catalog'!I6:I65,"Critical")</f>
        <v>6</v>
      </c>
      <c r="E16" t="s">
        <v>99</v>
      </c>
      <c r="F16">
        <v>12</v>
      </c>
      <c r="G16">
        <v>4</v>
      </c>
    </row>
    <row r="17" spans="1:7" ht="20.100000000000001" customHeight="1">
      <c r="A17" t="s">
        <v>255</v>
      </c>
      <c r="B17">
        <f>COUNTIF('Detection Catalog'!B6:B65,A17)</f>
        <v>5</v>
      </c>
      <c r="C17">
        <f>COUNTIFS('Detection Catalog'!B6:B65,A17,'Detection Catalog'!I6:I65,"Critical")</f>
        <v>4</v>
      </c>
      <c r="E17" t="s">
        <v>272</v>
      </c>
      <c r="F17">
        <v>6</v>
      </c>
      <c r="G17">
        <v>4</v>
      </c>
    </row>
    <row r="18" spans="1:7" ht="20.100000000000001" customHeight="1">
      <c r="A18" t="s">
        <v>294</v>
      </c>
      <c r="B18">
        <f>COUNTIF('Detection Catalog'!B6:B65,A18)</f>
        <v>4</v>
      </c>
      <c r="C18">
        <f>COUNTIFS('Detection Catalog'!B6:B65,A18,'Detection Catalog'!I6:I65,"Critical")</f>
        <v>3</v>
      </c>
      <c r="E18" t="s">
        <v>662</v>
      </c>
      <c r="F18">
        <v>1</v>
      </c>
      <c r="G18">
        <v>4</v>
      </c>
    </row>
    <row r="19" spans="1:7" ht="20.100000000000001" customHeight="1">
      <c r="A19" t="s">
        <v>323</v>
      </c>
      <c r="B19">
        <f>COUNTIF('Detection Catalog'!B6:B65,A19)</f>
        <v>2</v>
      </c>
      <c r="C19">
        <f>COUNTIFS('Detection Catalog'!B6:B65,A19,'Detection Catalog'!I6:I65,"Critical")</f>
        <v>2</v>
      </c>
      <c r="E19" t="s">
        <v>77</v>
      </c>
      <c r="F19">
        <v>3</v>
      </c>
      <c r="G19">
        <v>4</v>
      </c>
    </row>
    <row r="20" spans="1:7" ht="20.100000000000001" customHeight="1">
      <c r="A20" t="s">
        <v>339</v>
      </c>
      <c r="B20">
        <f>COUNTIF('Detection Catalog'!B6:B65,A20)</f>
        <v>3</v>
      </c>
      <c r="C20">
        <f>COUNTIFS('Detection Catalog'!B6:B65,A20,'Detection Catalog'!I6:I65,"Critical")</f>
        <v>2</v>
      </c>
      <c r="E20" t="s">
        <v>663</v>
      </c>
      <c r="F20">
        <v>7</v>
      </c>
      <c r="G20">
        <v>4</v>
      </c>
    </row>
    <row r="21" spans="1:7" ht="20.100000000000001" customHeight="1">
      <c r="A21" t="s">
        <v>358</v>
      </c>
      <c r="B21">
        <f>COUNTIF('Detection Catalog'!B6:B65,A21)</f>
        <v>4</v>
      </c>
      <c r="C21">
        <f>COUNTIFS('Detection Catalog'!B6:B65,A21,'Detection Catalog'!I6:I65,"Critical")</f>
        <v>4</v>
      </c>
      <c r="E21" t="s">
        <v>401</v>
      </c>
      <c r="F21">
        <v>2</v>
      </c>
      <c r="G21">
        <v>4</v>
      </c>
    </row>
    <row r="22" spans="1:7" ht="20.100000000000001" customHeight="1">
      <c r="A22" t="s">
        <v>386</v>
      </c>
      <c r="B22">
        <f>COUNTIF('Detection Catalog'!B6:B65,A22)</f>
        <v>4</v>
      </c>
      <c r="C22">
        <f>COUNTIFS('Detection Catalog'!B6:B65,A22,'Detection Catalog'!I6:I65,"Critical")</f>
        <v>2</v>
      </c>
      <c r="E22" t="s">
        <v>379</v>
      </c>
      <c r="F22">
        <v>6</v>
      </c>
      <c r="G22">
        <v>4</v>
      </c>
    </row>
    <row r="23" spans="1:7" ht="20.100000000000001" customHeight="1">
      <c r="A23" t="s">
        <v>132</v>
      </c>
      <c r="B23">
        <f>COUNTIF('Detection Catalog'!B6:B65,A23)</f>
        <v>3</v>
      </c>
      <c r="C23">
        <f>COUNTIFS('Detection Catalog'!B6:B65,A23,'Detection Catalog'!I6:I65,"Critical")</f>
        <v>2</v>
      </c>
      <c r="E23" t="s">
        <v>166</v>
      </c>
      <c r="F23">
        <v>5</v>
      </c>
      <c r="G23">
        <v>4</v>
      </c>
    </row>
    <row r="24" spans="1:7" ht="20.100000000000001" customHeight="1">
      <c r="A24" t="s">
        <v>182</v>
      </c>
      <c r="B24">
        <f>COUNTIF('Detection Catalog'!B6:B65,A24)</f>
        <v>2</v>
      </c>
      <c r="C24">
        <f>COUNTIFS('Detection Catalog'!B6:B65,A24,'Detection Catalog'!I6:I65,"Critical")</f>
        <v>2</v>
      </c>
    </row>
    <row r="25" spans="1:7" ht="20.100000000000001" customHeight="1">
      <c r="A25" t="s">
        <v>441</v>
      </c>
      <c r="B25">
        <f>COUNTIF('Detection Catalog'!B6:B65,A25)</f>
        <v>1</v>
      </c>
      <c r="C25">
        <f>COUNTIFS('Detection Catalog'!B6:B65,A25,'Detection Catalog'!I6:I65,"Critical")</f>
        <v>1</v>
      </c>
    </row>
    <row r="26" spans="1:7" ht="20.100000000000001" customHeight="1">
      <c r="A26" t="s">
        <v>450</v>
      </c>
      <c r="B26">
        <f>COUNTIF('Detection Catalog'!B6:B65,A26)</f>
        <v>1</v>
      </c>
      <c r="C26">
        <f>COUNTIFS('Detection Catalog'!B6:B65,A26,'Detection Catalog'!I6:I65,"Critical")</f>
        <v>1</v>
      </c>
    </row>
    <row r="27" spans="1:7" ht="20.100000000000001" customHeight="1">
      <c r="A27" t="s">
        <v>459</v>
      </c>
      <c r="B27">
        <f>COUNTIF('Detection Catalog'!B6:B65,A27)</f>
        <v>1</v>
      </c>
      <c r="C27">
        <f>COUNTIFS('Detection Catalog'!B6:B65,A27,'Detection Catalog'!I6:I65,"Critical")</f>
        <v>0</v>
      </c>
    </row>
    <row r="28" spans="1:7" ht="20.100000000000001" customHeight="1">
      <c r="A28" t="s">
        <v>467</v>
      </c>
      <c r="B28">
        <f>COUNTIF('Detection Catalog'!B6:B65,A28)</f>
        <v>1</v>
      </c>
      <c r="C28">
        <f>COUNTIFS('Detection Catalog'!B6:B65,A28,'Detection Catalog'!I6:I65,"Critical")</f>
        <v>1</v>
      </c>
    </row>
    <row r="29" spans="1:7" ht="20.100000000000001" customHeight="1"/>
    <row r="30" spans="1:7" ht="20.100000000000001" customHeight="1"/>
    <row r="31" spans="1:7" ht="20.100000000000001" customHeight="1"/>
    <row r="32" spans="1:7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10">
    <mergeCell ref="A1:L2"/>
    <mergeCell ref="A3:L3"/>
    <mergeCell ref="A5:C5"/>
    <mergeCell ref="A6:C8"/>
    <mergeCell ref="D5:F5"/>
    <mergeCell ref="D6:F8"/>
    <mergeCell ref="G5:I5"/>
    <mergeCell ref="G6:I8"/>
    <mergeCell ref="J5:L5"/>
    <mergeCell ref="J6:L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0"/>
  <sheetViews>
    <sheetView workbookViewId="0"/>
  </sheetViews>
  <sheetFormatPr defaultRowHeight="14.25"/>
  <cols>
    <col min="1" max="1" width="18" customWidth="1"/>
    <col min="2" max="2" width="38" customWidth="1"/>
    <col min="3" max="3" width="58" customWidth="1"/>
    <col min="4" max="4" width="78" customWidth="1"/>
    <col min="5" max="5" width="14" customWidth="1"/>
  </cols>
  <sheetData>
    <row r="1" spans="1:5" ht="20.100000000000001" customHeight="1">
      <c r="A1" s="1" t="s">
        <v>664</v>
      </c>
      <c r="B1" s="1" t="s">
        <v>665</v>
      </c>
      <c r="C1" s="1" t="s">
        <v>666</v>
      </c>
      <c r="D1" s="1" t="s">
        <v>667</v>
      </c>
      <c r="E1" s="1" t="s">
        <v>668</v>
      </c>
    </row>
    <row r="2" spans="1:5" ht="20.100000000000001" customHeight="1">
      <c r="A2" t="s">
        <v>669</v>
      </c>
      <c r="B2" s="2" t="s">
        <v>670</v>
      </c>
      <c r="C2" s="2" t="s">
        <v>671</v>
      </c>
      <c r="D2" s="2" t="s">
        <v>301</v>
      </c>
      <c r="E2" s="4">
        <v>46237</v>
      </c>
    </row>
    <row r="3" spans="1:5" ht="20.100000000000001" customHeight="1">
      <c r="A3" t="s">
        <v>669</v>
      </c>
      <c r="B3" s="2" t="s">
        <v>435</v>
      </c>
      <c r="C3" s="2" t="s">
        <v>672</v>
      </c>
      <c r="D3" s="2" t="s">
        <v>673</v>
      </c>
      <c r="E3" s="4">
        <v>46237</v>
      </c>
    </row>
    <row r="4" spans="1:5" ht="20.100000000000001" customHeight="1">
      <c r="A4" t="s">
        <v>669</v>
      </c>
      <c r="B4" s="2" t="s">
        <v>674</v>
      </c>
      <c r="C4" s="2" t="s">
        <v>675</v>
      </c>
      <c r="D4" s="2" t="s">
        <v>676</v>
      </c>
      <c r="E4" s="4">
        <v>46237</v>
      </c>
    </row>
    <row r="5" spans="1:5" ht="20.100000000000001" customHeight="1">
      <c r="A5" t="s">
        <v>669</v>
      </c>
      <c r="B5" s="2" t="s">
        <v>677</v>
      </c>
      <c r="C5" s="2" t="s">
        <v>678</v>
      </c>
      <c r="D5" s="2" t="s">
        <v>112</v>
      </c>
      <c r="E5" s="4">
        <v>46237</v>
      </c>
    </row>
    <row r="6" spans="1:5" ht="20.100000000000001" customHeight="1">
      <c r="A6" t="s">
        <v>669</v>
      </c>
      <c r="B6" s="2" t="s">
        <v>679</v>
      </c>
      <c r="C6" s="2" t="s">
        <v>680</v>
      </c>
      <c r="D6" s="2" t="s">
        <v>681</v>
      </c>
      <c r="E6" s="4">
        <v>46237</v>
      </c>
    </row>
    <row r="7" spans="1:5" ht="20.100000000000001" customHeight="1">
      <c r="A7" t="s">
        <v>669</v>
      </c>
      <c r="B7" s="2" t="s">
        <v>682</v>
      </c>
      <c r="C7" s="2" t="s">
        <v>683</v>
      </c>
      <c r="D7" s="2" t="s">
        <v>329</v>
      </c>
      <c r="E7" s="4">
        <v>46237</v>
      </c>
    </row>
    <row r="8" spans="1:5" ht="20.100000000000001" customHeight="1">
      <c r="A8" t="s">
        <v>669</v>
      </c>
      <c r="B8" s="2" t="s">
        <v>684</v>
      </c>
      <c r="C8" s="2" t="s">
        <v>685</v>
      </c>
      <c r="D8" s="2" t="s">
        <v>150</v>
      </c>
      <c r="E8" s="4">
        <v>46237</v>
      </c>
    </row>
    <row r="9" spans="1:5" ht="20.100000000000001" customHeight="1">
      <c r="A9" t="s">
        <v>669</v>
      </c>
      <c r="B9" s="2" t="s">
        <v>686</v>
      </c>
      <c r="C9" s="2" t="s">
        <v>687</v>
      </c>
      <c r="D9" s="2" t="s">
        <v>139</v>
      </c>
      <c r="E9" s="4">
        <v>46237</v>
      </c>
    </row>
    <row r="10" spans="1:5" ht="20.100000000000001" customHeight="1">
      <c r="A10" t="s">
        <v>669</v>
      </c>
      <c r="B10" s="2" t="s">
        <v>688</v>
      </c>
      <c r="C10" s="2" t="s">
        <v>689</v>
      </c>
      <c r="D10" s="2" t="s">
        <v>448</v>
      </c>
      <c r="E10" s="4">
        <v>46237</v>
      </c>
    </row>
    <row r="11" spans="1:5" ht="20.100000000000001" customHeight="1">
      <c r="A11" t="s">
        <v>669</v>
      </c>
      <c r="B11" s="2" t="s">
        <v>690</v>
      </c>
      <c r="C11" s="2" t="s">
        <v>691</v>
      </c>
      <c r="D11" s="2" t="s">
        <v>692</v>
      </c>
      <c r="E11" s="4">
        <v>46237</v>
      </c>
    </row>
    <row r="12" spans="1:5" ht="20.100000000000001" customHeight="1">
      <c r="A12" t="s">
        <v>669</v>
      </c>
      <c r="B12" s="2" t="s">
        <v>693</v>
      </c>
      <c r="C12" s="2" t="s">
        <v>694</v>
      </c>
      <c r="D12" s="2" t="s">
        <v>262</v>
      </c>
      <c r="E12" s="4">
        <v>46237</v>
      </c>
    </row>
    <row r="13" spans="1:5" ht="20.100000000000001" customHeight="1">
      <c r="A13" t="s">
        <v>669</v>
      </c>
      <c r="B13" s="2" t="s">
        <v>191</v>
      </c>
      <c r="C13" s="2" t="s">
        <v>695</v>
      </c>
      <c r="D13" s="2" t="s">
        <v>696</v>
      </c>
      <c r="E13" s="4">
        <v>46237</v>
      </c>
    </row>
    <row r="14" spans="1:5" ht="20.100000000000001" customHeight="1">
      <c r="A14" t="s">
        <v>697</v>
      </c>
      <c r="B14" s="2" t="s">
        <v>698</v>
      </c>
      <c r="C14" s="2" t="s">
        <v>699</v>
      </c>
      <c r="D14" s="2" t="s">
        <v>700</v>
      </c>
      <c r="E14" s="4">
        <v>46237</v>
      </c>
    </row>
    <row r="15" spans="1:5" ht="20.100000000000001" customHeight="1">
      <c r="A15" t="s">
        <v>697</v>
      </c>
      <c r="B15" s="2" t="s">
        <v>701</v>
      </c>
      <c r="C15" s="2" t="s">
        <v>702</v>
      </c>
      <c r="D15" s="2" t="s">
        <v>703</v>
      </c>
      <c r="E15" s="4">
        <v>46237</v>
      </c>
    </row>
    <row r="16" spans="1:5" ht="20.100000000000001" customHeight="1">
      <c r="A16" t="s">
        <v>697</v>
      </c>
      <c r="B16" s="2" t="s">
        <v>704</v>
      </c>
      <c r="C16" s="2" t="s">
        <v>705</v>
      </c>
      <c r="D16" s="2" t="s">
        <v>706</v>
      </c>
      <c r="E16" s="4">
        <v>46237</v>
      </c>
    </row>
    <row r="17" spans="1:5" ht="20.100000000000001" customHeight="1">
      <c r="A17" t="s">
        <v>697</v>
      </c>
      <c r="B17" s="2" t="s">
        <v>707</v>
      </c>
      <c r="C17" s="2" t="s">
        <v>708</v>
      </c>
      <c r="D17" s="2" t="s">
        <v>709</v>
      </c>
      <c r="E17" s="4">
        <v>46237</v>
      </c>
    </row>
    <row r="18" spans="1:5" ht="20.100000000000001" customHeight="1"/>
    <row r="19" spans="1:5" ht="20.100000000000001" customHeight="1"/>
    <row r="20" spans="1:5" ht="20.100000000000001" customHeight="1"/>
    <row r="21" spans="1:5" ht="20.100000000000001" customHeight="1"/>
    <row r="22" spans="1:5" ht="20.100000000000001" customHeight="1"/>
    <row r="23" spans="1:5" ht="20.100000000000001" customHeight="1"/>
    <row r="24" spans="1:5" ht="20.100000000000001" customHeight="1"/>
    <row r="25" spans="1:5" ht="20.100000000000001" customHeight="1"/>
    <row r="26" spans="1:5" ht="20.100000000000001" customHeight="1"/>
    <row r="27" spans="1:5" ht="20.100000000000001" customHeight="1"/>
    <row r="28" spans="1:5" ht="20.100000000000001" customHeight="1"/>
    <row r="29" spans="1:5" ht="20.100000000000001" customHeight="1"/>
    <row r="30" spans="1:5" ht="20.100000000000001" customHeight="1"/>
    <row r="31" spans="1:5" ht="20.100000000000001" customHeight="1"/>
    <row r="32" spans="1: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Detection Catalog</vt:lpstr>
      <vt:lpstr>Threat Hunting</vt:lpstr>
      <vt:lpstr>Attack Chains</vt:lpstr>
      <vt:lpstr>Detection Quality</vt:lpstr>
      <vt:lpstr>SOC Dashboard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Yuval Sinay</cp:lastModifiedBy>
  <dcterms:modified xsi:type="dcterms:W3CDTF">2026-08-03T19:43:13Z</dcterms:modified>
</cp:coreProperties>
</file>