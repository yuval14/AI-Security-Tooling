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2\Downloads\"/>
    </mc:Choice>
  </mc:AlternateContent>
  <xr:revisionPtr revIDLastSave="0" documentId="13_ncr:1_{4BCAF753-CF3C-4F9A-B57F-F08D3978F3B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etection Catalog" sheetId="1" r:id="rId1"/>
    <sheet name="Threat Hunting" sheetId="2" r:id="rId2"/>
    <sheet name="Attack Chains" sheetId="3" r:id="rId3"/>
    <sheet name="Detection Testing" sheetId="4" r:id="rId4"/>
    <sheet name="Detection Quality" sheetId="5" r:id="rId5"/>
    <sheet name="SOC Dashboard" sheetId="6" r:id="rId6"/>
    <sheet name="Operating Model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6" l="1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J6" i="6"/>
  <c r="G6" i="6"/>
  <c r="D6" i="6"/>
  <c r="A6" i="6"/>
  <c r="J84" i="5"/>
  <c r="K84" i="5" s="1"/>
  <c r="E84" i="5"/>
  <c r="K83" i="5"/>
  <c r="J83" i="5"/>
  <c r="E83" i="5"/>
  <c r="J82" i="5"/>
  <c r="E82" i="5"/>
  <c r="K82" i="5" s="1"/>
  <c r="J81" i="5"/>
  <c r="E81" i="5"/>
  <c r="K81" i="5" s="1"/>
  <c r="J80" i="5"/>
  <c r="E80" i="5"/>
  <c r="K80" i="5" s="1"/>
  <c r="J79" i="5"/>
  <c r="E79" i="5"/>
  <c r="K79" i="5" s="1"/>
  <c r="J78" i="5"/>
  <c r="K78" i="5" s="1"/>
  <c r="E78" i="5"/>
  <c r="J77" i="5"/>
  <c r="K77" i="5" s="1"/>
  <c r="E77" i="5"/>
  <c r="J76" i="5"/>
  <c r="K76" i="5" s="1"/>
  <c r="E76" i="5"/>
  <c r="K75" i="5"/>
  <c r="J75" i="5"/>
  <c r="E75" i="5"/>
  <c r="J74" i="5"/>
  <c r="E74" i="5"/>
  <c r="K74" i="5" s="1"/>
  <c r="J73" i="5"/>
  <c r="E73" i="5"/>
  <c r="K73" i="5" s="1"/>
  <c r="J72" i="5"/>
  <c r="E72" i="5"/>
  <c r="K72" i="5" s="1"/>
  <c r="J71" i="5"/>
  <c r="E71" i="5"/>
  <c r="K71" i="5" s="1"/>
  <c r="J70" i="5"/>
  <c r="K70" i="5" s="1"/>
  <c r="E70" i="5"/>
  <c r="J69" i="5"/>
  <c r="K69" i="5" s="1"/>
  <c r="E69" i="5"/>
  <c r="J68" i="5"/>
  <c r="K68" i="5" s="1"/>
  <c r="E68" i="5"/>
  <c r="K67" i="5"/>
  <c r="J67" i="5"/>
  <c r="E67" i="5"/>
  <c r="J66" i="5"/>
  <c r="E66" i="5"/>
  <c r="K66" i="5" s="1"/>
  <c r="J65" i="5"/>
  <c r="E65" i="5"/>
  <c r="K65" i="5" s="1"/>
  <c r="J64" i="5"/>
  <c r="E64" i="5"/>
  <c r="K64" i="5" s="1"/>
  <c r="J63" i="5"/>
  <c r="E63" i="5"/>
  <c r="K63" i="5" s="1"/>
  <c r="J62" i="5"/>
  <c r="K62" i="5" s="1"/>
  <c r="E62" i="5"/>
  <c r="J61" i="5"/>
  <c r="K61" i="5" s="1"/>
  <c r="E61" i="5"/>
  <c r="J60" i="5"/>
  <c r="K60" i="5" s="1"/>
  <c r="E60" i="5"/>
  <c r="K59" i="5"/>
  <c r="J59" i="5"/>
  <c r="E59" i="5"/>
  <c r="J58" i="5"/>
  <c r="E58" i="5"/>
  <c r="K58" i="5" s="1"/>
  <c r="J57" i="5"/>
  <c r="E57" i="5"/>
  <c r="K57" i="5" s="1"/>
  <c r="J56" i="5"/>
  <c r="E56" i="5"/>
  <c r="K56" i="5" s="1"/>
  <c r="J55" i="5"/>
  <c r="E55" i="5"/>
  <c r="K55" i="5" s="1"/>
  <c r="J54" i="5"/>
  <c r="K54" i="5" s="1"/>
  <c r="E54" i="5"/>
  <c r="J53" i="5"/>
  <c r="K53" i="5" s="1"/>
  <c r="E53" i="5"/>
  <c r="J52" i="5"/>
  <c r="K52" i="5" s="1"/>
  <c r="E52" i="5"/>
  <c r="K51" i="5"/>
  <c r="J51" i="5"/>
  <c r="E51" i="5"/>
  <c r="J50" i="5"/>
  <c r="E50" i="5"/>
  <c r="K50" i="5" s="1"/>
  <c r="J49" i="5"/>
  <c r="E49" i="5"/>
  <c r="K49" i="5" s="1"/>
  <c r="J48" i="5"/>
  <c r="E48" i="5"/>
  <c r="K48" i="5" s="1"/>
  <c r="J47" i="5"/>
  <c r="E47" i="5"/>
  <c r="K47" i="5" s="1"/>
  <c r="J46" i="5"/>
  <c r="K46" i="5" s="1"/>
  <c r="E46" i="5"/>
  <c r="J45" i="5"/>
  <c r="K45" i="5" s="1"/>
  <c r="E45" i="5"/>
  <c r="J44" i="5"/>
  <c r="K44" i="5" s="1"/>
  <c r="E44" i="5"/>
  <c r="K43" i="5"/>
  <c r="J43" i="5"/>
  <c r="E43" i="5"/>
  <c r="J42" i="5"/>
  <c r="E42" i="5"/>
  <c r="K42" i="5" s="1"/>
  <c r="J41" i="5"/>
  <c r="E41" i="5"/>
  <c r="K41" i="5" s="1"/>
  <c r="J40" i="5"/>
  <c r="E40" i="5"/>
  <c r="K40" i="5" s="1"/>
  <c r="J39" i="5"/>
  <c r="E39" i="5"/>
  <c r="K39" i="5" s="1"/>
  <c r="J38" i="5"/>
  <c r="K38" i="5" s="1"/>
  <c r="E38" i="5"/>
  <c r="J37" i="5"/>
  <c r="K37" i="5" s="1"/>
  <c r="E37" i="5"/>
  <c r="J36" i="5"/>
  <c r="K36" i="5" s="1"/>
  <c r="E36" i="5"/>
  <c r="K35" i="5"/>
  <c r="J35" i="5"/>
  <c r="E35" i="5"/>
  <c r="J34" i="5"/>
  <c r="E34" i="5"/>
  <c r="K34" i="5" s="1"/>
  <c r="J33" i="5"/>
  <c r="E33" i="5"/>
  <c r="K33" i="5" s="1"/>
  <c r="J32" i="5"/>
  <c r="E32" i="5"/>
  <c r="K32" i="5" s="1"/>
  <c r="J31" i="5"/>
  <c r="E31" i="5"/>
  <c r="K31" i="5" s="1"/>
  <c r="J30" i="5"/>
  <c r="K30" i="5" s="1"/>
  <c r="E30" i="5"/>
  <c r="J29" i="5"/>
  <c r="K29" i="5" s="1"/>
  <c r="E29" i="5"/>
  <c r="J28" i="5"/>
  <c r="K28" i="5" s="1"/>
  <c r="E28" i="5"/>
  <c r="K27" i="5"/>
  <c r="J27" i="5"/>
  <c r="E27" i="5"/>
  <c r="J26" i="5"/>
  <c r="E26" i="5"/>
  <c r="K26" i="5" s="1"/>
  <c r="J25" i="5"/>
  <c r="E25" i="5"/>
  <c r="K25" i="5" s="1"/>
  <c r="J24" i="5"/>
  <c r="E24" i="5"/>
  <c r="K24" i="5" s="1"/>
  <c r="J23" i="5"/>
  <c r="E23" i="5"/>
  <c r="K23" i="5" s="1"/>
  <c r="J22" i="5"/>
  <c r="K22" i="5" s="1"/>
  <c r="E22" i="5"/>
  <c r="J21" i="5"/>
  <c r="K21" i="5" s="1"/>
  <c r="E21" i="5"/>
  <c r="J20" i="5"/>
  <c r="K20" i="5" s="1"/>
  <c r="E20" i="5"/>
  <c r="K19" i="5"/>
  <c r="J19" i="5"/>
  <c r="E19" i="5"/>
  <c r="J18" i="5"/>
  <c r="E18" i="5"/>
  <c r="K18" i="5" s="1"/>
  <c r="J17" i="5"/>
  <c r="E17" i="5"/>
  <c r="K17" i="5" s="1"/>
  <c r="J16" i="5"/>
  <c r="E16" i="5"/>
  <c r="K16" i="5" s="1"/>
  <c r="J15" i="5"/>
  <c r="E15" i="5"/>
  <c r="K15" i="5" s="1"/>
  <c r="J14" i="5"/>
  <c r="K14" i="5" s="1"/>
  <c r="E14" i="5"/>
  <c r="J13" i="5"/>
  <c r="K13" i="5" s="1"/>
  <c r="E13" i="5"/>
  <c r="J12" i="5"/>
  <c r="K12" i="5" s="1"/>
  <c r="E12" i="5"/>
  <c r="K11" i="5"/>
  <c r="J11" i="5"/>
  <c r="E11" i="5"/>
  <c r="J10" i="5"/>
  <c r="E10" i="5"/>
  <c r="K10" i="5" s="1"/>
  <c r="J9" i="5"/>
  <c r="E9" i="5"/>
  <c r="K9" i="5" s="1"/>
  <c r="J8" i="5"/>
  <c r="E8" i="5"/>
  <c r="K8" i="5" s="1"/>
  <c r="J7" i="5"/>
  <c r="E7" i="5"/>
  <c r="K7" i="5" s="1"/>
  <c r="J6" i="5"/>
  <c r="K6" i="5" s="1"/>
  <c r="E6" i="5"/>
  <c r="J5" i="5"/>
  <c r="E5" i="5"/>
  <c r="K5" i="5" s="1"/>
  <c r="J13" i="6" l="1"/>
  <c r="J12" i="6"/>
  <c r="J14" i="6"/>
</calcChain>
</file>

<file path=xl/sharedStrings.xml><?xml version="1.0" encoding="utf-8"?>
<sst xmlns="http://schemas.openxmlformats.org/spreadsheetml/2006/main" count="2572" uniqueCount="979">
  <si>
    <t>Google Cloud SOC Detection Catalog</t>
  </si>
  <si>
    <t>Detection ID</t>
  </si>
  <si>
    <t>Domain</t>
  </si>
  <si>
    <t>Use Case</t>
  </si>
  <si>
    <t>ATT&amp;CK Tactic</t>
  </si>
  <si>
    <t>ATT&amp;CK Technique</t>
  </si>
  <si>
    <t>Primary Telemetry</t>
  </si>
  <si>
    <t>Event / Method</t>
  </si>
  <si>
    <t>Detection Logic</t>
  </si>
  <si>
    <t>Severity</t>
  </si>
  <si>
    <t>Expected Fidelity</t>
  </si>
  <si>
    <t>Correlation Window</t>
  </si>
  <si>
    <t>Recommended Response</t>
  </si>
  <si>
    <t>Validation Test</t>
  </si>
  <si>
    <t>Lifecycle Status</t>
  </si>
  <si>
    <t>Source URL</t>
  </si>
  <si>
    <t>Enabled</t>
  </si>
  <si>
    <t>Owner</t>
  </si>
  <si>
    <t>GCP-DET-001</t>
  </si>
  <si>
    <t>IAM</t>
  </si>
  <si>
    <t>New organization-level Owner grant</t>
  </si>
  <si>
    <t>Persistence / Privilege Escalation</t>
  </si>
  <si>
    <t>T1098</t>
  </si>
  <si>
    <t>Cloud Audit Logs</t>
  </si>
  <si>
    <t>SetIamPolicy</t>
  </si>
  <si>
    <t>Alert when roles/owner is newly granted at organization, folder, or production project scope; exclude approved provisioning groups.</t>
  </si>
  <si>
    <t>Critical</t>
  </si>
  <si>
    <t>High</t>
  </si>
  <si>
    <t>5m</t>
  </si>
  <si>
    <t>Verify requester; revoke unauthorized binding; rotate affected credentials; review subsequent actions.</t>
  </si>
  <si>
    <t>Create a temporary test project and apply an approved test Owner binding.</t>
  </si>
  <si>
    <t>Ready</t>
  </si>
  <si>
    <t>https://docs.cloud.google.com/logging/docs/audit</t>
  </si>
  <si>
    <t>Yes</t>
  </si>
  <si>
    <t>SOC Detection Engineering</t>
  </si>
  <si>
    <t>GCP-DET-002</t>
  </si>
  <si>
    <t>New Organization Administrator grant</t>
  </si>
  <si>
    <t>Detect addition of roles/resourcemanager.organizationAdmin outside approved change windows.</t>
  </si>
  <si>
    <t>Revoke unauthorized grant and investigate the initiating principal.</t>
  </si>
  <si>
    <t>Apply and remove a controlled test grant.</t>
  </si>
  <si>
    <t>GCP-DET-003</t>
  </si>
  <si>
    <t>Security Admin or IAM Admin granted</t>
  </si>
  <si>
    <t>Privilege Escalation</t>
  </si>
  <si>
    <t>Detect roles/iam.securityAdmin, roles/resourcemanager.projectIamAdmin, or custom IAM administration roles granted to unusual principals.</t>
  </si>
  <si>
    <t>10m</t>
  </si>
  <si>
    <t>Confirm authorization; revoke; audit all policy changes by principal.</t>
  </si>
  <si>
    <t>Controlled test grant to security test identity.</t>
  </si>
  <si>
    <t>GCP-DET-004</t>
  </si>
  <si>
    <t>Public IAM binding introduced</t>
  </si>
  <si>
    <t>Initial Access / Persistence</t>
  </si>
  <si>
    <t>Cloud Audit Logs / Cloud Asset Inventory</t>
  </si>
  <si>
    <t>Detect allUsers or allAuthenticatedUsers added to any production resource policy.</t>
  </si>
  <si>
    <t>Remove public member unless approved; assess data access during exposure period.</t>
  </si>
  <si>
    <t>Apply public viewer to a disposable test resource.</t>
  </si>
  <si>
    <t>https://docs.cloud.google.com/asset-inventory/docs/search-allow-policies</t>
  </si>
  <si>
    <t>GCP-DET-005</t>
  </si>
  <si>
    <t>Service account key created</t>
  </si>
  <si>
    <t>Persistence</t>
  </si>
  <si>
    <t>T1098.001</t>
  </si>
  <si>
    <t>google.iam.admin.v1.CreateServiceAccountKey</t>
  </si>
  <si>
    <t>Alert on user-managed service account key creation, especially for privileged service accounts.</t>
  </si>
  <si>
    <t>Validate business need; delete unauthorized key; migrate to federation.</t>
  </si>
  <si>
    <t>Create and immediately delete a test key.</t>
  </si>
  <si>
    <t>GCP-DET-006</t>
  </si>
  <si>
    <t>Service account key used from new geography</t>
  </si>
  <si>
    <t>Valid Accounts</t>
  </si>
  <si>
    <t>T1078.004</t>
  </si>
  <si>
    <t>principalEmail / callerIp</t>
  </si>
  <si>
    <t>Detect a service-account principal operating from an unseen country, ASN, or consumer ISP.</t>
  </si>
  <si>
    <t>Medium</t>
  </si>
  <si>
    <t>30m</t>
  </si>
  <si>
    <t>Disable key or account; investigate workload identity and token use.</t>
  </si>
  <si>
    <t>Replay approved activity from a controlled alternate egress.</t>
  </si>
  <si>
    <t>Needs tuning</t>
  </si>
  <si>
    <t>https://docs.cloud.google.com/logging/docs/audit/understanding-audit-logs</t>
  </si>
  <si>
    <t>GCP-DET-007</t>
  </si>
  <si>
    <t>High-volume access-token generation</t>
  </si>
  <si>
    <t>Credential Access / Persistence</t>
  </si>
  <si>
    <t>T1550</t>
  </si>
  <si>
    <t>GenerateAccessToken</t>
  </si>
  <si>
    <t>Detect bursts of IAM Credentials API GenerateAccessToken calls by a user or service account.</t>
  </si>
  <si>
    <t>15m</t>
  </si>
  <si>
    <t>Review delegation chain; revoke access; restrict Token Creator role.</t>
  </si>
  <si>
    <t>Generate a limited controlled burst in a test project.</t>
  </si>
  <si>
    <t>GCP-DET-008</t>
  </si>
  <si>
    <t>Service account impersonation by unusual principal</t>
  </si>
  <si>
    <t>Principal has not impersonated target service account during baseline period or originates outside approved automation.</t>
  </si>
  <si>
    <t>Revoke Service Account Token Creator; disable compromised identity; review actions under impersonated identity.</t>
  </si>
  <si>
    <t>Use a test principal and test service account.</t>
  </si>
  <si>
    <t>GCP-DET-009</t>
  </si>
  <si>
    <t>Service account created and privileged rapidly</t>
  </si>
  <si>
    <t>T1136 / T1098</t>
  </si>
  <si>
    <t>CreateServiceAccount + SetIamPolicy</t>
  </si>
  <si>
    <t>Correlate service account creation followed by privileged role assignment within 30 minutes.</t>
  </si>
  <si>
    <t>Disable service account; remove role; review creator activity.</t>
  </si>
  <si>
    <t>Create a test service account and grant a harmless test role.</t>
  </si>
  <si>
    <t>https://docs.cloud.google.com/chronicle/docs/yara-l/yara-l-2-0-examples</t>
  </si>
  <si>
    <t>GCP-DET-010</t>
  </si>
  <si>
    <t>Dormant privileged account becomes active</t>
  </si>
  <si>
    <t>authenticationInfo.principalEmail</t>
  </si>
  <si>
    <t>Detect activity from privileged identity inactive for more than 60 days.</t>
  </si>
  <si>
    <t>1h</t>
  </si>
  <si>
    <t>Challenge user; review login context and performed actions.</t>
  </si>
  <si>
    <t>Use a dormant test identity with approval.</t>
  </si>
  <si>
    <t>GCP-DET-011</t>
  </si>
  <si>
    <t>Cross-project privileged activity spike</t>
  </si>
  <si>
    <t>Discovery / Privilege Escalation</t>
  </si>
  <si>
    <t>T1580</t>
  </si>
  <si>
    <t>principalEmail / resource.labels.project_id</t>
  </si>
  <si>
    <t>Detect one principal performing administrative actions across many projects in a short window.</t>
  </si>
  <si>
    <t>Validate automation; suspend identity if unexplained.</t>
  </si>
  <si>
    <t>Run approved inventory automation across test projects.</t>
  </si>
  <si>
    <t>https://attack.mitre.org/techniques/T1580/</t>
  </si>
  <si>
    <t>GCP-DET-012</t>
  </si>
  <si>
    <t>Custom role created with dangerous permissions</t>
  </si>
  <si>
    <t>CreateRole / UpdateRole</t>
  </si>
  <si>
    <t>Detect custom role creation or update containing iam.serviceAccounts.actAs, setIamPolicy, KMS decrypt, or log configuration permissions.</t>
  </si>
  <si>
    <t>Disable/delete role; remove bindings; investigate creator.</t>
  </si>
  <si>
    <t>Create a test custom role with benign permissions and validate parsing.</t>
  </si>
  <si>
    <t>GCP-DET-013</t>
  </si>
  <si>
    <t>Logging</t>
  </si>
  <si>
    <t>Organization log sink deleted</t>
  </si>
  <si>
    <t>Defense Evasion</t>
  </si>
  <si>
    <t>T1562.008</t>
  </si>
  <si>
    <t>google.logging.v2.ConfigServiceV2.DeleteSink</t>
  </si>
  <si>
    <t>Any deletion of an organization, folder, or security project sink.</t>
  </si>
  <si>
    <t>Restore sink; preserve audit evidence; investigate actor.</t>
  </si>
  <si>
    <t>Delete a disposable project-level test sink.</t>
  </si>
  <si>
    <t>https://docs.cloud.google.com/logging/docs/audit-logging</t>
  </si>
  <si>
    <t>GCP-DET-014</t>
  </si>
  <si>
    <t>Log sink destination changed</t>
  </si>
  <si>
    <t>UpdateSink</t>
  </si>
  <si>
    <t>Detect destination, filter, writer identity, or includeChildren changes to centralized sinks.</t>
  </si>
  <si>
    <t>Restore approved configuration and review data loss window.</t>
  </si>
  <si>
    <t>Modify a disposable test sink.</t>
  </si>
  <si>
    <t>GCP-DET-015</t>
  </si>
  <si>
    <t>Log exclusion created or broadened</t>
  </si>
  <si>
    <t>CreateExclusion / UpdateExclusion</t>
  </si>
  <si>
    <t>Detect new exclusions or filters suppressing audit, VPC, firewall, SCC, or security logs.</t>
  </si>
  <si>
    <t>Remove exclusion; identify affected telemetry and actor.</t>
  </si>
  <si>
    <t>Create a narrow test exclusion then remove it.</t>
  </si>
  <si>
    <t>GCP-DET-016</t>
  </si>
  <si>
    <t>Audit configuration changed</t>
  </si>
  <si>
    <t>SetIamPolicy / auditConfig</t>
  </si>
  <si>
    <t>Detect reduction of Data Access audit logging or exempted principals added.</t>
  </si>
  <si>
    <t>Restore audit configuration; examine activity during gap.</t>
  </si>
  <si>
    <t>Controlled update in test folder.</t>
  </si>
  <si>
    <t>https://docs.cloud.google.com/logging/docs/audit/configure-data-access</t>
  </si>
  <si>
    <t>GCP-DET-017</t>
  </si>
  <si>
    <t>Security log export failure</t>
  </si>
  <si>
    <t>Impair Defenses</t>
  </si>
  <si>
    <t>T1562</t>
  </si>
  <si>
    <t>Cloud Monitoring / Logging</t>
  </si>
  <si>
    <t>export error metric</t>
  </si>
  <si>
    <t>Alert when centralized sink delivery failures or destination permission errors persist.</t>
  </si>
  <si>
    <t>Fix destination permissions/capacity and backfill where possible.</t>
  </si>
  <si>
    <t>Temporarily deny writer on disposable sink destination.</t>
  </si>
  <si>
    <t>https://docs.cloud.google.com/logging/docs/audit/best-practices</t>
  </si>
  <si>
    <t>GCP-DET-018</t>
  </si>
  <si>
    <t>Unexpected SCC configuration change</t>
  </si>
  <si>
    <t>Security Command Center audited method</t>
  </si>
  <si>
    <t>Detect SCC service, source, mute configuration, or custom-module changes outside approved workflow.</t>
  </si>
  <si>
    <t>Restore setting and inspect actor.</t>
  </si>
  <si>
    <t>Change a test mute configuration.</t>
  </si>
  <si>
    <t>https://docs.cloud.google.com/security-command-center/docs/audit-logging</t>
  </si>
  <si>
    <t>GCP-DET-019</t>
  </si>
  <si>
    <t>Storage</t>
  </si>
  <si>
    <t>Cloud Storage bucket made public</t>
  </si>
  <si>
    <t>Collection / Exfiltration</t>
  </si>
  <si>
    <t>T1530</t>
  </si>
  <si>
    <t>Cloud Audit Logs / SCC</t>
  </si>
  <si>
    <t>Detect public members or ACL changes on buckets and objects.</t>
  </si>
  <si>
    <t>Remove public access; identify accessed objects and exposure period.</t>
  </si>
  <si>
    <t>Publicize a disposable empty bucket then revert.</t>
  </si>
  <si>
    <t>https://attack.mitre.org/techniques/T1530/</t>
  </si>
  <si>
    <t>GCP-DET-020</t>
  </si>
  <si>
    <t>Uniform bucket-level access disabled</t>
  </si>
  <si>
    <t>storage.buckets.update</t>
  </si>
  <si>
    <t>Detect disabling UBLA on production buckets.</t>
  </si>
  <si>
    <t>Re-enable UBLA; review object ACL changes.</t>
  </si>
  <si>
    <t>Toggle on disposable bucket.</t>
  </si>
  <si>
    <t>https://docs.cloud.google.com/logging/docs/audit/services</t>
  </si>
  <si>
    <t>GCP-DET-021</t>
  </si>
  <si>
    <t>Mass object download by one principal</t>
  </si>
  <si>
    <t>Data Access Audit Logs</t>
  </si>
  <si>
    <t>storage.objects.get</t>
  </si>
  <si>
    <t>Count object reads and bytes by principal; alert on large deviation from peer and historical baseline.</t>
  </si>
  <si>
    <t>Suspend credentials; preserve logs; identify downloaded data.</t>
  </si>
  <si>
    <t>Download a controlled test dataset.</t>
  </si>
  <si>
    <t>GCP-DET-022</t>
  </si>
  <si>
    <t>Mass object deletion</t>
  </si>
  <si>
    <t>Impact</t>
  </si>
  <si>
    <t>T1485</t>
  </si>
  <si>
    <t>storage.objects.delete</t>
  </si>
  <si>
    <t>High count of object deletions by one principal or workload, especially where versioning is absent.</t>
  </si>
  <si>
    <t>Disable principal; enable retention protections; initiate recovery.</t>
  </si>
  <si>
    <t>Delete disposable test objects.</t>
  </si>
  <si>
    <t>GCP-DET-023</t>
  </si>
  <si>
    <t>Bucket retention policy reduced or removed</t>
  </si>
  <si>
    <t>Impact / Defense Evasion</t>
  </si>
  <si>
    <t>Detect lock, retention period, soft-delete, or versioning protections weakened.</t>
  </si>
  <si>
    <t>Restore protection and investigate actor.</t>
  </si>
  <si>
    <t>Change a disposable test bucket policy.</t>
  </si>
  <si>
    <t>GCP-DET-024</t>
  </si>
  <si>
    <t>Cross-project bucket access by unusual service account</t>
  </si>
  <si>
    <t>Collection</t>
  </si>
  <si>
    <t>Detect service account accessing buckets outside established project or folder boundary.</t>
  </si>
  <si>
    <t>Validate workload; remove permissions; rotate credentials if needed.</t>
  </si>
  <si>
    <t>Access test bucket cross-project.</t>
  </si>
  <si>
    <t>GCP-DET-025</t>
  </si>
  <si>
    <t>Archive bucket receives executable or encrypted payload burst</t>
  </si>
  <si>
    <t>Exfiltration / Staging</t>
  </si>
  <si>
    <t>T1074</t>
  </si>
  <si>
    <t>Cloud Storage logs</t>
  </si>
  <si>
    <t>object create metadata</t>
  </si>
  <si>
    <t>Detect unusual volume of archives, encrypted files, or executables written by a new principal.</t>
  </si>
  <si>
    <t>Quarantine objects; inspect source workload and destination use.</t>
  </si>
  <si>
    <t>Upload benign test archives.</t>
  </si>
  <si>
    <t>GCP-DET-026</t>
  </si>
  <si>
    <t>BigQuery</t>
  </si>
  <si>
    <t>Large table export</t>
  </si>
  <si>
    <t>Exfiltration</t>
  </si>
  <si>
    <t>T1041</t>
  </si>
  <si>
    <t>BigQuery Data Access Logs</t>
  </si>
  <si>
    <t>jobservice.jobcompleted</t>
  </si>
  <si>
    <t>Detect export jobs above approved byte threshold or to unusual Cloud Storage destinations.</t>
  </si>
  <si>
    <t>Disable principal; revoke job permissions; secure destination bucket.</t>
  </si>
  <si>
    <t>Export a small controlled table and validate fields.</t>
  </si>
  <si>
    <t>GCP-DET-027</t>
  </si>
  <si>
    <t>High-volume query of sensitive dataset</t>
  </si>
  <si>
    <t>Sensitive table referenced and bytes processed/read exceed user baseline.</t>
  </si>
  <si>
    <t>Review query purpose; suspend identity if unauthorized; assess data exposure.</t>
  </si>
  <si>
    <t>Run approved query in test dataset.</t>
  </si>
  <si>
    <t>GCP-DET-028</t>
  </si>
  <si>
    <t>Dataset made public</t>
  </si>
  <si>
    <t>Detect allUsers or allAuthenticatedUsers on datasets, tables, or authorized views.</t>
  </si>
  <si>
    <t>Remove binding and review access during exposure.</t>
  </si>
  <si>
    <t>Publicize disposable dataset briefly.</t>
  </si>
  <si>
    <t>GCP-DET-029</t>
  </si>
  <si>
    <t>Unusual scheduled query created</t>
  </si>
  <si>
    <t>Persistence / Collection</t>
  </si>
  <si>
    <t>T1053</t>
  </si>
  <si>
    <t>Data Transfer configuration creation</t>
  </si>
  <si>
    <t>Detect scheduled data movement or query jobs created by nonstandard principal or to new destination.</t>
  </si>
  <si>
    <t>Disable schedule; inspect query and destination.</t>
  </si>
  <si>
    <t>Create a benign scheduled query in test project.</t>
  </si>
  <si>
    <t>GCP-DET-030</t>
  </si>
  <si>
    <t>Sensitive dataset copied to new project</t>
  </si>
  <si>
    <t>copy job</t>
  </si>
  <si>
    <t>Detect copy jobs moving classified tables to projects outside approved perimeter.</t>
  </si>
  <si>
    <t>Stop jobs; revoke access; inspect copied data.</t>
  </si>
  <si>
    <t>Copy a test table between test projects.</t>
  </si>
  <si>
    <t>GCP-DET-031</t>
  </si>
  <si>
    <t>Compute</t>
  </si>
  <si>
    <t>New VM with external IP and startup script</t>
  </si>
  <si>
    <t>Execution / Persistence</t>
  </si>
  <si>
    <t>T1059 / T1578</t>
  </si>
  <si>
    <t>compute.instances.insert</t>
  </si>
  <si>
    <t>Detect VM creation combining external IP, startup script, privileged service account, or broad scopes.</t>
  </si>
  <si>
    <t>Stop instance; snapshot for forensics; review creator and startup script.</t>
  </si>
  <si>
    <t>Create disposable VM with benign startup script.</t>
  </si>
  <si>
    <t>https://attack.mitre.org/techniques/T1578/</t>
  </si>
  <si>
    <t>GCP-DET-032</t>
  </si>
  <si>
    <t>VM metadata startup script modified</t>
  </si>
  <si>
    <t>T1059</t>
  </si>
  <si>
    <t>compute.instances.setMetadata</t>
  </si>
  <si>
    <t>Detect startup-script or ssh-keys metadata changes on production instances.</t>
  </si>
  <si>
    <t>Revert metadata; isolate instance; inspect executed commands.</t>
  </si>
  <si>
    <t>Modify metadata on disposable instance.</t>
  </si>
  <si>
    <t>GCP-DET-033</t>
  </si>
  <si>
    <t>Serial console enabled or accessed</t>
  </si>
  <si>
    <t>Persistence / Defense Evasion</t>
  </si>
  <si>
    <t>T1021</t>
  </si>
  <si>
    <t>setMetadata / serial console access</t>
  </si>
  <si>
    <t>Detect enablement or use of serial-port access outside break-glass procedures.</t>
  </si>
  <si>
    <t>Disable serial access; review authentication and commands.</t>
  </si>
  <si>
    <t>Enable on test instance.</t>
  </si>
  <si>
    <t>GCP-DET-034</t>
  </si>
  <si>
    <t>Firewall rule opens SSH or RDP to internet</t>
  </si>
  <si>
    <t>Initial Access</t>
  </si>
  <si>
    <t>T1133</t>
  </si>
  <si>
    <t>Cloud Audit Logs / Firewall Insights</t>
  </si>
  <si>
    <t>compute.firewalls.insert/update</t>
  </si>
  <si>
    <t>Detect 0.0.0.0/0 or ::/0 access to TCP 22, 3389, management, or database ports.</t>
  </si>
  <si>
    <t>Disable/restrict rule; review exposure and connection logs.</t>
  </si>
  <si>
    <t>Create and delete a test rule in isolated VPC.</t>
  </si>
  <si>
    <t>https://docs.cloud.google.com/network-intelligence-center/docs/firewall-insights/concepts/overview</t>
  </si>
  <si>
    <t>GCP-DET-035</t>
  </si>
  <si>
    <t>Snapshot shared outside organization</t>
  </si>
  <si>
    <t>SetIamPolicy on snapshot/image</t>
  </si>
  <si>
    <t>Detect external principals granted access to VM images, disks, or snapshots.</t>
  </si>
  <si>
    <t>Remove access and assess whether snapshot was copied.</t>
  </si>
  <si>
    <t>Share disposable snapshot with approved test identity.</t>
  </si>
  <si>
    <t>GCP-DET-036</t>
  </si>
  <si>
    <t>Mass instance creation</t>
  </si>
  <si>
    <t>Resource Hijacking</t>
  </si>
  <si>
    <t>T1496</t>
  </si>
  <si>
    <t>Burst of instance creation, especially GPU/high-CPU machine types or new regions.</t>
  </si>
  <si>
    <t>Disable actor; stop instances; inspect billing and credentials.</t>
  </si>
  <si>
    <t>Create a small controlled burst within quota.</t>
  </si>
  <si>
    <t>https://docs.cloud.google.com/security-command-center/docs/overview-threats</t>
  </si>
  <si>
    <t>GCP-DET-037</t>
  </si>
  <si>
    <t>Cryptomining threat finding</t>
  </si>
  <si>
    <t>Security Command Center</t>
  </si>
  <si>
    <t>Cryptomining finding category</t>
  </si>
  <si>
    <t>Any active cryptomining finding from SCC built-in detection.</t>
  </si>
  <si>
    <t>Near real time</t>
  </si>
  <si>
    <t>Isolate workload; revoke credentials; preserve evidence; identify initial access.</t>
  </si>
  <si>
    <t>Use Google-supported ETD/CTD test procedures where available.</t>
  </si>
  <si>
    <t>GCP-DET-038</t>
  </si>
  <si>
    <t>Instance service account changed</t>
  </si>
  <si>
    <t>compute.instances.setServiceAccount</t>
  </si>
  <si>
    <t>Detect assignment of a more privileged service account to an existing instance.</t>
  </si>
  <si>
    <t>Stop instance; restore approved account; review token usage.</t>
  </si>
  <si>
    <t>Change service account on disposable VM.</t>
  </si>
  <si>
    <t>GCP-DET-039</t>
  </si>
  <si>
    <t>Shielded VM protections disabled</t>
  </si>
  <si>
    <t>compute.instances.updateShieldedInstanceConfig</t>
  </si>
  <si>
    <t>Detect disabling Secure Boot, vTPM, or integrity monitoring.</t>
  </si>
  <si>
    <t>Restore protections and inspect instance modifications.</t>
  </si>
  <si>
    <t>Change on disposable test VM.</t>
  </si>
  <si>
    <t>GCP-DET-040</t>
  </si>
  <si>
    <t>Image or snapshot mass deletion</t>
  </si>
  <si>
    <t>images.delete / snapshots.delete</t>
  </si>
  <si>
    <t>Detect deletion bursts or deletion of protected golden images and recovery snapshots.</t>
  </si>
  <si>
    <t>Disable principal; restore from replicas; trigger incident response.</t>
  </si>
  <si>
    <t>Delete disposable test snapshots.</t>
  </si>
  <si>
    <t>https://attack.mitre.org/datacomponents/DC0026/</t>
  </si>
  <si>
    <t>GCP-DET-041</t>
  </si>
  <si>
    <t>GKE</t>
  </si>
  <si>
    <t>Cluster-admin binding created</t>
  </si>
  <si>
    <t>Kubernetes Audit Logs</t>
  </si>
  <si>
    <t>create/update ClusterRoleBinding</t>
  </si>
  <si>
    <t>Detect cluster-admin binding to new users, groups, or service accounts.</t>
  </si>
  <si>
    <t>Delete binding; rotate credentials; inspect subsequent API actions.</t>
  </si>
  <si>
    <t>Create controlled test binding then remove.</t>
  </si>
  <si>
    <t>GCP-DET-042</t>
  </si>
  <si>
    <t>Privileged pod created</t>
  </si>
  <si>
    <t>Privilege Escalation / Execution</t>
  </si>
  <si>
    <t>T1611</t>
  </si>
  <si>
    <t>create pods</t>
  </si>
  <si>
    <t>Detect privileged=true, hostPID, hostNetwork, hostPath, hostIPC, or dangerous capabilities.</t>
  </si>
  <si>
    <t>Delete pod; isolate node; inspect image and creator.</t>
  </si>
  <si>
    <t>Deploy benign privileged test pod in isolated cluster.</t>
  </si>
  <si>
    <t>GCP-DET-043</t>
  </si>
  <si>
    <t>Pod mounts sensitive host path</t>
  </si>
  <si>
    <t>Credential Access</t>
  </si>
  <si>
    <t>T1552</t>
  </si>
  <si>
    <t>Detect mounts of /var/run, /etc, /root, kubelet paths, container runtime sockets, or credential locations.</t>
  </si>
  <si>
    <t>Remove workload; inspect node and service account.</t>
  </si>
  <si>
    <t>Deploy controlled test pod in isolated namespace.</t>
  </si>
  <si>
    <t>GCP-DET-044</t>
  </si>
  <si>
    <t>Exec into production pod by unusual user</t>
  </si>
  <si>
    <t>Execution</t>
  </si>
  <si>
    <t>pods/exec</t>
  </si>
  <si>
    <t>Detect kubectl exec into sensitive namespaces by non-SRE principal or outside approved window.</t>
  </si>
  <si>
    <t>Validate session; revoke access; inspect commands and pod state.</t>
  </si>
  <si>
    <t>Execute harmless command in test pod.</t>
  </si>
  <si>
    <t>GCP-DET-045</t>
  </si>
  <si>
    <t>Secret read burst</t>
  </si>
  <si>
    <t>T1555.006</t>
  </si>
  <si>
    <t>get/list secrets</t>
  </si>
  <si>
    <t>Detect list/get secrets across many namespaces or by unusual service account.</t>
  </si>
  <si>
    <t>Revoke RBAC; rotate accessed secrets; investigate workload.</t>
  </si>
  <si>
    <t>Read test secrets with approved test principal.</t>
  </si>
  <si>
    <t>https://attack.mitre.org/techniques/T1555/006/</t>
  </si>
  <si>
    <t>GCP-DET-046</t>
  </si>
  <si>
    <t>Anonymous or unauthenticated API access</t>
  </si>
  <si>
    <t>T1078</t>
  </si>
  <si>
    <t>system:anonymous / system:unauthenticated</t>
  </si>
  <si>
    <t>Any successful sensitive API action by anonymous identities.</t>
  </si>
  <si>
    <t>Block anonymous access and review exposed endpoint.</t>
  </si>
  <si>
    <t>Use approved test in isolated cluster.</t>
  </si>
  <si>
    <t>GCP-DET-047</t>
  </si>
  <si>
    <t>Suspicious container runtime finding</t>
  </si>
  <si>
    <t>Container Threat Detection / SCC</t>
  </si>
  <si>
    <t>SCC container threat category</t>
  </si>
  <si>
    <t>Any CTD finding indicating malicious binary, reverse shell, added executable, or suspicious process.</t>
  </si>
  <si>
    <t>Isolate node/workload; capture evidence; rotate credentials.</t>
  </si>
  <si>
    <t>Use supported threat-detection test method.</t>
  </si>
  <si>
    <t>GCP-DET-048</t>
  </si>
  <si>
    <t>External load balancer service created</t>
  </si>
  <si>
    <t>create service type LoadBalancer</t>
  </si>
  <si>
    <t>Detect new external services in restricted namespaces or with broad source ranges.</t>
  </si>
  <si>
    <t>Delete/restrict service; review exposure.</t>
  </si>
  <si>
    <t>Create a disposable test service.</t>
  </si>
  <si>
    <t>GCP-DET-049</t>
  </si>
  <si>
    <t>Admission or policy enforcement disabled</t>
  </si>
  <si>
    <t>Cloud Audit Logs / Kubernetes Audit</t>
  </si>
  <si>
    <t>cluster/update policy</t>
  </si>
  <si>
    <t>Detect changes weakening admission, Binary Authorization, workload policy, or network policy controls.</t>
  </si>
  <si>
    <t>Restore policy and investigate actor.</t>
  </si>
  <si>
    <t>Controlled test policy change.</t>
  </si>
  <si>
    <t>GCP-DET-050</t>
  </si>
  <si>
    <t>New image from unapproved registry</t>
  </si>
  <si>
    <t>T1610</t>
  </si>
  <si>
    <t>create/update workload image</t>
  </si>
  <si>
    <t>Detect deployment of image outside approved Artifact Registry domains or unsigned repositories.</t>
  </si>
  <si>
    <t>Block deployment; remove workload; scan image.</t>
  </si>
  <si>
    <t>Deploy benign image from test unapproved registry.</t>
  </si>
  <si>
    <t>https://docs.cloud.google.com/security-command-center/docs</t>
  </si>
  <si>
    <t>GCP-DET-051</t>
  </si>
  <si>
    <t>Cloud Run</t>
  </si>
  <si>
    <t>New public Cloud Run service</t>
  </si>
  <si>
    <t>Cloud Audit Logs / IAM</t>
  </si>
  <si>
    <t>run.services.create + SetIamPolicy</t>
  </si>
  <si>
    <t>Detect unauthenticated invoker access on new or updated Cloud Run services.</t>
  </si>
  <si>
    <t>Remove public invoker; inspect deployment and requests.</t>
  </si>
  <si>
    <t>Deploy disposable hello-world service publicly then remove.</t>
  </si>
  <si>
    <t>GCP-DET-052</t>
  </si>
  <si>
    <t>Cloud Run service account changed</t>
  </si>
  <si>
    <t>run.services.update</t>
  </si>
  <si>
    <t>Detect a Cloud Run revision assigned a privileged or unusual service account.</t>
  </si>
  <si>
    <t>Rollback revision; restore approved service account.</t>
  </si>
  <si>
    <t>Update disposable service.</t>
  </si>
  <si>
    <t>GCP-DET-053</t>
  </si>
  <si>
    <t>Suspicious script or binary finding</t>
  </si>
  <si>
    <t>Cloud Run Threat Detection / SCC</t>
  </si>
  <si>
    <t>Cloud Run threat finding</t>
  </si>
  <si>
    <t>Any finding for malicious shell/Python behavior or suspicious binary/library.</t>
  </si>
  <si>
    <t>Disable traffic; preserve revision; rotate service account credentials.</t>
  </si>
  <si>
    <t>Use supported test procedure or controlled benign simulation.</t>
  </si>
  <si>
    <t>https://docs.cloud.google.com/security-command-center/docs/cloud-run-threat-detection-overview</t>
  </si>
  <si>
    <t>GCP-DET-054</t>
  </si>
  <si>
    <t>Environment variable or secret reference changed</t>
  </si>
  <si>
    <t>Detect addition/change of secret mounts, secret environment variables, or sensitive configuration by unusual principal.</t>
  </si>
  <si>
    <t>Rollback revision; rotate secret if accessed.</t>
  </si>
  <si>
    <t>Update disposable service with test secret.</t>
  </si>
  <si>
    <t>GCP-DET-055</t>
  </si>
  <si>
    <t>Outbound connection to malicious destination</t>
  </si>
  <si>
    <t>Command and Control</t>
  </si>
  <si>
    <t>T1071</t>
  </si>
  <si>
    <t>Cloud Run Threat Detection / network telemetry</t>
  </si>
  <si>
    <t>threat finding / destination</t>
  </si>
  <si>
    <t>Detect SCC threat finding or repeated connection to known malicious domain/IP.</t>
  </si>
  <si>
    <t>Block egress; disable service; investigate image and request path.</t>
  </si>
  <si>
    <t>Use approved benign test indicator where supported.</t>
  </si>
  <si>
    <t>GCP-DET-056</t>
  </si>
  <si>
    <t>Secret Manager</t>
  </si>
  <si>
    <t>Secret version accessed by new principal</t>
  </si>
  <si>
    <t>AccessSecretVersion</t>
  </si>
  <si>
    <t>Detect access by a principal with no prior access to the secret or service boundary.</t>
  </si>
  <si>
    <t>Validate access; revoke role; rotate secret if unauthorized.</t>
  </si>
  <si>
    <t>Read disposable test secret.</t>
  </si>
  <si>
    <t>GCP-DET-057</t>
  </si>
  <si>
    <t>Secret access burst</t>
  </si>
  <si>
    <t>Large number of unique secrets accessed by one principal in a short interval.</t>
  </si>
  <si>
    <t>Disable identity; rotate affected secrets; assess subsequent actions.</t>
  </si>
  <si>
    <t>Access multiple test secrets.</t>
  </si>
  <si>
    <t>GCP-DET-058</t>
  </si>
  <si>
    <t>Secret IAM policy broadened</t>
  </si>
  <si>
    <t>Persistence / Credential Access</t>
  </si>
  <si>
    <t>Detect Secret Accessor or Admin granted to external, public, or unusual principals.</t>
  </si>
  <si>
    <t>Remove binding and rotate secret if access occurred.</t>
  </si>
  <si>
    <t>Grant test accessor on disposable secret.</t>
  </si>
  <si>
    <t>GCP-DET-059</t>
  </si>
  <si>
    <t>KMS</t>
  </si>
  <si>
    <t>KMS key disabled or destruction scheduled</t>
  </si>
  <si>
    <t>DisableCryptoKeyVersion / DestroyCryptoKeyVersion</t>
  </si>
  <si>
    <t>Any disablement or scheduled destruction of production encryption key versions.</t>
  </si>
  <si>
    <t>Cancel destruction or re-enable where possible; investigate actor.</t>
  </si>
  <si>
    <t>Operate on disposable test key version.</t>
  </si>
  <si>
    <t>GCP-DET-060</t>
  </si>
  <si>
    <t>Unusual decrypt burst</t>
  </si>
  <si>
    <t>Credential Access / Collection</t>
  </si>
  <si>
    <t>T1555</t>
  </si>
  <si>
    <t>Decrypt</t>
  </si>
  <si>
    <t>High volume of decrypt operations by unusual principal, project, or geography.</t>
  </si>
  <si>
    <t>Disable principal; restrict key IAM; investigate accessed workloads.</t>
  </si>
  <si>
    <t>Decrypt test ciphertext repeatedly within controlled bounds.</t>
  </si>
  <si>
    <t>GCP-DET-061</t>
  </si>
  <si>
    <t>Network</t>
  </si>
  <si>
    <t>Firewall rule broadened to internet</t>
  </si>
  <si>
    <t>firewalls.update</t>
  </si>
  <si>
    <t>Detect sourceRanges expanded to 0.0.0.0/0 or ::/0, or port ranges significantly broadened.</t>
  </si>
  <si>
    <t>Rollback rule; inspect flow logs and exposed services.</t>
  </si>
  <si>
    <t>Modify disposable firewall rule.</t>
  </si>
  <si>
    <t>GCP-DET-062</t>
  </si>
  <si>
    <t>Overly permissive firewall insight</t>
  </si>
  <si>
    <t>Firewall Insights</t>
  </si>
  <si>
    <t>OVERLY_PERMISSIVE</t>
  </si>
  <si>
    <t>New overly permissive firewall insight affecting production network.</t>
  </si>
  <si>
    <t>Daily</t>
  </si>
  <si>
    <t>Restrict source, ports, or targets; enable logging.</t>
  </si>
  <si>
    <t>Use controlled test rule.</t>
  </si>
  <si>
    <t>GCP-DET-063</t>
  </si>
  <si>
    <t>VPC Flow Logs disabled</t>
  </si>
  <si>
    <t>subnetworks.patch</t>
  </si>
  <si>
    <t>Detect disabling or reducing flow log collection on production subnets.</t>
  </si>
  <si>
    <t>Restore logging and inspect actor.</t>
  </si>
  <si>
    <t>Toggle on test subnet.</t>
  </si>
  <si>
    <t>GCP-DET-064</t>
  </si>
  <si>
    <t>Cloud IDS high-severity threat</t>
  </si>
  <si>
    <t>Command and Control / Exploitation</t>
  </si>
  <si>
    <t>T1190</t>
  </si>
  <si>
    <t>Cloud IDS / SCC</t>
  </si>
  <si>
    <t>Cloud IDS threat finding</t>
  </si>
  <si>
    <t>Any high or critical Cloud IDS finding, prioritized by exposed destination and asset criticality.</t>
  </si>
  <si>
    <t>Block source/destination; isolate asset; investigate exploit path.</t>
  </si>
  <si>
    <t>Use vendor-supported IDS testing in lab.</t>
  </si>
  <si>
    <t>https://docs.cloud.google.com/security-command-center/docs/findings/threats/cloud-ids-threat-activity</t>
  </si>
  <si>
    <t>GCP-DET-065</t>
  </si>
  <si>
    <t>Beacon-like outbound traffic</t>
  </si>
  <si>
    <t>VPC Flow Logs / DNS logs</t>
  </si>
  <si>
    <t>periodic connections</t>
  </si>
  <si>
    <t>Repeated low-volume connections from workload to rare external destination at regular intervals.</t>
  </si>
  <si>
    <t>Block destination; isolate workload; inspect processes.</t>
  </si>
  <si>
    <t>Generate controlled periodic traffic to test endpoint.</t>
  </si>
  <si>
    <t>GCP-DET-066</t>
  </si>
  <si>
    <t>DNS query to malicious domain</t>
  </si>
  <si>
    <t>T1071.004</t>
  </si>
  <si>
    <t>Cloud DNS logs / ETD</t>
  </si>
  <si>
    <t>malware bad domain finding</t>
  </si>
  <si>
    <t>Any ETD malicious-domain or high-confidence threat-intelligence match.</t>
  </si>
  <si>
    <t>Block domain; isolate source; investigate credential and malware activity.</t>
  </si>
  <si>
    <t>Use Google-supported ETD Malware: Bad Domain test.</t>
  </si>
  <si>
    <t>https://docs.cloud.google.com/security-command-center/docs/how-to-test-event-threat-detection</t>
  </si>
  <si>
    <t>GCP-DET-067</t>
  </si>
  <si>
    <t>New VPC peering or VPN connection</t>
  </si>
  <si>
    <t>Lateral Movement</t>
  </si>
  <si>
    <t>T1021.007</t>
  </si>
  <si>
    <t>networks.addPeering / vpn create</t>
  </si>
  <si>
    <t>Detect network trust paths created outside approved infrastructure pipeline.</t>
  </si>
  <si>
    <t>Disable connection; assess reachable resources; review creator.</t>
  </si>
  <si>
    <t>Create disposable peering in test environment.</t>
  </si>
  <si>
    <t>https://attack.mitre.org/techniques/T1021/007/</t>
  </si>
  <si>
    <t>GCP-DET-068</t>
  </si>
  <si>
    <t>Cloud Armor policy weakened</t>
  </si>
  <si>
    <t>securityPolicies.patch</t>
  </si>
  <si>
    <t>Detect deletion or priority changes of deny, WAF, geo, rate-limit, or threat-intelligence rules.</t>
  </si>
  <si>
    <t>Restore policy; inspect traffic during weakened period.</t>
  </si>
  <si>
    <t>Change disposable test policy.</t>
  </si>
  <si>
    <t>GCP-DET-069</t>
  </si>
  <si>
    <t>SCC</t>
  </si>
  <si>
    <t>Event Threat Detection IAM anomalous grant</t>
  </si>
  <si>
    <t>IAM Anomalous Grant</t>
  </si>
  <si>
    <t>Any ETD anomalous IAM grant finding, enriched with role sensitivity and asset scope.</t>
  </si>
  <si>
    <t>Validate grant; revoke if unauthorized; investigate principal.</t>
  </si>
  <si>
    <t>Use Google-supported IAM anomalous grant test.</t>
  </si>
  <si>
    <t>GCP-DET-070</t>
  </si>
  <si>
    <t>Correlated threat path identifies multi-stage incident</t>
  </si>
  <si>
    <t>Multiple</t>
  </si>
  <si>
    <t>Correlated Threats</t>
  </si>
  <si>
    <t>Any correlated threat with critical asset or high attack exposure; open one incident instead of isolated alerts.</t>
  </si>
  <si>
    <t>Follow structured SCC investigation; contain identities and assets across path.</t>
  </si>
  <si>
    <t>Use available threat simulation and validate correlation.</t>
  </si>
  <si>
    <t>https://docs.cloud.google.com/security-command-center/docs/correlated-threats-overview</t>
  </si>
  <si>
    <t>GCP-DET-071</t>
  </si>
  <si>
    <t>Active threat finding on internet-exposed asset</t>
  </si>
  <si>
    <t>Initial Access / Execution</t>
  </si>
  <si>
    <t>Security Command Center / Asset Inventory</t>
  </si>
  <si>
    <t>active finding + exposure</t>
  </si>
  <si>
    <t>Correlate active high/critical threat finding with external IP, public endpoint, or attack-exposure score.</t>
  </si>
  <si>
    <t>Prioritize immediate containment and evidence preservation.</t>
  </si>
  <si>
    <t>Use a test asset and supported SCC finding simulation.</t>
  </si>
  <si>
    <t>https://docs.cloud.google.com/security-command-center/docs/finding-severity-classifications</t>
  </si>
  <si>
    <t>GCP-DET-072</t>
  </si>
  <si>
    <t>Threat finding muted or closed unexpectedly</t>
  </si>
  <si>
    <t>mute or state update</t>
  </si>
  <si>
    <t>Detect high/critical threat finding muted, closed, or filtered by unusual principal.</t>
  </si>
  <si>
    <t>Restore state; review rationale and actor.</t>
  </si>
  <si>
    <t>Mute disposable test finding.</t>
  </si>
  <si>
    <t>GCP-DET-073</t>
  </si>
  <si>
    <t>Data Pipeline</t>
  </si>
  <si>
    <t>Pub/Sub subscription created to external project</t>
  </si>
  <si>
    <t>CreateSubscription / SetIamPolicy</t>
  </si>
  <si>
    <t>Detect subscription, push endpoint, or IAM binding enabling data delivery outside approved boundary.</t>
  </si>
  <si>
    <t>Delete subscription; revoke access; assess delivered messages.</t>
  </si>
  <si>
    <t>Create test topic/subscription across test projects.</t>
  </si>
  <si>
    <t>GCP-DET-074</t>
  </si>
  <si>
    <t>Dataflow job sends data to new external destination</t>
  </si>
  <si>
    <t>Cloud Audit Logs / Data Access</t>
  </si>
  <si>
    <t>Dataflow job create</t>
  </si>
  <si>
    <t>Detect new pipelines reading classified sources and writing to unapproved project, bucket, database, or endpoint.</t>
  </si>
  <si>
    <t>Stop job; revoke service account; inspect transferred data.</t>
  </si>
  <si>
    <t>Run controlled test pipeline.</t>
  </si>
  <si>
    <t>GCP-DET-075</t>
  </si>
  <si>
    <t>Cloud SQL</t>
  </si>
  <si>
    <t>Database instance made publicly reachable</t>
  </si>
  <si>
    <t>Cloud Audit Logs / Asset Inventory</t>
  </si>
  <si>
    <t>sql.instances.update</t>
  </si>
  <si>
    <t>Detect public IP enablement, authorized network 0.0.0.0/0, or SSL requirements weakened.</t>
  </si>
  <si>
    <t>Restrict network; rotate credentials; inspect DB logs.</t>
  </si>
  <si>
    <t>Change disposable test instance configuration.</t>
  </si>
  <si>
    <t>GCP-DET-076</t>
  </si>
  <si>
    <t>New privileged database user</t>
  </si>
  <si>
    <t>T1136</t>
  </si>
  <si>
    <t>Cloud SQL audit/database logs</t>
  </si>
  <si>
    <t>CREATE USER / GRANT</t>
  </si>
  <si>
    <t>Detect new admin/superuser role or grant outside approved database administration identity.</t>
  </si>
  <si>
    <t>Disable account; revoke grants; inspect queries.</t>
  </si>
  <si>
    <t>Create controlled test DB user.</t>
  </si>
  <si>
    <t>GCP-DET-077</t>
  </si>
  <si>
    <t>Unusual database export</t>
  </si>
  <si>
    <t>sql.instances.export</t>
  </si>
  <si>
    <t>Detect exports to new buckets, by unusual principal, or involving production databases.</t>
  </si>
  <si>
    <t>Stop/restrict export; secure bucket; revoke identity.</t>
  </si>
  <si>
    <t>Export disposable database.</t>
  </si>
  <si>
    <t>GCP-DET-078</t>
  </si>
  <si>
    <t>CI/CD</t>
  </si>
  <si>
    <t>Cloud Build trigger modified to untrusted repository</t>
  </si>
  <si>
    <t>Supply Chain Compromise</t>
  </si>
  <si>
    <t>T1195</t>
  </si>
  <si>
    <t>cloudbuild triggers update</t>
  </si>
  <si>
    <t>Detect repository, branch, service account, or substitutions changed to unapproved values.</t>
  </si>
  <si>
    <t>Disable trigger; review builds and artifacts; rotate secrets.</t>
  </si>
  <si>
    <t>Modify disposable test trigger.</t>
  </si>
  <si>
    <t>GCP-DET-079</t>
  </si>
  <si>
    <t>Artifact Registry package downloaded unusually</t>
  </si>
  <si>
    <t>Collection / Execution</t>
  </si>
  <si>
    <t>artifact download</t>
  </si>
  <si>
    <t>Detect sensitive package/image pulls by new principal, geography, or at abnormal volume.</t>
  </si>
  <si>
    <t>Revoke identity; inspect downstream deployment and package exposure.</t>
  </si>
  <si>
    <t>Pull test image from alternate controlled workload.</t>
  </si>
  <si>
    <t>GCP-DET-080</t>
  </si>
  <si>
    <t>Production image tag overwritten or deleted</t>
  </si>
  <si>
    <t>Impact / Supply Chain</t>
  </si>
  <si>
    <t>T1485 / T1195</t>
  </si>
  <si>
    <t>Artifact Registry Audit Logs</t>
  </si>
  <si>
    <t>tag/package update/delete</t>
  </si>
  <si>
    <t>Detect destructive or mutable changes to protected production artifacts.</t>
  </si>
  <si>
    <t>Restore immutable artifact; stop deployments; investigate actor.</t>
  </si>
  <si>
    <t>Modify disposable test artifact.</t>
  </si>
  <si>
    <t>Google Cloud Threat Hunting Library</t>
  </si>
  <si>
    <t>Hunt ID</t>
  </si>
  <si>
    <t>Hypothesis</t>
  </si>
  <si>
    <t>Data Sources</t>
  </si>
  <si>
    <t>Analytic Approach</t>
  </si>
  <si>
    <t>Incident Type</t>
  </si>
  <si>
    <t>ATT&amp;CK</t>
  </si>
  <si>
    <t>Cadence</t>
  </si>
  <si>
    <t>Priority</t>
  </si>
  <si>
    <t>Success Criterion</t>
  </si>
  <si>
    <t>Investigation Action</t>
  </si>
  <si>
    <t>Hunt Status</t>
  </si>
  <si>
    <t>HUNT-001</t>
  </si>
  <si>
    <t>Has a privileged identity begun operating from a new geography or autonomous system?</t>
  </si>
  <si>
    <t>Group administrative events by principal, country/ASN and compare to 30-day baseline.</t>
  </si>
  <si>
    <t>Privileged account compromise</t>
  </si>
  <si>
    <t>New geography plus sensitive IAM action</t>
  </si>
  <si>
    <t>Validate travel/VPN; review token and subsequent activity.</t>
  </si>
  <si>
    <t>Planned</t>
  </si>
  <si>
    <t>HUNT-002</t>
  </si>
  <si>
    <t>Is a human principal impersonating many service accounts?</t>
  </si>
  <si>
    <t>Count distinct target service accounts in GenerateAccessToken by human principal.</t>
  </si>
  <si>
    <t>Service account abuse</t>
  </si>
  <si>
    <t>&gt;3 target service accounts in 30 minutes</t>
  </si>
  <si>
    <t>Review delegation chain and disable suspicious token creator grants.</t>
  </si>
  <si>
    <t>HUNT-003</t>
  </si>
  <si>
    <t>Did a new service account receive privilege and immediately access data?</t>
  </si>
  <si>
    <t>Correlate CreateServiceAccount, SetIamPolicy, and Data Access events within 60 minutes.</t>
  </si>
  <si>
    <t>Persistence and collection</t>
  </si>
  <si>
    <t>Three-stage sequence</t>
  </si>
  <si>
    <t>Disable account; review creator and accessed resources.</t>
  </si>
  <si>
    <t>HUNT-004</t>
  </si>
  <si>
    <t>Are dormant privileged identities reactivated?</t>
  </si>
  <si>
    <t>Find privileged identities with no events for 60+ days that resume activity.</t>
  </si>
  <si>
    <t>Stolen dormant credentials</t>
  </si>
  <si>
    <t>Weekly</t>
  </si>
  <si>
    <t>Dormancy plus administrative action</t>
  </si>
  <si>
    <t>Challenge owner and review complete session.</t>
  </si>
  <si>
    <t>HUNT-005</t>
  </si>
  <si>
    <t>Was telemetry weakened before suspicious activity?</t>
  </si>
  <si>
    <t>Correlate sink/exclusion/audit changes with administrative or data access events by same principal.</t>
  </si>
  <si>
    <t>Defense evasion</t>
  </si>
  <si>
    <t>Logging change followed by sensitive action within 2h</t>
  </si>
  <si>
    <t>Restore logging and investigate full period.</t>
  </si>
  <si>
    <t>HUNT-006</t>
  </si>
  <si>
    <t>Are users downloading substantially more objects than peers?</t>
  </si>
  <si>
    <t>Storage Data Access Logs</t>
  </si>
  <si>
    <t>Calculate objects and bytes read per principal and compare to peer percentile and history.</t>
  </si>
  <si>
    <t>Data theft</t>
  </si>
  <si>
    <t>&gt;99th percentile and sensitive bucket</t>
  </si>
  <si>
    <t>Suspend account and scope exposed objects.</t>
  </si>
  <si>
    <t>HUNT-007</t>
  </si>
  <si>
    <t>Are objects staged into archives before export?</t>
  </si>
  <si>
    <t>Identify bursts of archive/encrypted file creation followed by reads or cross-project copies.</t>
  </si>
  <si>
    <t>Data staging</t>
  </si>
  <si>
    <t>Archive burst plus external access</t>
  </si>
  <si>
    <t>Inspect creating workload and destination.</t>
  </si>
  <si>
    <t>HUNT-008</t>
  </si>
  <si>
    <t>Are sensitive tables queried by unusual users or tools?</t>
  </si>
  <si>
    <t>Extract referenced tables, principal, user agent and bytes processed; compare to access baseline.</t>
  </si>
  <si>
    <t>Rare principal or user agent plus high bytes</t>
  </si>
  <si>
    <t>Validate purpose and review result destination.</t>
  </si>
  <si>
    <t>HUNT-009</t>
  </si>
  <si>
    <t>Did an IAM change precede a data export?</t>
  </si>
  <si>
    <t>Audit Logs + BigQuery Logs</t>
  </si>
  <si>
    <t>Correlate new BigQuery permissions with extract/copy jobs in 4 hours.</t>
  </si>
  <si>
    <t>Privilege-to-exfiltration chain</t>
  </si>
  <si>
    <t>T1098 / T1041</t>
  </si>
  <si>
    <t>New grant plus export</t>
  </si>
  <si>
    <t>Revoke access and identify exported data.</t>
  </si>
  <si>
    <t>HUNT-010</t>
  </si>
  <si>
    <t>Are new GPU or high-CPU instances being used for cryptomining?</t>
  </si>
  <si>
    <t>Audit Logs + Monitoring + SCC</t>
  </si>
  <si>
    <t>Combine mass instance creation, unusual regions, sustained CPU and SCC threat findings.</t>
  </si>
  <si>
    <t>Resource hijacking</t>
  </si>
  <si>
    <t>Hourly</t>
  </si>
  <si>
    <t>Creation burst plus high CPU</t>
  </si>
  <si>
    <t>Stop instances and rotate creator credentials.</t>
  </si>
  <si>
    <t>HUNT-011</t>
  </si>
  <si>
    <t>Were startup scripts or SSH keys changed shortly before suspicious execution?</t>
  </si>
  <si>
    <t>Search setMetadata changes and correlate with process/runtime alerts.</t>
  </si>
  <si>
    <t>Metadata change plus execution finding</t>
  </si>
  <si>
    <t>Isolate VM and inspect metadata history.</t>
  </si>
  <si>
    <t>HUNT-012</t>
  </si>
  <si>
    <t>Are snapshots being used to move data outside approved projects?</t>
  </si>
  <si>
    <t>Identify snapshot creation, sharing or image creation across project/organization boundaries.</t>
  </si>
  <si>
    <t>Cloud data theft</t>
  </si>
  <si>
    <t>External IAM binding or cross-boundary copy</t>
  </si>
  <si>
    <t>Remove access and audit copied data.</t>
  </si>
  <si>
    <t>HUNT-013</t>
  </si>
  <si>
    <t>Are users executing into pods outside their normal namespaces?</t>
  </si>
  <si>
    <t>Baseline pods/exec by user and namespace; surface rare or production access.</t>
  </si>
  <si>
    <t>Interactive execution</t>
  </si>
  <si>
    <t>New user-namespace pair</t>
  </si>
  <si>
    <t>Review command context and credentials.</t>
  </si>
  <si>
    <t>HUNT-014</t>
  </si>
  <si>
    <t>Are workloads requesting dangerous host privileges?</t>
  </si>
  <si>
    <t>Search pod specifications for privilege, host namespaces, hostPath and dangerous capabilities.</t>
  </si>
  <si>
    <t>Container escape preparation</t>
  </si>
  <si>
    <t>Any unapproved dangerous specification</t>
  </si>
  <si>
    <t>Delete workload and investigate image.</t>
  </si>
  <si>
    <t>HUNT-015</t>
  </si>
  <si>
    <t>Are service accounts enumerating or reading secrets broadly?</t>
  </si>
  <si>
    <t>Count namespaces and secrets accessed by each service account.</t>
  </si>
  <si>
    <t>Credential theft</t>
  </si>
  <si>
    <t>Many namespaces or rare service account</t>
  </si>
  <si>
    <t>Revoke RBAC and rotate secrets.</t>
  </si>
  <si>
    <t>HUNT-016</t>
  </si>
  <si>
    <t>Did a public deployment immediately make suspicious outbound connections?</t>
  </si>
  <si>
    <t>Audit Logs + SCC Threat Detection</t>
  </si>
  <si>
    <t>Correlate unauthenticated invoker grant with Cloud Run threat finding or rare outbound destination.</t>
  </si>
  <si>
    <t>Web exploitation</t>
  </si>
  <si>
    <t>Public access plus threat signal</t>
  </si>
  <si>
    <t>Disable traffic and inspect revision.</t>
  </si>
  <si>
    <t>HUNT-017</t>
  </si>
  <si>
    <t>Secrets/KMS</t>
  </si>
  <si>
    <t>Are secrets or keys being accessed across unusual project boundaries?</t>
  </si>
  <si>
    <t>Compare principal-project-resource relationship to historical graph.</t>
  </si>
  <si>
    <t>New cross-project edge</t>
  </si>
  <si>
    <t>Restrict IAM and rotate affected material.</t>
  </si>
  <si>
    <t>HUNT-018</t>
  </si>
  <si>
    <t>Are workloads beaconing to rare destinations?</t>
  </si>
  <si>
    <t>VPC Flow Logs / DNS</t>
  </si>
  <si>
    <t>Calculate periodicity, rarity and connection duration by workload and destination.</t>
  </si>
  <si>
    <t>Command and control</t>
  </si>
  <si>
    <t>High periodicity plus rare destination</t>
  </si>
  <si>
    <t>Block and isolate workload.</t>
  </si>
  <si>
    <t>HUNT-019</t>
  </si>
  <si>
    <t>Was a trust path created before cross-project activity?</t>
  </si>
  <si>
    <t>Audit Logs</t>
  </si>
  <si>
    <t>Correlate VPC peering/VPN creation with administrative or data activity across connected projects.</t>
  </si>
  <si>
    <t>Lateral movement</t>
  </si>
  <si>
    <t>New connection plus cross-boundary actions</t>
  </si>
  <si>
    <t>Disable path and investigate creator.</t>
  </si>
  <si>
    <t>HUNT-020</t>
  </si>
  <si>
    <t>Did a build trigger change precede a new privileged deployment?</t>
  </si>
  <si>
    <t>Cloud Build + Audit Logs</t>
  </si>
  <si>
    <t>Correlate trigger/repository/service account changes with artifact publication and deployment.</t>
  </si>
  <si>
    <t>Supply-chain compromise</t>
  </si>
  <si>
    <t>Trigger change plus production deploy</t>
  </si>
  <si>
    <t>Disable pipeline and validate artifacts.</t>
  </si>
  <si>
    <t>Multi-Stage Cloud Attack Correlation</t>
  </si>
  <si>
    <t>Chain ID</t>
  </si>
  <si>
    <t>Scenario</t>
  </si>
  <si>
    <t>Stage 1</t>
  </si>
  <si>
    <t>Stage 2</t>
  </si>
  <si>
    <t>Stage 3</t>
  </si>
  <si>
    <t>Stage 4</t>
  </si>
  <si>
    <t>Window</t>
  </si>
  <si>
    <t>Join Keys</t>
  </si>
  <si>
    <t>Response</t>
  </si>
  <si>
    <t>CHAIN-001</t>
  </si>
  <si>
    <t>Compromised identity to data exfiltration</t>
  </si>
  <si>
    <t>New privileged IAM grant</t>
  </si>
  <si>
    <t>Service-account impersonation</t>
  </si>
  <si>
    <t>BigQuery or Storage export</t>
  </si>
  <si>
    <t>60m</t>
  </si>
  <si>
    <t>Principal, target service account and project</t>
  </si>
  <si>
    <t>Disable identities; revoke grants; block exports; preserve logs.</t>
  </si>
  <si>
    <t>CHAIN-002</t>
  </si>
  <si>
    <t>Public workload exploitation</t>
  </si>
  <si>
    <t>Public Cloud Run/GKE/VM exposure</t>
  </si>
  <si>
    <t>Threat finding or suspicious execution</t>
  </si>
  <si>
    <t>Secret/KMS access</t>
  </si>
  <si>
    <t>Outbound C2 or exfiltration</t>
  </si>
  <si>
    <t>90m</t>
  </si>
  <si>
    <t>Workload, service account and destination</t>
  </si>
  <si>
    <t>Remove public access; isolate workload; rotate secrets.</t>
  </si>
  <si>
    <t>CHAIN-003</t>
  </si>
  <si>
    <t>Cloud cryptomining</t>
  </si>
  <si>
    <t>Credential anomaly</t>
  </si>
  <si>
    <t>Mass high-CPU/GPU instance creation</t>
  </si>
  <si>
    <t>Sustained resource spike</t>
  </si>
  <si>
    <t>SCC cryptomining finding</t>
  </si>
  <si>
    <t>Principal, project and billing account</t>
  </si>
  <si>
    <t>Stop resources; disable identity; review billing.</t>
  </si>
  <si>
    <t>CHAIN-004</t>
  </si>
  <si>
    <t>Logging evasion before destructive action</t>
  </si>
  <si>
    <t>Sink/exclusion/audit change</t>
  </si>
  <si>
    <t>Privilege or metadata change</t>
  </si>
  <si>
    <t>Mass deletion</t>
  </si>
  <si>
    <t>Recovery control weakened</t>
  </si>
  <si>
    <t>120m</t>
  </si>
  <si>
    <t>Principal and organization/folder/project</t>
  </si>
  <si>
    <t>Restore logs; disable principal; initiate recovery.</t>
  </si>
  <si>
    <t>CHAIN-005</t>
  </si>
  <si>
    <t>CI/CD supply-chain compromise</t>
  </si>
  <si>
    <t>Build trigger/repository changed</t>
  </si>
  <si>
    <t>Artifact tag overwritten</t>
  </si>
  <si>
    <t>Privileged deployment</t>
  </si>
  <si>
    <t>Runtime threat finding</t>
  </si>
  <si>
    <t>4h</t>
  </si>
  <si>
    <t>Repository, build, artifact and workload</t>
  </si>
  <si>
    <t>Freeze pipeline; validate artifact provenance; rollback.</t>
  </si>
  <si>
    <t>CHAIN-006</t>
  </si>
  <si>
    <t>Cross-project lateral movement</t>
  </si>
  <si>
    <t>New peering/VPN or broad IAM grant</t>
  </si>
  <si>
    <t>Cloud service discovery</t>
  </si>
  <si>
    <t>Sensitive data access</t>
  </si>
  <si>
    <t>2h</t>
  </si>
  <si>
    <t>Principal and connected projects</t>
  </si>
  <si>
    <t>Remove trust path; revoke identity; assess affected projects.</t>
  </si>
  <si>
    <t>CHAIN-007</t>
  </si>
  <si>
    <t>Ransomware-like cloud impact</t>
  </si>
  <si>
    <t>Credential compromise</t>
  </si>
  <si>
    <t>Snapshot/image protections altered</t>
  </si>
  <si>
    <t>Mass object or snapshot deletion</t>
  </si>
  <si>
    <t>KMS disable/destruction</t>
  </si>
  <si>
    <t>Principal and protected data assets</t>
  </si>
  <si>
    <t>Disable identity; stop destructive API calls; activate recovery.</t>
  </si>
  <si>
    <t>CHAIN-008</t>
  </si>
  <si>
    <t>Insider data theft</t>
  </si>
  <si>
    <t>Unusual sensitive query</t>
  </si>
  <si>
    <t>Archive/staging creation</t>
  </si>
  <si>
    <t>Large export or object download</t>
  </si>
  <si>
    <t>External sharing</t>
  </si>
  <si>
    <t>8h</t>
  </si>
  <si>
    <t>Principal and data classification</t>
  </si>
  <si>
    <t>Suspend access; preserve evidence; involve insider-risk/legal process.</t>
  </si>
  <si>
    <t>Detection Validation and Purple-Team Register</t>
  </si>
  <si>
    <t>Validation Procedure</t>
  </si>
  <si>
    <t>Test Status</t>
  </si>
  <si>
    <t>Last Test</t>
  </si>
  <si>
    <t>Observed Alert</t>
  </si>
  <si>
    <t>Precision Notes</t>
  </si>
  <si>
    <t>Expected Result</t>
  </si>
  <si>
    <t>Safety Constraint</t>
  </si>
  <si>
    <t>Source</t>
  </si>
  <si>
    <t>Not tested</t>
  </si>
  <si>
    <t>Expected alert generated with correct entity and severity</t>
  </si>
  <si>
    <t>No unauthorized production effect</t>
  </si>
  <si>
    <t>Detection Quality, Coverage and Lifecycle Metrics</t>
  </si>
  <si>
    <t>Alerts</t>
  </si>
  <si>
    <t>True Positives</t>
  </si>
  <si>
    <t>False Positives</t>
  </si>
  <si>
    <t>Precision %</t>
  </si>
  <si>
    <t>Mean Triage Minutes</t>
  </si>
  <si>
    <t>Detection Latency Minutes</t>
  </si>
  <si>
    <t>Tests Passed</t>
  </si>
  <si>
    <t>Tests Total</t>
  </si>
  <si>
    <t>Validation %</t>
  </si>
  <si>
    <t>Quality Status</t>
  </si>
  <si>
    <t>Google Cloud SOC Detection and Hunting Dashboard</t>
  </si>
  <si>
    <t>Author: Yuval Sinay | Version 4.0 | 03.08.2026 | Operational baseline - quality values are illustrative until connected to live case data</t>
  </si>
  <si>
    <t>Detection Use Cases</t>
  </si>
  <si>
    <t>Ready Detections</t>
  </si>
  <si>
    <t>Critical Use Cases</t>
  </si>
  <si>
    <t>Threat Hunts</t>
  </si>
  <si>
    <t>Detections</t>
  </si>
  <si>
    <t>Mapped Detections</t>
  </si>
  <si>
    <t>Coverage Target</t>
  </si>
  <si>
    <t>Count</t>
  </si>
  <si>
    <t>Healthy</t>
  </si>
  <si>
    <t>Review</t>
  </si>
  <si>
    <t>Weak</t>
  </si>
  <si>
    <t>Discovery</t>
  </si>
  <si>
    <t>Incident Detection Readiness Interpretation</t>
  </si>
  <si>
    <t>Green</t>
  </si>
  <si>
    <t>Ready and validated detections with acceptable precision and latency.</t>
  </si>
  <si>
    <t>Amber</t>
  </si>
  <si>
    <t>Useful coverage, but tuning or test evidence is incomplete.</t>
  </si>
  <si>
    <t>Red</t>
  </si>
  <si>
    <t>Critical incident path lacks reliable telemetry, detection, or response validation.</t>
  </si>
  <si>
    <t>Connect Cloud Audit Logs, SCC findings, Kubernetes Audit Logs, VPC Flow/DNS logs and Google SecOps before relying on the workbook operationally.</t>
  </si>
  <si>
    <t>SOC Operating Model for Google Cloud Detection</t>
  </si>
  <si>
    <t>Audience</t>
  </si>
  <si>
    <t>Required Decision</t>
  </si>
  <si>
    <t>Evidence</t>
  </si>
  <si>
    <t>SLA</t>
  </si>
  <si>
    <t>Escalation</t>
  </si>
  <si>
    <t>Output</t>
  </si>
  <si>
    <t>Tier 1/2 SOC</t>
  </si>
  <si>
    <t>Critical/high detections, correlated threats, logging failures</t>
  </si>
  <si>
    <t>Triage, contain or escalate</t>
  </si>
  <si>
    <t>Alert, UDM events, SCC finding, audit logs</t>
  </si>
  <si>
    <t>15 minutes critical</t>
  </si>
  <si>
    <t>SOC lead</t>
  </si>
  <si>
    <t>Case record</t>
  </si>
  <si>
    <t>Detection Engineering</t>
  </si>
  <si>
    <t>False positives, missed joins, parsing gaps, dormant rules</t>
  </si>
  <si>
    <t>Tune or disable; open telemetry defect</t>
  </si>
  <si>
    <t>Detection metrics and sample events</t>
  </si>
  <si>
    <t>1 business day</t>
  </si>
  <si>
    <t>SOC manager</t>
  </si>
  <si>
    <t>Daily quality actions</t>
  </si>
  <si>
    <t>Cloud Security and Service Owners</t>
  </si>
  <si>
    <t>Coverage by domain, overdue testing, attack-chain gaps</t>
  </si>
  <si>
    <t>Assign engineering work and owners</t>
  </si>
  <si>
    <t>Catalog, testing register, threat hunts</t>
  </si>
  <si>
    <t>5 business days</t>
  </si>
  <si>
    <t>CISO for critical gap</t>
  </si>
  <si>
    <t>Coverage backlog</t>
  </si>
  <si>
    <t>Monthly</t>
  </si>
  <si>
    <t>CISO and GRC</t>
  </si>
  <si>
    <t>Incident trends, detection quality, compliance evidence</t>
  </si>
  <si>
    <t>Accept risk or fund remediation</t>
  </si>
  <si>
    <t>Dashboard and evidence package</t>
  </si>
  <si>
    <t>Executive committee</t>
  </si>
  <si>
    <t>Risk report</t>
  </si>
  <si>
    <t>Quarterly</t>
  </si>
  <si>
    <t>Purple Team / Internal Audit</t>
  </si>
  <si>
    <t>Validation of high-risk detections and response chains</t>
  </si>
  <si>
    <t>Approve readiness or corrective plan</t>
  </si>
  <si>
    <t>Test results and incident simulations</t>
  </si>
  <si>
    <t>CISO</t>
  </si>
  <si>
    <t>Readiness attestation</t>
  </si>
  <si>
    <t>Publisher</t>
  </si>
  <si>
    <t>Workbook Use</t>
  </si>
  <si>
    <t>URL</t>
  </si>
  <si>
    <t>Accessed</t>
  </si>
  <si>
    <t>Google Cloud</t>
  </si>
  <si>
    <t>Cloud Audit Logs overview</t>
  </si>
  <si>
    <t>Audit telemetry types and coverage</t>
  </si>
  <si>
    <t>Understanding audit logs</t>
  </si>
  <si>
    <t>Audit entry fields and interpretation</t>
  </si>
  <si>
    <t>Enable Data Access audit logs</t>
  </si>
  <si>
    <t>Configuration required for data-access detections</t>
  </si>
  <si>
    <t>Event Threat Detection overview</t>
  </si>
  <si>
    <t>Built-in event and behavioral threat findings</t>
  </si>
  <si>
    <t>https://docs.cloud.google.com/security-command-center/docs/concepts-event-threat-detection-overview</t>
  </si>
  <si>
    <t>Test Event Threat Detection</t>
  </si>
  <si>
    <t>Supported validation of IAM anomalous grant and malicious-domain detectors</t>
  </si>
  <si>
    <t>Threat detection in Security Command Center</t>
  </si>
  <si>
    <t>Event, container and cloud workload threat detection</t>
  </si>
  <si>
    <t>Cloud Run Threat Detection</t>
  </si>
  <si>
    <t>Runtime analysis of scripts, binaries and libraries</t>
  </si>
  <si>
    <t>Multi-stage structured investigation</t>
  </si>
  <si>
    <t>Cloud IDS threat detections</t>
  </si>
  <si>
    <t>Network threat findings and response</t>
  </si>
  <si>
    <t>Overly permissive, shadowed and unused rule insights</t>
  </si>
  <si>
    <t>YARA-L 2.0 best practices</t>
  </si>
  <si>
    <t>Detection-rule quality and language guidance</t>
  </si>
  <si>
    <t>https://docs.cloud.google.com/chronicle/docs/detection/yara-l-best-practices</t>
  </si>
  <si>
    <t>YARA-L single and multiple event rules</t>
  </si>
  <si>
    <t>Correlation examples for Google SecOps</t>
  </si>
  <si>
    <t>MITRE ATT&amp;CK</t>
  </si>
  <si>
    <t>Valid Accounts: Cloud Accounts</t>
  </si>
  <si>
    <t>Cloud account compromise mapping</t>
  </si>
  <si>
    <t>https://attack.mitre.org/techniques/T1078/004/</t>
  </si>
  <si>
    <t>Additional Cloud Credentials</t>
  </si>
  <si>
    <t>Persistence through added credentials</t>
  </si>
  <si>
    <t>https://attack.mitre.org/techniques/T1098/001/</t>
  </si>
  <si>
    <t>Cloud Infrastructure Discovery</t>
  </si>
  <si>
    <t>Discovery of cloud infrastructure</t>
  </si>
  <si>
    <t>Cloud Service Discovery</t>
  </si>
  <si>
    <t>Discovery of active cloud services</t>
  </si>
  <si>
    <t>https://attack.mitre.org/techniques/T1526/</t>
  </si>
  <si>
    <t>Data from Cloud Storage</t>
  </si>
  <si>
    <t>Collection from cloud storage</t>
  </si>
  <si>
    <t>Cloud Secrets Management Stores</t>
  </si>
  <si>
    <t>Secret retrieval mapping</t>
  </si>
  <si>
    <t>Remote Services: Cloud Services</t>
  </si>
  <si>
    <t>Cloud-service lateral movement</t>
  </si>
  <si>
    <t>Modify Cloud Compute Infrastructure</t>
  </si>
  <si>
    <t>Cloud compute modifications</t>
  </si>
  <si>
    <t>Author: Yuval Sinay | Version 1.0 | 03.08.2026 | Operational content - tune thresholds and field mappings to your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</si>
</sst>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6">
    <font>
      <sz val="11"/>
      <name val="Carlito"/>
    </font>
    <font>
      <b/>
      <sz val="18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  <font>
      <b/>
      <sz val="20"/>
      <color rgb="FF17365D"/>
      <name val="Carlito"/>
    </font>
    <font>
      <b/>
      <sz val="12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Detection Coverage by Google Cloud Domain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Detections</c:v>
          </c:tx>
          <c:invertIfNegative val="1"/>
          <c:cat>
            <c:strRef>
              <c:f>'SOC Dashboard'!$A$12:$A$25</c:f>
              <c:strCache>
                <c:ptCount val="14"/>
                <c:pt idx="0">
                  <c:v>IAM</c:v>
                </c:pt>
                <c:pt idx="1">
                  <c:v>Logging</c:v>
                </c:pt>
                <c:pt idx="2">
                  <c:v>Storage</c:v>
                </c:pt>
                <c:pt idx="3">
                  <c:v>BigQuery</c:v>
                </c:pt>
                <c:pt idx="4">
                  <c:v>Compute</c:v>
                </c:pt>
                <c:pt idx="5">
                  <c:v>GKE</c:v>
                </c:pt>
                <c:pt idx="6">
                  <c:v>Cloud Run</c:v>
                </c:pt>
                <c:pt idx="7">
                  <c:v>Secret Manager</c:v>
                </c:pt>
                <c:pt idx="8">
                  <c:v>KMS</c:v>
                </c:pt>
                <c:pt idx="9">
                  <c:v>Network</c:v>
                </c:pt>
                <c:pt idx="10">
                  <c:v>SCC</c:v>
                </c:pt>
                <c:pt idx="11">
                  <c:v>Data Pipeline</c:v>
                </c:pt>
                <c:pt idx="12">
                  <c:v>Cloud SQL</c:v>
                </c:pt>
                <c:pt idx="13">
                  <c:v>CI/CD</c:v>
                </c:pt>
              </c:strCache>
            </c:strRef>
          </c:cat>
          <c:val>
            <c:numRef>
              <c:f>'SOC Dashboard'!$B$12:$B$25</c:f>
              <c:numCache>
                <c:formatCode>General</c:formatCode>
                <c:ptCount val="14"/>
                <c:pt idx="0">
                  <c:v>12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A-40B8-8C4D-7C57DA56C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MITRE ATT&amp;CK Tactic Coverage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Mapped Detections</c:v>
          </c:tx>
          <c:invertIfNegative val="1"/>
          <c:cat>
            <c:strRef>
              <c:f>'SOC Dashboard'!$E$12:$E$23</c:f>
              <c:strCache>
                <c:ptCount val="12"/>
                <c:pt idx="0">
                  <c:v>Initial Access</c:v>
                </c:pt>
                <c:pt idx="1">
                  <c:v>Execution</c:v>
                </c:pt>
                <c:pt idx="2">
                  <c:v>Persistence</c:v>
                </c:pt>
                <c:pt idx="3">
                  <c:v>Privilege Escalation</c:v>
                </c:pt>
                <c:pt idx="4">
                  <c:v>Defense Evasion</c:v>
                </c:pt>
                <c:pt idx="5">
                  <c:v>Credential Access</c:v>
                </c:pt>
                <c:pt idx="6">
                  <c:v>Discovery</c:v>
                </c:pt>
                <c:pt idx="7">
                  <c:v>Lateral Movement</c:v>
                </c:pt>
                <c:pt idx="8">
                  <c:v>Collection</c:v>
                </c:pt>
                <c:pt idx="9">
                  <c:v>Command and Control</c:v>
                </c:pt>
                <c:pt idx="10">
                  <c:v>Exfiltration</c:v>
                </c:pt>
                <c:pt idx="11">
                  <c:v>Impact</c:v>
                </c:pt>
              </c:strCache>
            </c:strRef>
          </c:cat>
          <c:val>
            <c:numRef>
              <c:f>'SOC Dashboard'!$F$12:$F$23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13</c:v>
                </c:pt>
                <c:pt idx="3">
                  <c:v>10</c:v>
                </c:pt>
                <c:pt idx="4">
                  <c:v>13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4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1-417A-AD9E-22F4446A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Detection Quality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'SOC Dashboard'!$I$12:$I$14</c:f>
              <c:strCache>
                <c:ptCount val="3"/>
                <c:pt idx="0">
                  <c:v>Healthy</c:v>
                </c:pt>
                <c:pt idx="1">
                  <c:v>Review</c:v>
                </c:pt>
                <c:pt idx="2">
                  <c:v>Weak</c:v>
                </c:pt>
              </c:strCache>
            </c:strRef>
          </c:cat>
          <c:val>
            <c:numRef>
              <c:f>'SOC Dashboard'!$J$12:$J$14</c:f>
              <c:numCache>
                <c:formatCode>General</c:formatCode>
                <c:ptCount val="3"/>
                <c:pt idx="0">
                  <c:v>49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B-4150-8E5C-078537C4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ectionCatalogTable" displayName="DetectionCatalogTable" ref="A5:Q85">
  <tableColumns count="17">
    <tableColumn id="1" xr3:uid="{00000000-0010-0000-0000-000001000000}" name="Detection ID"/>
    <tableColumn id="2" xr3:uid="{00000000-0010-0000-0000-000002000000}" name="Domain"/>
    <tableColumn id="3" xr3:uid="{00000000-0010-0000-0000-000003000000}" name="Use Case"/>
    <tableColumn id="4" xr3:uid="{00000000-0010-0000-0000-000004000000}" name="ATT&amp;CK Tactic"/>
    <tableColumn id="5" xr3:uid="{00000000-0010-0000-0000-000005000000}" name="ATT&amp;CK Technique"/>
    <tableColumn id="6" xr3:uid="{00000000-0010-0000-0000-000006000000}" name="Primary Telemetry"/>
    <tableColumn id="7" xr3:uid="{00000000-0010-0000-0000-000007000000}" name="Event / Method"/>
    <tableColumn id="8" xr3:uid="{00000000-0010-0000-0000-000008000000}" name="Detection Logic"/>
    <tableColumn id="9" xr3:uid="{00000000-0010-0000-0000-000009000000}" name="Severity"/>
    <tableColumn id="10" xr3:uid="{00000000-0010-0000-0000-00000A000000}" name="Expected Fidelity"/>
    <tableColumn id="11" xr3:uid="{00000000-0010-0000-0000-00000B000000}" name="Correlation Window"/>
    <tableColumn id="12" xr3:uid="{00000000-0010-0000-0000-00000C000000}" name="Recommended Response"/>
    <tableColumn id="13" xr3:uid="{00000000-0010-0000-0000-00000D000000}" name="Validation Test"/>
    <tableColumn id="14" xr3:uid="{00000000-0010-0000-0000-00000E000000}" name="Lifecycle Status"/>
    <tableColumn id="15" xr3:uid="{00000000-0010-0000-0000-00000F000000}" name="Source URL"/>
    <tableColumn id="16" xr3:uid="{00000000-0010-0000-0000-000010000000}" name="Enabled"/>
    <tableColumn id="17" xr3:uid="{00000000-0010-0000-0000-000011000000}" name="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reatHuntingTable" displayName="ThreatHuntingTable" ref="A4:L24">
  <tableColumns count="12">
    <tableColumn id="1" xr3:uid="{00000000-0010-0000-0100-000001000000}" name="Hunt ID"/>
    <tableColumn id="2" xr3:uid="{00000000-0010-0000-0100-000002000000}" name="Domain"/>
    <tableColumn id="3" xr3:uid="{00000000-0010-0000-0100-000003000000}" name="Hypothesis"/>
    <tableColumn id="4" xr3:uid="{00000000-0010-0000-0100-000004000000}" name="Data Sources"/>
    <tableColumn id="5" xr3:uid="{00000000-0010-0000-0100-000005000000}" name="Analytic Approach"/>
    <tableColumn id="6" xr3:uid="{00000000-0010-0000-0100-000006000000}" name="Incident Type"/>
    <tableColumn id="7" xr3:uid="{00000000-0010-0000-0100-000007000000}" name="ATT&amp;CK"/>
    <tableColumn id="8" xr3:uid="{00000000-0010-0000-0100-000008000000}" name="Cadence"/>
    <tableColumn id="9" xr3:uid="{00000000-0010-0000-0100-000009000000}" name="Priority"/>
    <tableColumn id="10" xr3:uid="{00000000-0010-0000-0100-00000A000000}" name="Success Criterion"/>
    <tableColumn id="11" xr3:uid="{00000000-0010-0000-0100-00000B000000}" name="Investigation Action"/>
    <tableColumn id="12" xr3:uid="{00000000-0010-0000-0100-00000C000000}" name="Hu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ackChainsTable" displayName="AttackChainsTable" ref="A4:J12">
  <tableColumns count="10">
    <tableColumn id="1" xr3:uid="{00000000-0010-0000-0200-000001000000}" name="Chain ID"/>
    <tableColumn id="2" xr3:uid="{00000000-0010-0000-0200-000002000000}" name="Scenario"/>
    <tableColumn id="3" xr3:uid="{00000000-0010-0000-0200-000003000000}" name="Stage 1"/>
    <tableColumn id="4" xr3:uid="{00000000-0010-0000-0200-000004000000}" name="Stage 2"/>
    <tableColumn id="5" xr3:uid="{00000000-0010-0000-0200-000005000000}" name="Stage 3"/>
    <tableColumn id="6" xr3:uid="{00000000-0010-0000-0200-000006000000}" name="Stage 4"/>
    <tableColumn id="7" xr3:uid="{00000000-0010-0000-0200-000007000000}" name="Severity"/>
    <tableColumn id="8" xr3:uid="{00000000-0010-0000-0200-000008000000}" name="Window"/>
    <tableColumn id="9" xr3:uid="{00000000-0010-0000-0200-000009000000}" name="Join Keys"/>
    <tableColumn id="10" xr3:uid="{00000000-0010-0000-0200-00000A000000}" name="Respo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ectionTestingTable" displayName="DetectionTestingTable" ref="A4:J84">
  <tableColumns count="10">
    <tableColumn id="1" xr3:uid="{00000000-0010-0000-0300-000001000000}" name="Detection ID"/>
    <tableColumn id="2" xr3:uid="{00000000-0010-0000-0300-000002000000}" name="Use Case"/>
    <tableColumn id="3" xr3:uid="{00000000-0010-0000-0300-000003000000}" name="Validation Procedure"/>
    <tableColumn id="4" xr3:uid="{00000000-0010-0000-0300-000004000000}" name="Test Status"/>
    <tableColumn id="5" xr3:uid="{00000000-0010-0000-0300-000005000000}" name="Last Test"/>
    <tableColumn id="6" xr3:uid="{00000000-0010-0000-0300-000006000000}" name="Observed Alert"/>
    <tableColumn id="7" xr3:uid="{00000000-0010-0000-0300-000007000000}" name="Precision Notes"/>
    <tableColumn id="8" xr3:uid="{00000000-0010-0000-0300-000008000000}" name="Expected Result"/>
    <tableColumn id="9" xr3:uid="{00000000-0010-0000-0300-000009000000}" name="Safety Constraint"/>
    <tableColumn id="10" xr3:uid="{00000000-0010-0000-0300-00000A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tectionQualityTable" displayName="DetectionQualityTable" ref="A4:K84">
  <tableColumns count="11">
    <tableColumn id="1" xr3:uid="{00000000-0010-0000-0400-000001000000}" name="Detection ID"/>
    <tableColumn id="2" xr3:uid="{00000000-0010-0000-0400-000002000000}" name="Alerts"/>
    <tableColumn id="3" xr3:uid="{00000000-0010-0000-0400-000003000000}" name="True Positives"/>
    <tableColumn id="4" xr3:uid="{00000000-0010-0000-0400-000004000000}" name="False Positives"/>
    <tableColumn id="5" xr3:uid="{00000000-0010-0000-0400-000005000000}" name="Precision %"/>
    <tableColumn id="6" xr3:uid="{00000000-0010-0000-0400-000006000000}" name="Mean Triage Minutes"/>
    <tableColumn id="7" xr3:uid="{00000000-0010-0000-0400-000007000000}" name="Detection Latency Minutes"/>
    <tableColumn id="8" xr3:uid="{00000000-0010-0000-0400-000008000000}" name="Tests Passed"/>
    <tableColumn id="9" xr3:uid="{00000000-0010-0000-0400-000009000000}" name="Tests Total"/>
    <tableColumn id="10" xr3:uid="{00000000-0010-0000-0400-00000A000000}" name="Validation %"/>
    <tableColumn id="11" xr3:uid="{00000000-0010-0000-0400-00000B000000}" name="Quality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peratingModelTable" displayName="OperatingModelTable" ref="A4:H9">
  <tableColumns count="8">
    <tableColumn id="1" xr3:uid="{00000000-0010-0000-0500-000001000000}" name="Cadence"/>
    <tableColumn id="2" xr3:uid="{00000000-0010-0000-0500-000002000000}" name="Audience"/>
    <tableColumn id="3" xr3:uid="{00000000-0010-0000-0500-000003000000}" name="Review"/>
    <tableColumn id="4" xr3:uid="{00000000-0010-0000-0500-000004000000}" name="Required Decision"/>
    <tableColumn id="5" xr3:uid="{00000000-0010-0000-0500-000005000000}" name="Evidence"/>
    <tableColumn id="6" xr3:uid="{00000000-0010-0000-0500-000006000000}" name="SLA"/>
    <tableColumn id="7" xr3:uid="{00000000-0010-0000-0500-000007000000}" name="Escalation"/>
    <tableColumn id="8" xr3:uid="{00000000-0010-0000-0500-000008000000}" name="Outp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Table" displayName="SourcesTable" ref="A1:E21">
  <tableColumns count="5">
    <tableColumn id="1" xr3:uid="{00000000-0010-0000-0600-000001000000}" name="Publisher"/>
    <tableColumn id="2" xr3:uid="{00000000-0010-0000-0600-000002000000}" name="Source"/>
    <tableColumn id="3" xr3:uid="{00000000-0010-0000-0600-000003000000}" name="Workbook Use"/>
    <tableColumn id="4" xr3:uid="{00000000-0010-0000-0600-000004000000}" name="URL"/>
    <tableColumn id="5" xr3:uid="{00000000-0010-0000-0600-000005000000}" name="Acce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zoomScale="130" zoomScaleNormal="130" workbookViewId="0">
      <selection activeCell="C6" sqref="C6"/>
    </sheetView>
  </sheetViews>
  <sheetFormatPr defaultRowHeight="14.25"/>
  <cols>
    <col min="1" max="1" width="15" customWidth="1"/>
    <col min="2" max="2" width="16" customWidth="1"/>
    <col min="3" max="3" width="35" customWidth="1"/>
    <col min="4" max="4" width="25" customWidth="1"/>
    <col min="5" max="5" width="17" customWidth="1"/>
    <col min="6" max="6" width="28" customWidth="1"/>
    <col min="7" max="7" width="32" customWidth="1"/>
    <col min="8" max="8" width="58" customWidth="1"/>
    <col min="9" max="9" width="11" customWidth="1"/>
    <col min="10" max="10" width="15" customWidth="1"/>
    <col min="11" max="11" width="16" customWidth="1"/>
    <col min="12" max="12" width="48" customWidth="1"/>
    <col min="13" max="13" width="43" customWidth="1"/>
    <col min="14" max="14" width="15" customWidth="1"/>
    <col min="15" max="15" width="62" customWidth="1"/>
    <col min="16" max="16" width="10" customWidth="1"/>
    <col min="17" max="17" width="24" customWidth="1"/>
  </cols>
  <sheetData>
    <row r="1" spans="1:17" ht="20.10000000000000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20.100000000000001" customHeight="1">
      <c r="A3" s="7" t="s">
        <v>978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20.100000000000001" customHeight="1"/>
    <row r="5" spans="1:17" ht="20.100000000000001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</row>
    <row r="6" spans="1:17" ht="20.100000000000001" customHeight="1">
      <c r="A6" t="s">
        <v>18</v>
      </c>
      <c r="B6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</row>
    <row r="7" spans="1:17" ht="20.100000000000001" customHeight="1">
      <c r="A7" t="s">
        <v>35</v>
      </c>
      <c r="B7" t="s">
        <v>19</v>
      </c>
      <c r="C7" s="2" t="s">
        <v>36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37</v>
      </c>
      <c r="I7" s="2" t="s">
        <v>26</v>
      </c>
      <c r="J7" s="2" t="s">
        <v>27</v>
      </c>
      <c r="K7" s="2" t="s">
        <v>28</v>
      </c>
      <c r="L7" s="2" t="s">
        <v>38</v>
      </c>
      <c r="M7" s="2" t="s">
        <v>39</v>
      </c>
      <c r="N7" s="2" t="s">
        <v>31</v>
      </c>
      <c r="O7" s="2" t="s">
        <v>32</v>
      </c>
      <c r="P7" s="2" t="s">
        <v>33</v>
      </c>
      <c r="Q7" s="2" t="s">
        <v>34</v>
      </c>
    </row>
    <row r="8" spans="1:17" ht="20.100000000000001" customHeight="1">
      <c r="A8" t="s">
        <v>40</v>
      </c>
      <c r="B8" t="s">
        <v>19</v>
      </c>
      <c r="C8" s="2" t="s">
        <v>41</v>
      </c>
      <c r="D8" s="2" t="s">
        <v>42</v>
      </c>
      <c r="E8" s="2" t="s">
        <v>22</v>
      </c>
      <c r="F8" s="2" t="s">
        <v>23</v>
      </c>
      <c r="G8" s="2" t="s">
        <v>24</v>
      </c>
      <c r="H8" s="2" t="s">
        <v>43</v>
      </c>
      <c r="I8" s="2" t="s">
        <v>26</v>
      </c>
      <c r="J8" s="2" t="s">
        <v>27</v>
      </c>
      <c r="K8" s="2" t="s">
        <v>44</v>
      </c>
      <c r="L8" s="2" t="s">
        <v>45</v>
      </c>
      <c r="M8" s="2" t="s">
        <v>46</v>
      </c>
      <c r="N8" s="2" t="s">
        <v>31</v>
      </c>
      <c r="O8" s="2" t="s">
        <v>32</v>
      </c>
      <c r="P8" s="2" t="s">
        <v>33</v>
      </c>
      <c r="Q8" s="2" t="s">
        <v>34</v>
      </c>
    </row>
    <row r="9" spans="1:17" ht="20.100000000000001" customHeight="1">
      <c r="A9" t="s">
        <v>47</v>
      </c>
      <c r="B9" t="s">
        <v>19</v>
      </c>
      <c r="C9" s="2" t="s">
        <v>48</v>
      </c>
      <c r="D9" s="2" t="s">
        <v>49</v>
      </c>
      <c r="E9" s="2" t="s">
        <v>22</v>
      </c>
      <c r="F9" s="2" t="s">
        <v>50</v>
      </c>
      <c r="G9" s="2" t="s">
        <v>24</v>
      </c>
      <c r="H9" s="2" t="s">
        <v>51</v>
      </c>
      <c r="I9" s="2" t="s">
        <v>26</v>
      </c>
      <c r="J9" s="2" t="s">
        <v>27</v>
      </c>
      <c r="K9" s="2" t="s">
        <v>28</v>
      </c>
      <c r="L9" s="2" t="s">
        <v>52</v>
      </c>
      <c r="M9" s="2" t="s">
        <v>53</v>
      </c>
      <c r="N9" s="2" t="s">
        <v>31</v>
      </c>
      <c r="O9" s="2" t="s">
        <v>54</v>
      </c>
      <c r="P9" s="2" t="s">
        <v>33</v>
      </c>
      <c r="Q9" s="2" t="s">
        <v>34</v>
      </c>
    </row>
    <row r="10" spans="1:17" ht="20.100000000000001" customHeight="1">
      <c r="A10" t="s">
        <v>55</v>
      </c>
      <c r="B10" t="s">
        <v>19</v>
      </c>
      <c r="C10" s="2" t="s">
        <v>56</v>
      </c>
      <c r="D10" s="2" t="s">
        <v>57</v>
      </c>
      <c r="E10" s="2" t="s">
        <v>58</v>
      </c>
      <c r="F10" s="2" t="s">
        <v>23</v>
      </c>
      <c r="G10" s="2" t="s">
        <v>59</v>
      </c>
      <c r="H10" s="2" t="s">
        <v>60</v>
      </c>
      <c r="I10" s="2" t="s">
        <v>27</v>
      </c>
      <c r="J10" s="2" t="s">
        <v>27</v>
      </c>
      <c r="K10" s="2" t="s">
        <v>28</v>
      </c>
      <c r="L10" s="2" t="s">
        <v>61</v>
      </c>
      <c r="M10" s="2" t="s">
        <v>62</v>
      </c>
      <c r="N10" s="2" t="s">
        <v>31</v>
      </c>
      <c r="O10" s="2" t="s">
        <v>32</v>
      </c>
      <c r="P10" s="2" t="s">
        <v>33</v>
      </c>
      <c r="Q10" s="2" t="s">
        <v>34</v>
      </c>
    </row>
    <row r="11" spans="1:17" ht="20.100000000000001" customHeight="1">
      <c r="A11" t="s">
        <v>63</v>
      </c>
      <c r="B11" t="s">
        <v>19</v>
      </c>
      <c r="C11" s="2" t="s">
        <v>64</v>
      </c>
      <c r="D11" s="2" t="s">
        <v>65</v>
      </c>
      <c r="E11" s="2" t="s">
        <v>66</v>
      </c>
      <c r="F11" s="2" t="s">
        <v>23</v>
      </c>
      <c r="G11" s="2" t="s">
        <v>67</v>
      </c>
      <c r="H11" s="2" t="s">
        <v>68</v>
      </c>
      <c r="I11" s="2" t="s">
        <v>27</v>
      </c>
      <c r="J11" s="2" t="s">
        <v>69</v>
      </c>
      <c r="K11" s="2" t="s">
        <v>70</v>
      </c>
      <c r="L11" s="2" t="s">
        <v>71</v>
      </c>
      <c r="M11" s="2" t="s">
        <v>72</v>
      </c>
      <c r="N11" s="2" t="s">
        <v>73</v>
      </c>
      <c r="O11" s="2" t="s">
        <v>74</v>
      </c>
      <c r="P11" s="2" t="s">
        <v>33</v>
      </c>
      <c r="Q11" s="2" t="s">
        <v>34</v>
      </c>
    </row>
    <row r="12" spans="1:17" ht="20.100000000000001" customHeight="1">
      <c r="A12" t="s">
        <v>75</v>
      </c>
      <c r="B12" t="s">
        <v>19</v>
      </c>
      <c r="C12" s="2" t="s">
        <v>76</v>
      </c>
      <c r="D12" s="2" t="s">
        <v>77</v>
      </c>
      <c r="E12" s="2" t="s">
        <v>78</v>
      </c>
      <c r="F12" s="2" t="s">
        <v>23</v>
      </c>
      <c r="G12" s="2" t="s">
        <v>79</v>
      </c>
      <c r="H12" s="2" t="s">
        <v>80</v>
      </c>
      <c r="I12" s="2" t="s">
        <v>27</v>
      </c>
      <c r="J12" s="2" t="s">
        <v>69</v>
      </c>
      <c r="K12" s="2" t="s">
        <v>81</v>
      </c>
      <c r="L12" s="2" t="s">
        <v>82</v>
      </c>
      <c r="M12" s="2" t="s">
        <v>83</v>
      </c>
      <c r="N12" s="2" t="s">
        <v>31</v>
      </c>
      <c r="O12" s="2" t="s">
        <v>32</v>
      </c>
      <c r="P12" s="2" t="s">
        <v>33</v>
      </c>
      <c r="Q12" s="2" t="s">
        <v>34</v>
      </c>
    </row>
    <row r="13" spans="1:17" ht="20.100000000000001" customHeight="1">
      <c r="A13" t="s">
        <v>84</v>
      </c>
      <c r="B13" t="s">
        <v>19</v>
      </c>
      <c r="C13" s="2" t="s">
        <v>85</v>
      </c>
      <c r="D13" s="2" t="s">
        <v>65</v>
      </c>
      <c r="E13" s="2" t="s">
        <v>66</v>
      </c>
      <c r="F13" s="2" t="s">
        <v>23</v>
      </c>
      <c r="G13" s="2" t="s">
        <v>79</v>
      </c>
      <c r="H13" s="2" t="s">
        <v>86</v>
      </c>
      <c r="I13" s="2" t="s">
        <v>26</v>
      </c>
      <c r="J13" s="2" t="s">
        <v>27</v>
      </c>
      <c r="K13" s="2" t="s">
        <v>81</v>
      </c>
      <c r="L13" s="2" t="s">
        <v>87</v>
      </c>
      <c r="M13" s="2" t="s">
        <v>88</v>
      </c>
      <c r="N13" s="2" t="s">
        <v>31</v>
      </c>
      <c r="O13" s="2" t="s">
        <v>32</v>
      </c>
      <c r="P13" s="2" t="s">
        <v>33</v>
      </c>
      <c r="Q13" s="2" t="s">
        <v>34</v>
      </c>
    </row>
    <row r="14" spans="1:17" ht="20.100000000000001" customHeight="1">
      <c r="A14" t="s">
        <v>89</v>
      </c>
      <c r="B14" t="s">
        <v>19</v>
      </c>
      <c r="C14" s="2" t="s">
        <v>90</v>
      </c>
      <c r="D14" s="2" t="s">
        <v>57</v>
      </c>
      <c r="E14" s="2" t="s">
        <v>91</v>
      </c>
      <c r="F14" s="2" t="s">
        <v>23</v>
      </c>
      <c r="G14" s="2" t="s">
        <v>92</v>
      </c>
      <c r="H14" s="2" t="s">
        <v>93</v>
      </c>
      <c r="I14" s="2" t="s">
        <v>26</v>
      </c>
      <c r="J14" s="2" t="s">
        <v>27</v>
      </c>
      <c r="K14" s="2" t="s">
        <v>70</v>
      </c>
      <c r="L14" s="2" t="s">
        <v>94</v>
      </c>
      <c r="M14" s="2" t="s">
        <v>95</v>
      </c>
      <c r="N14" s="2" t="s">
        <v>31</v>
      </c>
      <c r="O14" s="2" t="s">
        <v>96</v>
      </c>
      <c r="P14" s="2" t="s">
        <v>33</v>
      </c>
      <c r="Q14" s="2" t="s">
        <v>34</v>
      </c>
    </row>
    <row r="15" spans="1:17" ht="20.100000000000001" customHeight="1">
      <c r="A15" t="s">
        <v>97</v>
      </c>
      <c r="B15" t="s">
        <v>19</v>
      </c>
      <c r="C15" s="2" t="s">
        <v>98</v>
      </c>
      <c r="D15" s="2" t="s">
        <v>65</v>
      </c>
      <c r="E15" s="2" t="s">
        <v>66</v>
      </c>
      <c r="F15" s="2" t="s">
        <v>23</v>
      </c>
      <c r="G15" s="2" t="s">
        <v>99</v>
      </c>
      <c r="H15" s="2" t="s">
        <v>100</v>
      </c>
      <c r="I15" s="2" t="s">
        <v>27</v>
      </c>
      <c r="J15" s="2" t="s">
        <v>69</v>
      </c>
      <c r="K15" s="2" t="s">
        <v>101</v>
      </c>
      <c r="L15" s="2" t="s">
        <v>102</v>
      </c>
      <c r="M15" s="2" t="s">
        <v>103</v>
      </c>
      <c r="N15" s="2" t="s">
        <v>73</v>
      </c>
      <c r="O15" s="2" t="s">
        <v>32</v>
      </c>
      <c r="P15" s="2" t="s">
        <v>33</v>
      </c>
      <c r="Q15" s="2" t="s">
        <v>34</v>
      </c>
    </row>
    <row r="16" spans="1:17" ht="20.100000000000001" customHeight="1">
      <c r="A16" t="s">
        <v>104</v>
      </c>
      <c r="B16" t="s">
        <v>19</v>
      </c>
      <c r="C16" s="2" t="s">
        <v>105</v>
      </c>
      <c r="D16" s="2" t="s">
        <v>106</v>
      </c>
      <c r="E16" s="2" t="s">
        <v>107</v>
      </c>
      <c r="F16" s="2" t="s">
        <v>23</v>
      </c>
      <c r="G16" s="2" t="s">
        <v>108</v>
      </c>
      <c r="H16" s="2" t="s">
        <v>109</v>
      </c>
      <c r="I16" s="2" t="s">
        <v>27</v>
      </c>
      <c r="J16" s="2" t="s">
        <v>69</v>
      </c>
      <c r="K16" s="2" t="s">
        <v>70</v>
      </c>
      <c r="L16" s="2" t="s">
        <v>110</v>
      </c>
      <c r="M16" s="2" t="s">
        <v>111</v>
      </c>
      <c r="N16" s="2" t="s">
        <v>73</v>
      </c>
      <c r="O16" s="2" t="s">
        <v>112</v>
      </c>
      <c r="P16" s="2" t="s">
        <v>33</v>
      </c>
      <c r="Q16" s="2" t="s">
        <v>34</v>
      </c>
    </row>
    <row r="17" spans="1:17" ht="20.100000000000001" customHeight="1">
      <c r="A17" t="s">
        <v>113</v>
      </c>
      <c r="B17" t="s">
        <v>19</v>
      </c>
      <c r="C17" s="2" t="s">
        <v>114</v>
      </c>
      <c r="D17" s="2" t="s">
        <v>42</v>
      </c>
      <c r="E17" s="2" t="s">
        <v>22</v>
      </c>
      <c r="F17" s="2" t="s">
        <v>23</v>
      </c>
      <c r="G17" s="2" t="s">
        <v>115</v>
      </c>
      <c r="H17" s="2" t="s">
        <v>116</v>
      </c>
      <c r="I17" s="2" t="s">
        <v>26</v>
      </c>
      <c r="J17" s="2" t="s">
        <v>27</v>
      </c>
      <c r="K17" s="2" t="s">
        <v>44</v>
      </c>
      <c r="L17" s="2" t="s">
        <v>117</v>
      </c>
      <c r="M17" s="2" t="s">
        <v>118</v>
      </c>
      <c r="N17" s="2" t="s">
        <v>31</v>
      </c>
      <c r="O17" s="2" t="s">
        <v>32</v>
      </c>
      <c r="P17" s="2" t="s">
        <v>33</v>
      </c>
      <c r="Q17" s="2" t="s">
        <v>34</v>
      </c>
    </row>
    <row r="18" spans="1:17" ht="20.100000000000001" customHeight="1">
      <c r="A18" t="s">
        <v>119</v>
      </c>
      <c r="B18" t="s">
        <v>120</v>
      </c>
      <c r="C18" s="2" t="s">
        <v>121</v>
      </c>
      <c r="D18" s="2" t="s">
        <v>122</v>
      </c>
      <c r="E18" s="2" t="s">
        <v>123</v>
      </c>
      <c r="F18" s="2" t="s">
        <v>23</v>
      </c>
      <c r="G18" s="2" t="s">
        <v>124</v>
      </c>
      <c r="H18" s="2" t="s">
        <v>125</v>
      </c>
      <c r="I18" s="2" t="s">
        <v>26</v>
      </c>
      <c r="J18" s="2" t="s">
        <v>27</v>
      </c>
      <c r="K18" s="2" t="s">
        <v>28</v>
      </c>
      <c r="L18" s="2" t="s">
        <v>126</v>
      </c>
      <c r="M18" s="2" t="s">
        <v>127</v>
      </c>
      <c r="N18" s="2" t="s">
        <v>31</v>
      </c>
      <c r="O18" s="2" t="s">
        <v>128</v>
      </c>
      <c r="P18" s="2" t="s">
        <v>33</v>
      </c>
      <c r="Q18" s="2" t="s">
        <v>34</v>
      </c>
    </row>
    <row r="19" spans="1:17" ht="20.100000000000001" customHeight="1">
      <c r="A19" t="s">
        <v>129</v>
      </c>
      <c r="B19" t="s">
        <v>120</v>
      </c>
      <c r="C19" s="2" t="s">
        <v>130</v>
      </c>
      <c r="D19" s="2" t="s">
        <v>122</v>
      </c>
      <c r="E19" s="2" t="s">
        <v>123</v>
      </c>
      <c r="F19" s="2" t="s">
        <v>23</v>
      </c>
      <c r="G19" s="2" t="s">
        <v>131</v>
      </c>
      <c r="H19" s="2" t="s">
        <v>132</v>
      </c>
      <c r="I19" s="2" t="s">
        <v>26</v>
      </c>
      <c r="J19" s="2" t="s">
        <v>27</v>
      </c>
      <c r="K19" s="2" t="s">
        <v>28</v>
      </c>
      <c r="L19" s="2" t="s">
        <v>133</v>
      </c>
      <c r="M19" s="2" t="s">
        <v>134</v>
      </c>
      <c r="N19" s="2" t="s">
        <v>31</v>
      </c>
      <c r="O19" s="2" t="s">
        <v>128</v>
      </c>
      <c r="P19" s="2" t="s">
        <v>33</v>
      </c>
      <c r="Q19" s="2" t="s">
        <v>34</v>
      </c>
    </row>
    <row r="20" spans="1:17" ht="20.100000000000001" customHeight="1">
      <c r="A20" t="s">
        <v>135</v>
      </c>
      <c r="B20" t="s">
        <v>120</v>
      </c>
      <c r="C20" s="2" t="s">
        <v>136</v>
      </c>
      <c r="D20" s="2" t="s">
        <v>122</v>
      </c>
      <c r="E20" s="2" t="s">
        <v>123</v>
      </c>
      <c r="F20" s="2" t="s">
        <v>23</v>
      </c>
      <c r="G20" s="2" t="s">
        <v>137</v>
      </c>
      <c r="H20" s="2" t="s">
        <v>138</v>
      </c>
      <c r="I20" s="2" t="s">
        <v>26</v>
      </c>
      <c r="J20" s="2" t="s">
        <v>27</v>
      </c>
      <c r="K20" s="2" t="s">
        <v>28</v>
      </c>
      <c r="L20" s="2" t="s">
        <v>139</v>
      </c>
      <c r="M20" s="2" t="s">
        <v>140</v>
      </c>
      <c r="N20" s="2" t="s">
        <v>31</v>
      </c>
      <c r="O20" s="2" t="s">
        <v>32</v>
      </c>
      <c r="P20" s="2" t="s">
        <v>33</v>
      </c>
      <c r="Q20" s="2" t="s">
        <v>34</v>
      </c>
    </row>
    <row r="21" spans="1:17" ht="20.100000000000001" customHeight="1">
      <c r="A21" t="s">
        <v>141</v>
      </c>
      <c r="B21" t="s">
        <v>120</v>
      </c>
      <c r="C21" s="2" t="s">
        <v>142</v>
      </c>
      <c r="D21" s="2" t="s">
        <v>122</v>
      </c>
      <c r="E21" s="2" t="s">
        <v>123</v>
      </c>
      <c r="F21" s="2" t="s">
        <v>23</v>
      </c>
      <c r="G21" s="2" t="s">
        <v>143</v>
      </c>
      <c r="H21" s="2" t="s">
        <v>144</v>
      </c>
      <c r="I21" s="2" t="s">
        <v>26</v>
      </c>
      <c r="J21" s="2" t="s">
        <v>27</v>
      </c>
      <c r="K21" s="2" t="s">
        <v>44</v>
      </c>
      <c r="L21" s="2" t="s">
        <v>145</v>
      </c>
      <c r="M21" s="2" t="s">
        <v>146</v>
      </c>
      <c r="N21" s="2" t="s">
        <v>31</v>
      </c>
      <c r="O21" s="2" t="s">
        <v>147</v>
      </c>
      <c r="P21" s="2" t="s">
        <v>33</v>
      </c>
      <c r="Q21" s="2" t="s">
        <v>34</v>
      </c>
    </row>
    <row r="22" spans="1:17" ht="20.100000000000001" customHeight="1">
      <c r="A22" t="s">
        <v>148</v>
      </c>
      <c r="B22" t="s">
        <v>120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154</v>
      </c>
      <c r="I22" s="2" t="s">
        <v>27</v>
      </c>
      <c r="J22" s="2" t="s">
        <v>27</v>
      </c>
      <c r="K22" s="2" t="s">
        <v>44</v>
      </c>
      <c r="L22" s="2" t="s">
        <v>155</v>
      </c>
      <c r="M22" s="2" t="s">
        <v>156</v>
      </c>
      <c r="N22" s="2" t="s">
        <v>31</v>
      </c>
      <c r="O22" s="2" t="s">
        <v>157</v>
      </c>
      <c r="P22" s="2" t="s">
        <v>33</v>
      </c>
      <c r="Q22" s="2" t="s">
        <v>34</v>
      </c>
    </row>
    <row r="23" spans="1:17" ht="20.100000000000001" customHeight="1">
      <c r="A23" t="s">
        <v>158</v>
      </c>
      <c r="B23" t="s">
        <v>120</v>
      </c>
      <c r="C23" s="2" t="s">
        <v>159</v>
      </c>
      <c r="D23" s="2" t="s">
        <v>122</v>
      </c>
      <c r="E23" s="2" t="s">
        <v>151</v>
      </c>
      <c r="F23" s="2" t="s">
        <v>23</v>
      </c>
      <c r="G23" s="2" t="s">
        <v>160</v>
      </c>
      <c r="H23" s="2" t="s">
        <v>161</v>
      </c>
      <c r="I23" s="2" t="s">
        <v>27</v>
      </c>
      <c r="J23" s="2" t="s">
        <v>27</v>
      </c>
      <c r="K23" s="2" t="s">
        <v>44</v>
      </c>
      <c r="L23" s="2" t="s">
        <v>162</v>
      </c>
      <c r="M23" s="2" t="s">
        <v>163</v>
      </c>
      <c r="N23" s="2" t="s">
        <v>31</v>
      </c>
      <c r="O23" s="2" t="s">
        <v>164</v>
      </c>
      <c r="P23" s="2" t="s">
        <v>33</v>
      </c>
      <c r="Q23" s="2" t="s">
        <v>34</v>
      </c>
    </row>
    <row r="24" spans="1:17" ht="20.100000000000001" customHeight="1">
      <c r="A24" t="s">
        <v>165</v>
      </c>
      <c r="B24" t="s">
        <v>166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24</v>
      </c>
      <c r="H24" s="2" t="s">
        <v>171</v>
      </c>
      <c r="I24" s="2" t="s">
        <v>26</v>
      </c>
      <c r="J24" s="2" t="s">
        <v>27</v>
      </c>
      <c r="K24" s="2" t="s">
        <v>28</v>
      </c>
      <c r="L24" s="2" t="s">
        <v>172</v>
      </c>
      <c r="M24" s="2" t="s">
        <v>173</v>
      </c>
      <c r="N24" s="2" t="s">
        <v>31</v>
      </c>
      <c r="O24" s="2" t="s">
        <v>174</v>
      </c>
      <c r="P24" s="2" t="s">
        <v>33</v>
      </c>
      <c r="Q24" s="2" t="s">
        <v>34</v>
      </c>
    </row>
    <row r="25" spans="1:17" ht="20.100000000000001" customHeight="1">
      <c r="A25" t="s">
        <v>175</v>
      </c>
      <c r="B25" t="s">
        <v>166</v>
      </c>
      <c r="C25" s="2" t="s">
        <v>176</v>
      </c>
      <c r="D25" s="2" t="s">
        <v>122</v>
      </c>
      <c r="E25" s="2" t="s">
        <v>151</v>
      </c>
      <c r="F25" s="2" t="s">
        <v>23</v>
      </c>
      <c r="G25" s="2" t="s">
        <v>177</v>
      </c>
      <c r="H25" s="2" t="s">
        <v>178</v>
      </c>
      <c r="I25" s="2" t="s">
        <v>27</v>
      </c>
      <c r="J25" s="2" t="s">
        <v>27</v>
      </c>
      <c r="K25" s="2" t="s">
        <v>44</v>
      </c>
      <c r="L25" s="2" t="s">
        <v>179</v>
      </c>
      <c r="M25" s="2" t="s">
        <v>180</v>
      </c>
      <c r="N25" s="2" t="s">
        <v>31</v>
      </c>
      <c r="O25" s="2" t="s">
        <v>181</v>
      </c>
      <c r="P25" s="2" t="s">
        <v>33</v>
      </c>
      <c r="Q25" s="2" t="s">
        <v>34</v>
      </c>
    </row>
    <row r="26" spans="1:17" ht="20.100000000000001" customHeight="1">
      <c r="A26" t="s">
        <v>182</v>
      </c>
      <c r="B26" t="s">
        <v>166</v>
      </c>
      <c r="C26" s="2" t="s">
        <v>183</v>
      </c>
      <c r="D26" s="2" t="s">
        <v>168</v>
      </c>
      <c r="E26" s="2" t="s">
        <v>169</v>
      </c>
      <c r="F26" s="2" t="s">
        <v>184</v>
      </c>
      <c r="G26" s="2" t="s">
        <v>185</v>
      </c>
      <c r="H26" s="2" t="s">
        <v>186</v>
      </c>
      <c r="I26" s="2" t="s">
        <v>26</v>
      </c>
      <c r="J26" s="2" t="s">
        <v>69</v>
      </c>
      <c r="K26" s="2" t="s">
        <v>70</v>
      </c>
      <c r="L26" s="2" t="s">
        <v>187</v>
      </c>
      <c r="M26" s="2" t="s">
        <v>188</v>
      </c>
      <c r="N26" s="2" t="s">
        <v>73</v>
      </c>
      <c r="O26" s="2" t="s">
        <v>147</v>
      </c>
      <c r="P26" s="2" t="s">
        <v>33</v>
      </c>
      <c r="Q26" s="2" t="s">
        <v>34</v>
      </c>
    </row>
    <row r="27" spans="1:17" ht="20.100000000000001" customHeight="1">
      <c r="A27" t="s">
        <v>189</v>
      </c>
      <c r="B27" t="s">
        <v>166</v>
      </c>
      <c r="C27" s="2" t="s">
        <v>190</v>
      </c>
      <c r="D27" s="2" t="s">
        <v>191</v>
      </c>
      <c r="E27" s="2" t="s">
        <v>192</v>
      </c>
      <c r="F27" s="2" t="s">
        <v>184</v>
      </c>
      <c r="G27" s="2" t="s">
        <v>193</v>
      </c>
      <c r="H27" s="2" t="s">
        <v>194</v>
      </c>
      <c r="I27" s="2" t="s">
        <v>26</v>
      </c>
      <c r="J27" s="2" t="s">
        <v>27</v>
      </c>
      <c r="K27" s="2" t="s">
        <v>81</v>
      </c>
      <c r="L27" s="2" t="s">
        <v>195</v>
      </c>
      <c r="M27" s="2" t="s">
        <v>196</v>
      </c>
      <c r="N27" s="2" t="s">
        <v>31</v>
      </c>
      <c r="O27" s="2" t="s">
        <v>181</v>
      </c>
      <c r="P27" s="2" t="s">
        <v>33</v>
      </c>
      <c r="Q27" s="2" t="s">
        <v>34</v>
      </c>
    </row>
    <row r="28" spans="1:17" ht="20.100000000000001" customHeight="1">
      <c r="A28" t="s">
        <v>197</v>
      </c>
      <c r="B28" t="s">
        <v>166</v>
      </c>
      <c r="C28" s="2" t="s">
        <v>198</v>
      </c>
      <c r="D28" s="2" t="s">
        <v>199</v>
      </c>
      <c r="E28" s="2" t="s">
        <v>192</v>
      </c>
      <c r="F28" s="2" t="s">
        <v>23</v>
      </c>
      <c r="G28" s="2" t="s">
        <v>177</v>
      </c>
      <c r="H28" s="2" t="s">
        <v>200</v>
      </c>
      <c r="I28" s="2" t="s">
        <v>26</v>
      </c>
      <c r="J28" s="2" t="s">
        <v>27</v>
      </c>
      <c r="K28" s="2" t="s">
        <v>44</v>
      </c>
      <c r="L28" s="2" t="s">
        <v>201</v>
      </c>
      <c r="M28" s="2" t="s">
        <v>202</v>
      </c>
      <c r="N28" s="2" t="s">
        <v>31</v>
      </c>
      <c r="O28" s="2" t="s">
        <v>181</v>
      </c>
      <c r="P28" s="2" t="s">
        <v>33</v>
      </c>
      <c r="Q28" s="2" t="s">
        <v>34</v>
      </c>
    </row>
    <row r="29" spans="1:17" ht="20.100000000000001" customHeight="1">
      <c r="A29" t="s">
        <v>203</v>
      </c>
      <c r="B29" t="s">
        <v>166</v>
      </c>
      <c r="C29" s="2" t="s">
        <v>204</v>
      </c>
      <c r="D29" s="2" t="s">
        <v>205</v>
      </c>
      <c r="E29" s="2" t="s">
        <v>169</v>
      </c>
      <c r="F29" s="2" t="s">
        <v>184</v>
      </c>
      <c r="G29" s="2" t="s">
        <v>185</v>
      </c>
      <c r="H29" s="2" t="s">
        <v>206</v>
      </c>
      <c r="I29" s="2" t="s">
        <v>27</v>
      </c>
      <c r="J29" s="2" t="s">
        <v>69</v>
      </c>
      <c r="K29" s="2" t="s">
        <v>70</v>
      </c>
      <c r="L29" s="2" t="s">
        <v>207</v>
      </c>
      <c r="M29" s="2" t="s">
        <v>208</v>
      </c>
      <c r="N29" s="2" t="s">
        <v>73</v>
      </c>
      <c r="O29" s="2" t="s">
        <v>32</v>
      </c>
      <c r="P29" s="2" t="s">
        <v>33</v>
      </c>
      <c r="Q29" s="2" t="s">
        <v>34</v>
      </c>
    </row>
    <row r="30" spans="1:17" ht="20.100000000000001" customHeight="1">
      <c r="A30" t="s">
        <v>209</v>
      </c>
      <c r="B30" t="s">
        <v>166</v>
      </c>
      <c r="C30" s="2" t="s">
        <v>210</v>
      </c>
      <c r="D30" s="2" t="s">
        <v>211</v>
      </c>
      <c r="E30" s="2" t="s">
        <v>212</v>
      </c>
      <c r="F30" s="2" t="s">
        <v>213</v>
      </c>
      <c r="G30" s="2" t="s">
        <v>214</v>
      </c>
      <c r="H30" s="2" t="s">
        <v>215</v>
      </c>
      <c r="I30" s="2" t="s">
        <v>27</v>
      </c>
      <c r="J30" s="2" t="s">
        <v>69</v>
      </c>
      <c r="K30" s="2" t="s">
        <v>101</v>
      </c>
      <c r="L30" s="2" t="s">
        <v>216</v>
      </c>
      <c r="M30" s="2" t="s">
        <v>217</v>
      </c>
      <c r="N30" s="2" t="s">
        <v>73</v>
      </c>
      <c r="O30" s="2" t="s">
        <v>181</v>
      </c>
      <c r="P30" s="2" t="s">
        <v>33</v>
      </c>
      <c r="Q30" s="2" t="s">
        <v>34</v>
      </c>
    </row>
    <row r="31" spans="1:17" ht="20.100000000000001" customHeight="1">
      <c r="A31" t="s">
        <v>218</v>
      </c>
      <c r="B31" t="s">
        <v>219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224</v>
      </c>
      <c r="H31" s="2" t="s">
        <v>225</v>
      </c>
      <c r="I31" s="2" t="s">
        <v>26</v>
      </c>
      <c r="J31" s="2" t="s">
        <v>27</v>
      </c>
      <c r="K31" s="2" t="s">
        <v>81</v>
      </c>
      <c r="L31" s="2" t="s">
        <v>226</v>
      </c>
      <c r="M31" s="2" t="s">
        <v>227</v>
      </c>
      <c r="N31" s="2" t="s">
        <v>31</v>
      </c>
      <c r="O31" s="2" t="s">
        <v>181</v>
      </c>
      <c r="P31" s="2" t="s">
        <v>33</v>
      </c>
      <c r="Q31" s="2" t="s">
        <v>34</v>
      </c>
    </row>
    <row r="32" spans="1:17" ht="20.100000000000001" customHeight="1">
      <c r="A32" t="s">
        <v>228</v>
      </c>
      <c r="B32" t="s">
        <v>219</v>
      </c>
      <c r="C32" s="2" t="s">
        <v>229</v>
      </c>
      <c r="D32" s="2" t="s">
        <v>205</v>
      </c>
      <c r="E32" s="2" t="s">
        <v>169</v>
      </c>
      <c r="F32" s="2" t="s">
        <v>223</v>
      </c>
      <c r="G32" s="2" t="s">
        <v>224</v>
      </c>
      <c r="H32" s="2" t="s">
        <v>230</v>
      </c>
      <c r="I32" s="2" t="s">
        <v>27</v>
      </c>
      <c r="J32" s="2" t="s">
        <v>69</v>
      </c>
      <c r="K32" s="2" t="s">
        <v>70</v>
      </c>
      <c r="L32" s="2" t="s">
        <v>231</v>
      </c>
      <c r="M32" s="2" t="s">
        <v>232</v>
      </c>
      <c r="N32" s="2" t="s">
        <v>73</v>
      </c>
      <c r="O32" s="2" t="s">
        <v>147</v>
      </c>
      <c r="P32" s="2" t="s">
        <v>33</v>
      </c>
      <c r="Q32" s="2" t="s">
        <v>34</v>
      </c>
    </row>
    <row r="33" spans="1:17" ht="20.100000000000001" customHeight="1">
      <c r="A33" t="s">
        <v>233</v>
      </c>
      <c r="B33" t="s">
        <v>219</v>
      </c>
      <c r="C33" s="2" t="s">
        <v>234</v>
      </c>
      <c r="D33" s="2" t="s">
        <v>168</v>
      </c>
      <c r="E33" s="2" t="s">
        <v>169</v>
      </c>
      <c r="F33" s="2" t="s">
        <v>23</v>
      </c>
      <c r="G33" s="2" t="s">
        <v>24</v>
      </c>
      <c r="H33" s="2" t="s">
        <v>235</v>
      </c>
      <c r="I33" s="2" t="s">
        <v>26</v>
      </c>
      <c r="J33" s="2" t="s">
        <v>27</v>
      </c>
      <c r="K33" s="2" t="s">
        <v>28</v>
      </c>
      <c r="L33" s="2" t="s">
        <v>236</v>
      </c>
      <c r="M33" s="2" t="s">
        <v>237</v>
      </c>
      <c r="N33" s="2" t="s">
        <v>31</v>
      </c>
      <c r="O33" s="2" t="s">
        <v>32</v>
      </c>
      <c r="P33" s="2" t="s">
        <v>33</v>
      </c>
      <c r="Q33" s="2" t="s">
        <v>34</v>
      </c>
    </row>
    <row r="34" spans="1:17" ht="20.100000000000001" customHeight="1">
      <c r="A34" t="s">
        <v>238</v>
      </c>
      <c r="B34" t="s">
        <v>219</v>
      </c>
      <c r="C34" s="2" t="s">
        <v>239</v>
      </c>
      <c r="D34" s="2" t="s">
        <v>240</v>
      </c>
      <c r="E34" s="2" t="s">
        <v>241</v>
      </c>
      <c r="F34" s="2" t="s">
        <v>23</v>
      </c>
      <c r="G34" s="2" t="s">
        <v>242</v>
      </c>
      <c r="H34" s="2" t="s">
        <v>243</v>
      </c>
      <c r="I34" s="2" t="s">
        <v>27</v>
      </c>
      <c r="J34" s="2" t="s">
        <v>69</v>
      </c>
      <c r="K34" s="2" t="s">
        <v>70</v>
      </c>
      <c r="L34" s="2" t="s">
        <v>244</v>
      </c>
      <c r="M34" s="2" t="s">
        <v>245</v>
      </c>
      <c r="N34" s="2" t="s">
        <v>73</v>
      </c>
      <c r="O34" s="2" t="s">
        <v>181</v>
      </c>
      <c r="P34" s="2" t="s">
        <v>33</v>
      </c>
      <c r="Q34" s="2" t="s">
        <v>34</v>
      </c>
    </row>
    <row r="35" spans="1:17" ht="20.100000000000001" customHeight="1">
      <c r="A35" t="s">
        <v>246</v>
      </c>
      <c r="B35" t="s">
        <v>219</v>
      </c>
      <c r="C35" s="2" t="s">
        <v>247</v>
      </c>
      <c r="D35" s="2" t="s">
        <v>221</v>
      </c>
      <c r="E35" s="2" t="s">
        <v>169</v>
      </c>
      <c r="F35" s="2" t="s">
        <v>223</v>
      </c>
      <c r="G35" s="2" t="s">
        <v>248</v>
      </c>
      <c r="H35" s="2" t="s">
        <v>249</v>
      </c>
      <c r="I35" s="2" t="s">
        <v>26</v>
      </c>
      <c r="J35" s="2" t="s">
        <v>27</v>
      </c>
      <c r="K35" s="2" t="s">
        <v>81</v>
      </c>
      <c r="L35" s="2" t="s">
        <v>250</v>
      </c>
      <c r="M35" s="2" t="s">
        <v>251</v>
      </c>
      <c r="N35" s="2" t="s">
        <v>31</v>
      </c>
      <c r="O35" s="2" t="s">
        <v>181</v>
      </c>
      <c r="P35" s="2" t="s">
        <v>33</v>
      </c>
      <c r="Q35" s="2" t="s">
        <v>34</v>
      </c>
    </row>
    <row r="36" spans="1:17" ht="20.100000000000001" customHeight="1">
      <c r="A36" t="s">
        <v>252</v>
      </c>
      <c r="B36" t="s">
        <v>253</v>
      </c>
      <c r="C36" s="2" t="s">
        <v>254</v>
      </c>
      <c r="D36" s="2" t="s">
        <v>255</v>
      </c>
      <c r="E36" s="2" t="s">
        <v>256</v>
      </c>
      <c r="F36" s="2" t="s">
        <v>23</v>
      </c>
      <c r="G36" s="2" t="s">
        <v>257</v>
      </c>
      <c r="H36" s="2" t="s">
        <v>258</v>
      </c>
      <c r="I36" s="2" t="s">
        <v>27</v>
      </c>
      <c r="J36" s="2" t="s">
        <v>27</v>
      </c>
      <c r="K36" s="2" t="s">
        <v>44</v>
      </c>
      <c r="L36" s="2" t="s">
        <v>259</v>
      </c>
      <c r="M36" s="2" t="s">
        <v>260</v>
      </c>
      <c r="N36" s="2" t="s">
        <v>31</v>
      </c>
      <c r="O36" s="2" t="s">
        <v>261</v>
      </c>
      <c r="P36" s="2" t="s">
        <v>33</v>
      </c>
      <c r="Q36" s="2" t="s">
        <v>34</v>
      </c>
    </row>
    <row r="37" spans="1:17" ht="20.100000000000001" customHeight="1">
      <c r="A37" t="s">
        <v>262</v>
      </c>
      <c r="B37" t="s">
        <v>253</v>
      </c>
      <c r="C37" s="2" t="s">
        <v>263</v>
      </c>
      <c r="D37" s="2" t="s">
        <v>57</v>
      </c>
      <c r="E37" s="2" t="s">
        <v>264</v>
      </c>
      <c r="F37" s="2" t="s">
        <v>23</v>
      </c>
      <c r="G37" s="2" t="s">
        <v>265</v>
      </c>
      <c r="H37" s="2" t="s">
        <v>266</v>
      </c>
      <c r="I37" s="2" t="s">
        <v>26</v>
      </c>
      <c r="J37" s="2" t="s">
        <v>27</v>
      </c>
      <c r="K37" s="2" t="s">
        <v>28</v>
      </c>
      <c r="L37" s="2" t="s">
        <v>267</v>
      </c>
      <c r="M37" s="2" t="s">
        <v>268</v>
      </c>
      <c r="N37" s="2" t="s">
        <v>31</v>
      </c>
      <c r="O37" s="2" t="s">
        <v>181</v>
      </c>
      <c r="P37" s="2" t="s">
        <v>33</v>
      </c>
      <c r="Q37" s="2" t="s">
        <v>34</v>
      </c>
    </row>
    <row r="38" spans="1:17" ht="20.100000000000001" customHeight="1">
      <c r="A38" t="s">
        <v>269</v>
      </c>
      <c r="B38" t="s">
        <v>253</v>
      </c>
      <c r="C38" s="2" t="s">
        <v>270</v>
      </c>
      <c r="D38" s="2" t="s">
        <v>271</v>
      </c>
      <c r="E38" s="2" t="s">
        <v>272</v>
      </c>
      <c r="F38" s="2" t="s">
        <v>23</v>
      </c>
      <c r="G38" s="2" t="s">
        <v>273</v>
      </c>
      <c r="H38" s="2" t="s">
        <v>274</v>
      </c>
      <c r="I38" s="2" t="s">
        <v>27</v>
      </c>
      <c r="J38" s="2" t="s">
        <v>27</v>
      </c>
      <c r="K38" s="2" t="s">
        <v>44</v>
      </c>
      <c r="L38" s="2" t="s">
        <v>275</v>
      </c>
      <c r="M38" s="2" t="s">
        <v>276</v>
      </c>
      <c r="N38" s="2" t="s">
        <v>31</v>
      </c>
      <c r="O38" s="2" t="s">
        <v>181</v>
      </c>
      <c r="P38" s="2" t="s">
        <v>33</v>
      </c>
      <c r="Q38" s="2" t="s">
        <v>34</v>
      </c>
    </row>
    <row r="39" spans="1:17" ht="20.100000000000001" customHeight="1">
      <c r="A39" t="s">
        <v>277</v>
      </c>
      <c r="B39" t="s">
        <v>253</v>
      </c>
      <c r="C39" s="2" t="s">
        <v>278</v>
      </c>
      <c r="D39" s="2" t="s">
        <v>279</v>
      </c>
      <c r="E39" s="2" t="s">
        <v>280</v>
      </c>
      <c r="F39" s="2" t="s">
        <v>281</v>
      </c>
      <c r="G39" s="2" t="s">
        <v>282</v>
      </c>
      <c r="H39" s="2" t="s">
        <v>283</v>
      </c>
      <c r="I39" s="2" t="s">
        <v>26</v>
      </c>
      <c r="J39" s="2" t="s">
        <v>27</v>
      </c>
      <c r="K39" s="2" t="s">
        <v>28</v>
      </c>
      <c r="L39" s="2" t="s">
        <v>284</v>
      </c>
      <c r="M39" s="2" t="s">
        <v>285</v>
      </c>
      <c r="N39" s="2" t="s">
        <v>31</v>
      </c>
      <c r="O39" s="2" t="s">
        <v>286</v>
      </c>
      <c r="P39" s="2" t="s">
        <v>33</v>
      </c>
      <c r="Q39" s="2" t="s">
        <v>34</v>
      </c>
    </row>
    <row r="40" spans="1:17" ht="20.100000000000001" customHeight="1">
      <c r="A40" t="s">
        <v>287</v>
      </c>
      <c r="B40" t="s">
        <v>253</v>
      </c>
      <c r="C40" s="2" t="s">
        <v>288</v>
      </c>
      <c r="D40" s="2" t="s">
        <v>168</v>
      </c>
      <c r="E40" s="2" t="s">
        <v>169</v>
      </c>
      <c r="F40" s="2" t="s">
        <v>23</v>
      </c>
      <c r="G40" s="2" t="s">
        <v>289</v>
      </c>
      <c r="H40" s="2" t="s">
        <v>290</v>
      </c>
      <c r="I40" s="2" t="s">
        <v>26</v>
      </c>
      <c r="J40" s="2" t="s">
        <v>27</v>
      </c>
      <c r="K40" s="2" t="s">
        <v>28</v>
      </c>
      <c r="L40" s="2" t="s">
        <v>291</v>
      </c>
      <c r="M40" s="2" t="s">
        <v>292</v>
      </c>
      <c r="N40" s="2" t="s">
        <v>31</v>
      </c>
      <c r="O40" s="2" t="s">
        <v>174</v>
      </c>
      <c r="P40" s="2" t="s">
        <v>33</v>
      </c>
      <c r="Q40" s="2" t="s">
        <v>34</v>
      </c>
    </row>
    <row r="41" spans="1:17" ht="20.100000000000001" customHeight="1">
      <c r="A41" t="s">
        <v>293</v>
      </c>
      <c r="B41" t="s">
        <v>253</v>
      </c>
      <c r="C41" s="2" t="s">
        <v>294</v>
      </c>
      <c r="D41" s="2" t="s">
        <v>295</v>
      </c>
      <c r="E41" s="2" t="s">
        <v>296</v>
      </c>
      <c r="F41" s="2" t="s">
        <v>23</v>
      </c>
      <c r="G41" s="2" t="s">
        <v>257</v>
      </c>
      <c r="H41" s="2" t="s">
        <v>297</v>
      </c>
      <c r="I41" s="2" t="s">
        <v>26</v>
      </c>
      <c r="J41" s="2" t="s">
        <v>69</v>
      </c>
      <c r="K41" s="2" t="s">
        <v>81</v>
      </c>
      <c r="L41" s="2" t="s">
        <v>298</v>
      </c>
      <c r="M41" s="2" t="s">
        <v>299</v>
      </c>
      <c r="N41" s="2" t="s">
        <v>73</v>
      </c>
      <c r="O41" s="2" t="s">
        <v>300</v>
      </c>
      <c r="P41" s="2" t="s">
        <v>33</v>
      </c>
      <c r="Q41" s="2" t="s">
        <v>34</v>
      </c>
    </row>
    <row r="42" spans="1:17" ht="20.100000000000001" customHeight="1">
      <c r="A42" t="s">
        <v>301</v>
      </c>
      <c r="B42" t="s">
        <v>253</v>
      </c>
      <c r="C42" s="2" t="s">
        <v>302</v>
      </c>
      <c r="D42" s="2" t="s">
        <v>295</v>
      </c>
      <c r="E42" s="2" t="s">
        <v>296</v>
      </c>
      <c r="F42" s="2" t="s">
        <v>303</v>
      </c>
      <c r="G42" s="2" t="s">
        <v>304</v>
      </c>
      <c r="H42" s="2" t="s">
        <v>305</v>
      </c>
      <c r="I42" s="2" t="s">
        <v>26</v>
      </c>
      <c r="J42" s="2" t="s">
        <v>27</v>
      </c>
      <c r="K42" s="2" t="s">
        <v>306</v>
      </c>
      <c r="L42" s="2" t="s">
        <v>307</v>
      </c>
      <c r="M42" s="2" t="s">
        <v>308</v>
      </c>
      <c r="N42" s="2" t="s">
        <v>31</v>
      </c>
      <c r="O42" s="2" t="s">
        <v>300</v>
      </c>
      <c r="P42" s="2" t="s">
        <v>33</v>
      </c>
      <c r="Q42" s="2" t="s">
        <v>34</v>
      </c>
    </row>
    <row r="43" spans="1:17" ht="20.100000000000001" customHeight="1">
      <c r="A43" t="s">
        <v>309</v>
      </c>
      <c r="B43" t="s">
        <v>253</v>
      </c>
      <c r="C43" s="2" t="s">
        <v>310</v>
      </c>
      <c r="D43" s="2" t="s">
        <v>42</v>
      </c>
      <c r="E43" s="2" t="s">
        <v>22</v>
      </c>
      <c r="F43" s="2" t="s">
        <v>23</v>
      </c>
      <c r="G43" s="2" t="s">
        <v>311</v>
      </c>
      <c r="H43" s="2" t="s">
        <v>312</v>
      </c>
      <c r="I43" s="2" t="s">
        <v>26</v>
      </c>
      <c r="J43" s="2" t="s">
        <v>27</v>
      </c>
      <c r="K43" s="2" t="s">
        <v>28</v>
      </c>
      <c r="L43" s="2" t="s">
        <v>313</v>
      </c>
      <c r="M43" s="2" t="s">
        <v>314</v>
      </c>
      <c r="N43" s="2" t="s">
        <v>31</v>
      </c>
      <c r="O43" s="2" t="s">
        <v>181</v>
      </c>
      <c r="P43" s="2" t="s">
        <v>33</v>
      </c>
      <c r="Q43" s="2" t="s">
        <v>34</v>
      </c>
    </row>
    <row r="44" spans="1:17" ht="20.100000000000001" customHeight="1">
      <c r="A44" t="s">
        <v>315</v>
      </c>
      <c r="B44" t="s">
        <v>253</v>
      </c>
      <c r="C44" s="2" t="s">
        <v>316</v>
      </c>
      <c r="D44" s="2" t="s">
        <v>122</v>
      </c>
      <c r="E44" s="2" t="s">
        <v>151</v>
      </c>
      <c r="F44" s="2" t="s">
        <v>23</v>
      </c>
      <c r="G44" s="2" t="s">
        <v>317</v>
      </c>
      <c r="H44" s="2" t="s">
        <v>318</v>
      </c>
      <c r="I44" s="2" t="s">
        <v>27</v>
      </c>
      <c r="J44" s="2" t="s">
        <v>27</v>
      </c>
      <c r="K44" s="2" t="s">
        <v>44</v>
      </c>
      <c r="L44" s="2" t="s">
        <v>319</v>
      </c>
      <c r="M44" s="2" t="s">
        <v>320</v>
      </c>
      <c r="N44" s="2" t="s">
        <v>31</v>
      </c>
      <c r="O44" s="2" t="s">
        <v>181</v>
      </c>
      <c r="P44" s="2" t="s">
        <v>33</v>
      </c>
      <c r="Q44" s="2" t="s">
        <v>34</v>
      </c>
    </row>
    <row r="45" spans="1:17" ht="20.100000000000001" customHeight="1">
      <c r="A45" t="s">
        <v>321</v>
      </c>
      <c r="B45" t="s">
        <v>253</v>
      </c>
      <c r="C45" s="2" t="s">
        <v>322</v>
      </c>
      <c r="D45" s="2" t="s">
        <v>191</v>
      </c>
      <c r="E45" s="2" t="s">
        <v>192</v>
      </c>
      <c r="F45" s="2" t="s">
        <v>23</v>
      </c>
      <c r="G45" s="2" t="s">
        <v>323</v>
      </c>
      <c r="H45" s="2" t="s">
        <v>324</v>
      </c>
      <c r="I45" s="2" t="s">
        <v>26</v>
      </c>
      <c r="J45" s="2" t="s">
        <v>27</v>
      </c>
      <c r="K45" s="2" t="s">
        <v>81</v>
      </c>
      <c r="L45" s="2" t="s">
        <v>325</v>
      </c>
      <c r="M45" s="2" t="s">
        <v>326</v>
      </c>
      <c r="N45" s="2" t="s">
        <v>31</v>
      </c>
      <c r="O45" s="2" t="s">
        <v>327</v>
      </c>
      <c r="P45" s="2" t="s">
        <v>33</v>
      </c>
      <c r="Q45" s="2" t="s">
        <v>34</v>
      </c>
    </row>
    <row r="46" spans="1:17" ht="20.100000000000001" customHeight="1">
      <c r="A46" t="s">
        <v>328</v>
      </c>
      <c r="B46" t="s">
        <v>329</v>
      </c>
      <c r="C46" s="2" t="s">
        <v>330</v>
      </c>
      <c r="D46" s="2" t="s">
        <v>42</v>
      </c>
      <c r="E46" s="2" t="s">
        <v>22</v>
      </c>
      <c r="F46" s="2" t="s">
        <v>331</v>
      </c>
      <c r="G46" s="2" t="s">
        <v>332</v>
      </c>
      <c r="H46" s="2" t="s">
        <v>333</v>
      </c>
      <c r="I46" s="2" t="s">
        <v>26</v>
      </c>
      <c r="J46" s="2" t="s">
        <v>27</v>
      </c>
      <c r="K46" s="2" t="s">
        <v>28</v>
      </c>
      <c r="L46" s="2" t="s">
        <v>334</v>
      </c>
      <c r="M46" s="2" t="s">
        <v>335</v>
      </c>
      <c r="N46" s="2" t="s">
        <v>31</v>
      </c>
      <c r="O46" s="2" t="s">
        <v>32</v>
      </c>
      <c r="P46" s="2" t="s">
        <v>33</v>
      </c>
      <c r="Q46" s="2" t="s">
        <v>34</v>
      </c>
    </row>
    <row r="47" spans="1:17" ht="20.100000000000001" customHeight="1">
      <c r="A47" t="s">
        <v>336</v>
      </c>
      <c r="B47" t="s">
        <v>329</v>
      </c>
      <c r="C47" s="2" t="s">
        <v>337</v>
      </c>
      <c r="D47" s="2" t="s">
        <v>338</v>
      </c>
      <c r="E47" s="2" t="s">
        <v>339</v>
      </c>
      <c r="F47" s="2" t="s">
        <v>331</v>
      </c>
      <c r="G47" s="2" t="s">
        <v>340</v>
      </c>
      <c r="H47" s="2" t="s">
        <v>341</v>
      </c>
      <c r="I47" s="2" t="s">
        <v>26</v>
      </c>
      <c r="J47" s="2" t="s">
        <v>27</v>
      </c>
      <c r="K47" s="2" t="s">
        <v>28</v>
      </c>
      <c r="L47" s="2" t="s">
        <v>342</v>
      </c>
      <c r="M47" s="2" t="s">
        <v>343</v>
      </c>
      <c r="N47" s="2" t="s">
        <v>31</v>
      </c>
      <c r="O47" s="2" t="s">
        <v>300</v>
      </c>
      <c r="P47" s="2" t="s">
        <v>33</v>
      </c>
      <c r="Q47" s="2" t="s">
        <v>34</v>
      </c>
    </row>
    <row r="48" spans="1:17" ht="20.100000000000001" customHeight="1">
      <c r="A48" t="s">
        <v>344</v>
      </c>
      <c r="B48" t="s">
        <v>329</v>
      </c>
      <c r="C48" s="2" t="s">
        <v>345</v>
      </c>
      <c r="D48" s="2" t="s">
        <v>346</v>
      </c>
      <c r="E48" s="2" t="s">
        <v>347</v>
      </c>
      <c r="F48" s="2" t="s">
        <v>331</v>
      </c>
      <c r="G48" s="2" t="s">
        <v>340</v>
      </c>
      <c r="H48" s="2" t="s">
        <v>348</v>
      </c>
      <c r="I48" s="2" t="s">
        <v>26</v>
      </c>
      <c r="J48" s="2" t="s">
        <v>27</v>
      </c>
      <c r="K48" s="2" t="s">
        <v>28</v>
      </c>
      <c r="L48" s="2" t="s">
        <v>349</v>
      </c>
      <c r="M48" s="2" t="s">
        <v>350</v>
      </c>
      <c r="N48" s="2" t="s">
        <v>31</v>
      </c>
      <c r="O48" s="2" t="s">
        <v>300</v>
      </c>
      <c r="P48" s="2" t="s">
        <v>33</v>
      </c>
      <c r="Q48" s="2" t="s">
        <v>34</v>
      </c>
    </row>
    <row r="49" spans="1:17" ht="20.100000000000001" customHeight="1">
      <c r="A49" t="s">
        <v>351</v>
      </c>
      <c r="B49" t="s">
        <v>329</v>
      </c>
      <c r="C49" s="2" t="s">
        <v>352</v>
      </c>
      <c r="D49" s="2" t="s">
        <v>353</v>
      </c>
      <c r="E49" s="2" t="s">
        <v>264</v>
      </c>
      <c r="F49" s="2" t="s">
        <v>331</v>
      </c>
      <c r="G49" s="2" t="s">
        <v>354</v>
      </c>
      <c r="H49" s="2" t="s">
        <v>355</v>
      </c>
      <c r="I49" s="2" t="s">
        <v>27</v>
      </c>
      <c r="J49" s="2" t="s">
        <v>69</v>
      </c>
      <c r="K49" s="2" t="s">
        <v>44</v>
      </c>
      <c r="L49" s="2" t="s">
        <v>356</v>
      </c>
      <c r="M49" s="2" t="s">
        <v>357</v>
      </c>
      <c r="N49" s="2" t="s">
        <v>73</v>
      </c>
      <c r="O49" s="2" t="s">
        <v>32</v>
      </c>
      <c r="P49" s="2" t="s">
        <v>33</v>
      </c>
      <c r="Q49" s="2" t="s">
        <v>34</v>
      </c>
    </row>
    <row r="50" spans="1:17" ht="20.100000000000001" customHeight="1">
      <c r="A50" t="s">
        <v>358</v>
      </c>
      <c r="B50" t="s">
        <v>329</v>
      </c>
      <c r="C50" s="2" t="s">
        <v>359</v>
      </c>
      <c r="D50" s="2" t="s">
        <v>346</v>
      </c>
      <c r="E50" s="2" t="s">
        <v>360</v>
      </c>
      <c r="F50" s="2" t="s">
        <v>331</v>
      </c>
      <c r="G50" s="2" t="s">
        <v>361</v>
      </c>
      <c r="H50" s="2" t="s">
        <v>362</v>
      </c>
      <c r="I50" s="2" t="s">
        <v>26</v>
      </c>
      <c r="J50" s="2" t="s">
        <v>69</v>
      </c>
      <c r="K50" s="2" t="s">
        <v>81</v>
      </c>
      <c r="L50" s="2" t="s">
        <v>363</v>
      </c>
      <c r="M50" s="2" t="s">
        <v>364</v>
      </c>
      <c r="N50" s="2" t="s">
        <v>73</v>
      </c>
      <c r="O50" s="2" t="s">
        <v>365</v>
      </c>
      <c r="P50" s="2" t="s">
        <v>33</v>
      </c>
      <c r="Q50" s="2" t="s">
        <v>34</v>
      </c>
    </row>
    <row r="51" spans="1:17" ht="20.100000000000001" customHeight="1">
      <c r="A51" t="s">
        <v>366</v>
      </c>
      <c r="B51" t="s">
        <v>329</v>
      </c>
      <c r="C51" s="2" t="s">
        <v>367</v>
      </c>
      <c r="D51" s="2" t="s">
        <v>279</v>
      </c>
      <c r="E51" s="2" t="s">
        <v>368</v>
      </c>
      <c r="F51" s="2" t="s">
        <v>331</v>
      </c>
      <c r="G51" s="2" t="s">
        <v>369</v>
      </c>
      <c r="H51" s="2" t="s">
        <v>370</v>
      </c>
      <c r="I51" s="2" t="s">
        <v>26</v>
      </c>
      <c r="J51" s="2" t="s">
        <v>27</v>
      </c>
      <c r="K51" s="2" t="s">
        <v>28</v>
      </c>
      <c r="L51" s="2" t="s">
        <v>371</v>
      </c>
      <c r="M51" s="2" t="s">
        <v>372</v>
      </c>
      <c r="N51" s="2" t="s">
        <v>31</v>
      </c>
      <c r="O51" s="2" t="s">
        <v>32</v>
      </c>
      <c r="P51" s="2" t="s">
        <v>33</v>
      </c>
      <c r="Q51" s="2" t="s">
        <v>34</v>
      </c>
    </row>
    <row r="52" spans="1:17" ht="20.100000000000001" customHeight="1">
      <c r="A52" t="s">
        <v>373</v>
      </c>
      <c r="B52" t="s">
        <v>329</v>
      </c>
      <c r="C52" s="2" t="s">
        <v>374</v>
      </c>
      <c r="D52" s="2" t="s">
        <v>353</v>
      </c>
      <c r="E52" s="2" t="s">
        <v>264</v>
      </c>
      <c r="F52" s="2" t="s">
        <v>375</v>
      </c>
      <c r="G52" s="2" t="s">
        <v>376</v>
      </c>
      <c r="H52" s="2" t="s">
        <v>377</v>
      </c>
      <c r="I52" s="2" t="s">
        <v>26</v>
      </c>
      <c r="J52" s="2" t="s">
        <v>27</v>
      </c>
      <c r="K52" s="2" t="s">
        <v>306</v>
      </c>
      <c r="L52" s="2" t="s">
        <v>378</v>
      </c>
      <c r="M52" s="2" t="s">
        <v>379</v>
      </c>
      <c r="N52" s="2" t="s">
        <v>31</v>
      </c>
      <c r="O52" s="2" t="s">
        <v>300</v>
      </c>
      <c r="P52" s="2" t="s">
        <v>33</v>
      </c>
      <c r="Q52" s="2" t="s">
        <v>34</v>
      </c>
    </row>
    <row r="53" spans="1:17" ht="20.100000000000001" customHeight="1">
      <c r="A53" t="s">
        <v>380</v>
      </c>
      <c r="B53" t="s">
        <v>329</v>
      </c>
      <c r="C53" s="2" t="s">
        <v>381</v>
      </c>
      <c r="D53" s="2" t="s">
        <v>279</v>
      </c>
      <c r="E53" s="2" t="s">
        <v>280</v>
      </c>
      <c r="F53" s="2" t="s">
        <v>331</v>
      </c>
      <c r="G53" s="2" t="s">
        <v>382</v>
      </c>
      <c r="H53" s="2" t="s">
        <v>383</v>
      </c>
      <c r="I53" s="2" t="s">
        <v>27</v>
      </c>
      <c r="J53" s="2" t="s">
        <v>27</v>
      </c>
      <c r="K53" s="2" t="s">
        <v>44</v>
      </c>
      <c r="L53" s="2" t="s">
        <v>384</v>
      </c>
      <c r="M53" s="2" t="s">
        <v>385</v>
      </c>
      <c r="N53" s="2" t="s">
        <v>31</v>
      </c>
      <c r="O53" s="2" t="s">
        <v>32</v>
      </c>
      <c r="P53" s="2" t="s">
        <v>33</v>
      </c>
      <c r="Q53" s="2" t="s">
        <v>34</v>
      </c>
    </row>
    <row r="54" spans="1:17" ht="20.100000000000001" customHeight="1">
      <c r="A54" t="s">
        <v>386</v>
      </c>
      <c r="B54" t="s">
        <v>329</v>
      </c>
      <c r="C54" s="2" t="s">
        <v>387</v>
      </c>
      <c r="D54" s="2" t="s">
        <v>122</v>
      </c>
      <c r="E54" s="2" t="s">
        <v>151</v>
      </c>
      <c r="F54" s="2" t="s">
        <v>388</v>
      </c>
      <c r="G54" s="2" t="s">
        <v>389</v>
      </c>
      <c r="H54" s="2" t="s">
        <v>390</v>
      </c>
      <c r="I54" s="2" t="s">
        <v>26</v>
      </c>
      <c r="J54" s="2" t="s">
        <v>27</v>
      </c>
      <c r="K54" s="2" t="s">
        <v>44</v>
      </c>
      <c r="L54" s="2" t="s">
        <v>391</v>
      </c>
      <c r="M54" s="2" t="s">
        <v>392</v>
      </c>
      <c r="N54" s="2" t="s">
        <v>31</v>
      </c>
      <c r="O54" s="2" t="s">
        <v>164</v>
      </c>
      <c r="P54" s="2" t="s">
        <v>33</v>
      </c>
      <c r="Q54" s="2" t="s">
        <v>34</v>
      </c>
    </row>
    <row r="55" spans="1:17" ht="20.100000000000001" customHeight="1">
      <c r="A55" t="s">
        <v>393</v>
      </c>
      <c r="B55" t="s">
        <v>329</v>
      </c>
      <c r="C55" s="2" t="s">
        <v>394</v>
      </c>
      <c r="D55" s="2" t="s">
        <v>353</v>
      </c>
      <c r="E55" s="2" t="s">
        <v>395</v>
      </c>
      <c r="F55" s="2" t="s">
        <v>331</v>
      </c>
      <c r="G55" s="2" t="s">
        <v>396</v>
      </c>
      <c r="H55" s="2" t="s">
        <v>397</v>
      </c>
      <c r="I55" s="2" t="s">
        <v>27</v>
      </c>
      <c r="J55" s="2" t="s">
        <v>27</v>
      </c>
      <c r="K55" s="2" t="s">
        <v>44</v>
      </c>
      <c r="L55" s="2" t="s">
        <v>398</v>
      </c>
      <c r="M55" s="2" t="s">
        <v>399</v>
      </c>
      <c r="N55" s="2" t="s">
        <v>31</v>
      </c>
      <c r="O55" s="2" t="s">
        <v>400</v>
      </c>
      <c r="P55" s="2" t="s">
        <v>33</v>
      </c>
      <c r="Q55" s="2" t="s">
        <v>34</v>
      </c>
    </row>
    <row r="56" spans="1:17" ht="20.100000000000001" customHeight="1">
      <c r="A56" t="s">
        <v>401</v>
      </c>
      <c r="B56" t="s">
        <v>402</v>
      </c>
      <c r="C56" s="2" t="s">
        <v>403</v>
      </c>
      <c r="D56" s="2" t="s">
        <v>279</v>
      </c>
      <c r="E56" s="2" t="s">
        <v>280</v>
      </c>
      <c r="F56" s="2" t="s">
        <v>404</v>
      </c>
      <c r="G56" s="2" t="s">
        <v>405</v>
      </c>
      <c r="H56" s="2" t="s">
        <v>406</v>
      </c>
      <c r="I56" s="2" t="s">
        <v>26</v>
      </c>
      <c r="J56" s="2" t="s">
        <v>27</v>
      </c>
      <c r="K56" s="2" t="s">
        <v>28</v>
      </c>
      <c r="L56" s="2" t="s">
        <v>407</v>
      </c>
      <c r="M56" s="2" t="s">
        <v>408</v>
      </c>
      <c r="N56" s="2" t="s">
        <v>31</v>
      </c>
      <c r="O56" s="2" t="s">
        <v>32</v>
      </c>
      <c r="P56" s="2" t="s">
        <v>33</v>
      </c>
      <c r="Q56" s="2" t="s">
        <v>34</v>
      </c>
    </row>
    <row r="57" spans="1:17" ht="20.100000000000001" customHeight="1">
      <c r="A57" t="s">
        <v>409</v>
      </c>
      <c r="B57" t="s">
        <v>402</v>
      </c>
      <c r="C57" s="2" t="s">
        <v>410</v>
      </c>
      <c r="D57" s="2" t="s">
        <v>42</v>
      </c>
      <c r="E57" s="2" t="s">
        <v>22</v>
      </c>
      <c r="F57" s="2" t="s">
        <v>23</v>
      </c>
      <c r="G57" s="2" t="s">
        <v>411</v>
      </c>
      <c r="H57" s="2" t="s">
        <v>412</v>
      </c>
      <c r="I57" s="2" t="s">
        <v>27</v>
      </c>
      <c r="J57" s="2" t="s">
        <v>27</v>
      </c>
      <c r="K57" s="2" t="s">
        <v>44</v>
      </c>
      <c r="L57" s="2" t="s">
        <v>413</v>
      </c>
      <c r="M57" s="2" t="s">
        <v>414</v>
      </c>
      <c r="N57" s="2" t="s">
        <v>31</v>
      </c>
      <c r="O57" s="2" t="s">
        <v>181</v>
      </c>
      <c r="P57" s="2" t="s">
        <v>33</v>
      </c>
      <c r="Q57" s="2" t="s">
        <v>34</v>
      </c>
    </row>
    <row r="58" spans="1:17" ht="20.100000000000001" customHeight="1">
      <c r="A58" t="s">
        <v>415</v>
      </c>
      <c r="B58" t="s">
        <v>402</v>
      </c>
      <c r="C58" s="2" t="s">
        <v>416</v>
      </c>
      <c r="D58" s="2" t="s">
        <v>353</v>
      </c>
      <c r="E58" s="2" t="s">
        <v>264</v>
      </c>
      <c r="F58" s="2" t="s">
        <v>417</v>
      </c>
      <c r="G58" s="2" t="s">
        <v>418</v>
      </c>
      <c r="H58" s="2" t="s">
        <v>419</v>
      </c>
      <c r="I58" s="2" t="s">
        <v>26</v>
      </c>
      <c r="J58" s="2" t="s">
        <v>27</v>
      </c>
      <c r="K58" s="2" t="s">
        <v>306</v>
      </c>
      <c r="L58" s="2" t="s">
        <v>420</v>
      </c>
      <c r="M58" s="2" t="s">
        <v>421</v>
      </c>
      <c r="N58" s="2" t="s">
        <v>31</v>
      </c>
      <c r="O58" s="2" t="s">
        <v>422</v>
      </c>
      <c r="P58" s="2" t="s">
        <v>33</v>
      </c>
      <c r="Q58" s="2" t="s">
        <v>34</v>
      </c>
    </row>
    <row r="59" spans="1:17" ht="20.100000000000001" customHeight="1">
      <c r="A59" t="s">
        <v>423</v>
      </c>
      <c r="B59" t="s">
        <v>402</v>
      </c>
      <c r="C59" s="2" t="s">
        <v>424</v>
      </c>
      <c r="D59" s="2" t="s">
        <v>77</v>
      </c>
      <c r="E59" s="2" t="s">
        <v>360</v>
      </c>
      <c r="F59" s="2" t="s">
        <v>23</v>
      </c>
      <c r="G59" s="2" t="s">
        <v>411</v>
      </c>
      <c r="H59" s="2" t="s">
        <v>425</v>
      </c>
      <c r="I59" s="2" t="s">
        <v>27</v>
      </c>
      <c r="J59" s="2" t="s">
        <v>27</v>
      </c>
      <c r="K59" s="2" t="s">
        <v>44</v>
      </c>
      <c r="L59" s="2" t="s">
        <v>426</v>
      </c>
      <c r="M59" s="2" t="s">
        <v>427</v>
      </c>
      <c r="N59" s="2" t="s">
        <v>31</v>
      </c>
      <c r="O59" s="2" t="s">
        <v>365</v>
      </c>
      <c r="P59" s="2" t="s">
        <v>33</v>
      </c>
      <c r="Q59" s="2" t="s">
        <v>34</v>
      </c>
    </row>
    <row r="60" spans="1:17" ht="20.100000000000001" customHeight="1">
      <c r="A60" t="s">
        <v>428</v>
      </c>
      <c r="B60" t="s">
        <v>402</v>
      </c>
      <c r="C60" s="2" t="s">
        <v>429</v>
      </c>
      <c r="D60" s="2" t="s">
        <v>430</v>
      </c>
      <c r="E60" s="2" t="s">
        <v>431</v>
      </c>
      <c r="F60" s="2" t="s">
        <v>432</v>
      </c>
      <c r="G60" s="2" t="s">
        <v>433</v>
      </c>
      <c r="H60" s="2" t="s">
        <v>434</v>
      </c>
      <c r="I60" s="2" t="s">
        <v>26</v>
      </c>
      <c r="J60" s="2" t="s">
        <v>27</v>
      </c>
      <c r="K60" s="2" t="s">
        <v>306</v>
      </c>
      <c r="L60" s="2" t="s">
        <v>435</v>
      </c>
      <c r="M60" s="2" t="s">
        <v>436</v>
      </c>
      <c r="N60" s="2" t="s">
        <v>31</v>
      </c>
      <c r="O60" s="2" t="s">
        <v>422</v>
      </c>
      <c r="P60" s="2" t="s">
        <v>33</v>
      </c>
      <c r="Q60" s="2" t="s">
        <v>34</v>
      </c>
    </row>
    <row r="61" spans="1:17" ht="20.100000000000001" customHeight="1">
      <c r="A61" t="s">
        <v>437</v>
      </c>
      <c r="B61" t="s">
        <v>438</v>
      </c>
      <c r="C61" s="2" t="s">
        <v>439</v>
      </c>
      <c r="D61" s="2" t="s">
        <v>346</v>
      </c>
      <c r="E61" s="2" t="s">
        <v>360</v>
      </c>
      <c r="F61" s="2" t="s">
        <v>184</v>
      </c>
      <c r="G61" s="2" t="s">
        <v>440</v>
      </c>
      <c r="H61" s="2" t="s">
        <v>441</v>
      </c>
      <c r="I61" s="2" t="s">
        <v>27</v>
      </c>
      <c r="J61" s="2" t="s">
        <v>69</v>
      </c>
      <c r="K61" s="2" t="s">
        <v>81</v>
      </c>
      <c r="L61" s="2" t="s">
        <v>442</v>
      </c>
      <c r="M61" s="2" t="s">
        <v>443</v>
      </c>
      <c r="N61" s="2" t="s">
        <v>73</v>
      </c>
      <c r="O61" s="2" t="s">
        <v>365</v>
      </c>
      <c r="P61" s="2" t="s">
        <v>33</v>
      </c>
      <c r="Q61" s="2" t="s">
        <v>34</v>
      </c>
    </row>
    <row r="62" spans="1:17" ht="20.100000000000001" customHeight="1">
      <c r="A62" t="s">
        <v>444</v>
      </c>
      <c r="B62" t="s">
        <v>438</v>
      </c>
      <c r="C62" s="2" t="s">
        <v>445</v>
      </c>
      <c r="D62" s="2" t="s">
        <v>346</v>
      </c>
      <c r="E62" s="2" t="s">
        <v>360</v>
      </c>
      <c r="F62" s="2" t="s">
        <v>184</v>
      </c>
      <c r="G62" s="2" t="s">
        <v>440</v>
      </c>
      <c r="H62" s="2" t="s">
        <v>446</v>
      </c>
      <c r="I62" s="2" t="s">
        <v>26</v>
      </c>
      <c r="J62" s="2" t="s">
        <v>69</v>
      </c>
      <c r="K62" s="2" t="s">
        <v>81</v>
      </c>
      <c r="L62" s="2" t="s">
        <v>447</v>
      </c>
      <c r="M62" s="2" t="s">
        <v>448</v>
      </c>
      <c r="N62" s="2" t="s">
        <v>73</v>
      </c>
      <c r="O62" s="2" t="s">
        <v>147</v>
      </c>
      <c r="P62" s="2" t="s">
        <v>33</v>
      </c>
      <c r="Q62" s="2" t="s">
        <v>34</v>
      </c>
    </row>
    <row r="63" spans="1:17" ht="20.100000000000001" customHeight="1">
      <c r="A63" t="s">
        <v>449</v>
      </c>
      <c r="B63" t="s">
        <v>438</v>
      </c>
      <c r="C63" s="2" t="s">
        <v>450</v>
      </c>
      <c r="D63" s="2" t="s">
        <v>451</v>
      </c>
      <c r="E63" s="2" t="s">
        <v>22</v>
      </c>
      <c r="F63" s="2" t="s">
        <v>23</v>
      </c>
      <c r="G63" s="2" t="s">
        <v>24</v>
      </c>
      <c r="H63" s="2" t="s">
        <v>452</v>
      </c>
      <c r="I63" s="2" t="s">
        <v>26</v>
      </c>
      <c r="J63" s="2" t="s">
        <v>27</v>
      </c>
      <c r="K63" s="2" t="s">
        <v>28</v>
      </c>
      <c r="L63" s="2" t="s">
        <v>453</v>
      </c>
      <c r="M63" s="2" t="s">
        <v>454</v>
      </c>
      <c r="N63" s="2" t="s">
        <v>31</v>
      </c>
      <c r="O63" s="2" t="s">
        <v>32</v>
      </c>
      <c r="P63" s="2" t="s">
        <v>33</v>
      </c>
      <c r="Q63" s="2" t="s">
        <v>34</v>
      </c>
    </row>
    <row r="64" spans="1:17" ht="20.100000000000001" customHeight="1">
      <c r="A64" t="s">
        <v>455</v>
      </c>
      <c r="B64" t="s">
        <v>456</v>
      </c>
      <c r="C64" s="2" t="s">
        <v>457</v>
      </c>
      <c r="D64" s="2" t="s">
        <v>191</v>
      </c>
      <c r="E64" s="2" t="s">
        <v>192</v>
      </c>
      <c r="F64" s="2" t="s">
        <v>23</v>
      </c>
      <c r="G64" s="2" t="s">
        <v>458</v>
      </c>
      <c r="H64" s="2" t="s">
        <v>459</v>
      </c>
      <c r="I64" s="2" t="s">
        <v>26</v>
      </c>
      <c r="J64" s="2" t="s">
        <v>27</v>
      </c>
      <c r="K64" s="2" t="s">
        <v>28</v>
      </c>
      <c r="L64" s="2" t="s">
        <v>460</v>
      </c>
      <c r="M64" s="2" t="s">
        <v>461</v>
      </c>
      <c r="N64" s="2" t="s">
        <v>31</v>
      </c>
      <c r="O64" s="2" t="s">
        <v>181</v>
      </c>
      <c r="P64" s="2" t="s">
        <v>33</v>
      </c>
      <c r="Q64" s="2" t="s">
        <v>34</v>
      </c>
    </row>
    <row r="65" spans="1:17" ht="20.100000000000001" customHeight="1">
      <c r="A65" t="s">
        <v>462</v>
      </c>
      <c r="B65" t="s">
        <v>456</v>
      </c>
      <c r="C65" s="2" t="s">
        <v>463</v>
      </c>
      <c r="D65" s="2" t="s">
        <v>464</v>
      </c>
      <c r="E65" s="2" t="s">
        <v>465</v>
      </c>
      <c r="F65" s="2" t="s">
        <v>184</v>
      </c>
      <c r="G65" s="2" t="s">
        <v>466</v>
      </c>
      <c r="H65" s="2" t="s">
        <v>467</v>
      </c>
      <c r="I65" s="2" t="s">
        <v>26</v>
      </c>
      <c r="J65" s="2" t="s">
        <v>69</v>
      </c>
      <c r="K65" s="2" t="s">
        <v>81</v>
      </c>
      <c r="L65" s="2" t="s">
        <v>468</v>
      </c>
      <c r="M65" s="2" t="s">
        <v>469</v>
      </c>
      <c r="N65" s="2" t="s">
        <v>73</v>
      </c>
      <c r="O65" s="2" t="s">
        <v>147</v>
      </c>
      <c r="P65" s="2" t="s">
        <v>33</v>
      </c>
      <c r="Q65" s="2" t="s">
        <v>34</v>
      </c>
    </row>
    <row r="66" spans="1:17" ht="20.100000000000001" customHeight="1">
      <c r="A66" t="s">
        <v>470</v>
      </c>
      <c r="B66" t="s">
        <v>471</v>
      </c>
      <c r="C66" s="2" t="s">
        <v>472</v>
      </c>
      <c r="D66" s="2" t="s">
        <v>279</v>
      </c>
      <c r="E66" s="2" t="s">
        <v>280</v>
      </c>
      <c r="F66" s="2" t="s">
        <v>281</v>
      </c>
      <c r="G66" s="2" t="s">
        <v>473</v>
      </c>
      <c r="H66" s="2" t="s">
        <v>474</v>
      </c>
      <c r="I66" s="2" t="s">
        <v>26</v>
      </c>
      <c r="J66" s="2" t="s">
        <v>27</v>
      </c>
      <c r="K66" s="2" t="s">
        <v>28</v>
      </c>
      <c r="L66" s="2" t="s">
        <v>475</v>
      </c>
      <c r="M66" s="2" t="s">
        <v>476</v>
      </c>
      <c r="N66" s="2" t="s">
        <v>31</v>
      </c>
      <c r="O66" s="2" t="s">
        <v>286</v>
      </c>
      <c r="P66" s="2" t="s">
        <v>33</v>
      </c>
      <c r="Q66" s="2" t="s">
        <v>34</v>
      </c>
    </row>
    <row r="67" spans="1:17" ht="20.100000000000001" customHeight="1">
      <c r="A67" t="s">
        <v>477</v>
      </c>
      <c r="B67" t="s">
        <v>471</v>
      </c>
      <c r="C67" s="2" t="s">
        <v>478</v>
      </c>
      <c r="D67" s="2" t="s">
        <v>279</v>
      </c>
      <c r="E67" s="2" t="s">
        <v>280</v>
      </c>
      <c r="F67" s="2" t="s">
        <v>479</v>
      </c>
      <c r="G67" s="2" t="s">
        <v>480</v>
      </c>
      <c r="H67" s="2" t="s">
        <v>481</v>
      </c>
      <c r="I67" s="2" t="s">
        <v>27</v>
      </c>
      <c r="J67" s="2" t="s">
        <v>27</v>
      </c>
      <c r="K67" s="2" t="s">
        <v>482</v>
      </c>
      <c r="L67" s="2" t="s">
        <v>483</v>
      </c>
      <c r="M67" s="2" t="s">
        <v>484</v>
      </c>
      <c r="N67" s="2" t="s">
        <v>31</v>
      </c>
      <c r="O67" s="2" t="s">
        <v>286</v>
      </c>
      <c r="P67" s="2" t="s">
        <v>33</v>
      </c>
      <c r="Q67" s="2" t="s">
        <v>34</v>
      </c>
    </row>
    <row r="68" spans="1:17" ht="20.100000000000001" customHeight="1">
      <c r="A68" t="s">
        <v>485</v>
      </c>
      <c r="B68" t="s">
        <v>471</v>
      </c>
      <c r="C68" s="2" t="s">
        <v>486</v>
      </c>
      <c r="D68" s="2" t="s">
        <v>122</v>
      </c>
      <c r="E68" s="2" t="s">
        <v>151</v>
      </c>
      <c r="F68" s="2" t="s">
        <v>23</v>
      </c>
      <c r="G68" s="2" t="s">
        <v>487</v>
      </c>
      <c r="H68" s="2" t="s">
        <v>488</v>
      </c>
      <c r="I68" s="2" t="s">
        <v>27</v>
      </c>
      <c r="J68" s="2" t="s">
        <v>27</v>
      </c>
      <c r="K68" s="2" t="s">
        <v>44</v>
      </c>
      <c r="L68" s="2" t="s">
        <v>489</v>
      </c>
      <c r="M68" s="2" t="s">
        <v>490</v>
      </c>
      <c r="N68" s="2" t="s">
        <v>31</v>
      </c>
      <c r="O68" s="2" t="s">
        <v>32</v>
      </c>
      <c r="P68" s="2" t="s">
        <v>33</v>
      </c>
      <c r="Q68" s="2" t="s">
        <v>34</v>
      </c>
    </row>
    <row r="69" spans="1:17" ht="20.100000000000001" customHeight="1">
      <c r="A69" t="s">
        <v>491</v>
      </c>
      <c r="B69" t="s">
        <v>471</v>
      </c>
      <c r="C69" s="2" t="s">
        <v>492</v>
      </c>
      <c r="D69" s="2" t="s">
        <v>493</v>
      </c>
      <c r="E69" s="2" t="s">
        <v>494</v>
      </c>
      <c r="F69" s="2" t="s">
        <v>495</v>
      </c>
      <c r="G69" s="2" t="s">
        <v>496</v>
      </c>
      <c r="H69" s="2" t="s">
        <v>497</v>
      </c>
      <c r="I69" s="2" t="s">
        <v>26</v>
      </c>
      <c r="J69" s="2" t="s">
        <v>27</v>
      </c>
      <c r="K69" s="2" t="s">
        <v>306</v>
      </c>
      <c r="L69" s="2" t="s">
        <v>498</v>
      </c>
      <c r="M69" s="2" t="s">
        <v>499</v>
      </c>
      <c r="N69" s="2" t="s">
        <v>31</v>
      </c>
      <c r="O69" s="2" t="s">
        <v>500</v>
      </c>
      <c r="P69" s="2" t="s">
        <v>33</v>
      </c>
      <c r="Q69" s="2" t="s">
        <v>34</v>
      </c>
    </row>
    <row r="70" spans="1:17" ht="20.100000000000001" customHeight="1">
      <c r="A70" t="s">
        <v>501</v>
      </c>
      <c r="B70" t="s">
        <v>471</v>
      </c>
      <c r="C70" s="2" t="s">
        <v>502</v>
      </c>
      <c r="D70" s="2" t="s">
        <v>430</v>
      </c>
      <c r="E70" s="2" t="s">
        <v>431</v>
      </c>
      <c r="F70" s="2" t="s">
        <v>503</v>
      </c>
      <c r="G70" s="2" t="s">
        <v>504</v>
      </c>
      <c r="H70" s="2" t="s">
        <v>505</v>
      </c>
      <c r="I70" s="2" t="s">
        <v>27</v>
      </c>
      <c r="J70" s="2" t="s">
        <v>69</v>
      </c>
      <c r="K70" s="2" t="s">
        <v>101</v>
      </c>
      <c r="L70" s="2" t="s">
        <v>506</v>
      </c>
      <c r="M70" s="2" t="s">
        <v>507</v>
      </c>
      <c r="N70" s="2" t="s">
        <v>73</v>
      </c>
      <c r="O70" s="2" t="s">
        <v>300</v>
      </c>
      <c r="P70" s="2" t="s">
        <v>33</v>
      </c>
      <c r="Q70" s="2" t="s">
        <v>34</v>
      </c>
    </row>
    <row r="71" spans="1:17" ht="20.100000000000001" customHeight="1">
      <c r="A71" t="s">
        <v>508</v>
      </c>
      <c r="B71" t="s">
        <v>471</v>
      </c>
      <c r="C71" s="2" t="s">
        <v>509</v>
      </c>
      <c r="D71" s="2" t="s">
        <v>430</v>
      </c>
      <c r="E71" s="2" t="s">
        <v>510</v>
      </c>
      <c r="F71" s="2" t="s">
        <v>511</v>
      </c>
      <c r="G71" s="2" t="s">
        <v>512</v>
      </c>
      <c r="H71" s="2" t="s">
        <v>513</v>
      </c>
      <c r="I71" s="2" t="s">
        <v>26</v>
      </c>
      <c r="J71" s="2" t="s">
        <v>27</v>
      </c>
      <c r="K71" s="2" t="s">
        <v>306</v>
      </c>
      <c r="L71" s="2" t="s">
        <v>514</v>
      </c>
      <c r="M71" s="2" t="s">
        <v>515</v>
      </c>
      <c r="N71" s="2" t="s">
        <v>31</v>
      </c>
      <c r="O71" s="2" t="s">
        <v>516</v>
      </c>
      <c r="P71" s="2" t="s">
        <v>33</v>
      </c>
      <c r="Q71" s="2" t="s">
        <v>34</v>
      </c>
    </row>
    <row r="72" spans="1:17" ht="20.100000000000001" customHeight="1">
      <c r="A72" t="s">
        <v>517</v>
      </c>
      <c r="B72" t="s">
        <v>471</v>
      </c>
      <c r="C72" s="2" t="s">
        <v>518</v>
      </c>
      <c r="D72" s="2" t="s">
        <v>519</v>
      </c>
      <c r="E72" s="2" t="s">
        <v>520</v>
      </c>
      <c r="F72" s="2" t="s">
        <v>23</v>
      </c>
      <c r="G72" s="2" t="s">
        <v>521</v>
      </c>
      <c r="H72" s="2" t="s">
        <v>522</v>
      </c>
      <c r="I72" s="2" t="s">
        <v>27</v>
      </c>
      <c r="J72" s="2" t="s">
        <v>27</v>
      </c>
      <c r="K72" s="2" t="s">
        <v>44</v>
      </c>
      <c r="L72" s="2" t="s">
        <v>523</v>
      </c>
      <c r="M72" s="2" t="s">
        <v>524</v>
      </c>
      <c r="N72" s="2" t="s">
        <v>31</v>
      </c>
      <c r="O72" s="2" t="s">
        <v>525</v>
      </c>
      <c r="P72" s="2" t="s">
        <v>33</v>
      </c>
      <c r="Q72" s="2" t="s">
        <v>34</v>
      </c>
    </row>
    <row r="73" spans="1:17" ht="20.100000000000001" customHeight="1">
      <c r="A73" t="s">
        <v>526</v>
      </c>
      <c r="B73" t="s">
        <v>471</v>
      </c>
      <c r="C73" s="2" t="s">
        <v>527</v>
      </c>
      <c r="D73" s="2" t="s">
        <v>122</v>
      </c>
      <c r="E73" s="2" t="s">
        <v>151</v>
      </c>
      <c r="F73" s="2" t="s">
        <v>23</v>
      </c>
      <c r="G73" s="2" t="s">
        <v>528</v>
      </c>
      <c r="H73" s="2" t="s">
        <v>529</v>
      </c>
      <c r="I73" s="2" t="s">
        <v>26</v>
      </c>
      <c r="J73" s="2" t="s">
        <v>27</v>
      </c>
      <c r="K73" s="2" t="s">
        <v>28</v>
      </c>
      <c r="L73" s="2" t="s">
        <v>530</v>
      </c>
      <c r="M73" s="2" t="s">
        <v>531</v>
      </c>
      <c r="N73" s="2" t="s">
        <v>31</v>
      </c>
      <c r="O73" s="2" t="s">
        <v>181</v>
      </c>
      <c r="P73" s="2" t="s">
        <v>33</v>
      </c>
      <c r="Q73" s="2" t="s">
        <v>34</v>
      </c>
    </row>
    <row r="74" spans="1:17" ht="20.100000000000001" customHeight="1">
      <c r="A74" t="s">
        <v>532</v>
      </c>
      <c r="B74" t="s">
        <v>533</v>
      </c>
      <c r="C74" s="2" t="s">
        <v>534</v>
      </c>
      <c r="D74" s="2" t="s">
        <v>42</v>
      </c>
      <c r="E74" s="2" t="s">
        <v>22</v>
      </c>
      <c r="F74" s="2" t="s">
        <v>303</v>
      </c>
      <c r="G74" s="2" t="s">
        <v>535</v>
      </c>
      <c r="H74" s="2" t="s">
        <v>536</v>
      </c>
      <c r="I74" s="2" t="s">
        <v>26</v>
      </c>
      <c r="J74" s="2" t="s">
        <v>27</v>
      </c>
      <c r="K74" s="2" t="s">
        <v>306</v>
      </c>
      <c r="L74" s="2" t="s">
        <v>537</v>
      </c>
      <c r="M74" s="2" t="s">
        <v>538</v>
      </c>
      <c r="N74" s="2" t="s">
        <v>31</v>
      </c>
      <c r="O74" s="2" t="s">
        <v>516</v>
      </c>
      <c r="P74" s="2" t="s">
        <v>33</v>
      </c>
      <c r="Q74" s="2" t="s">
        <v>34</v>
      </c>
    </row>
    <row r="75" spans="1:17" ht="20.100000000000001" customHeight="1">
      <c r="A75" t="s">
        <v>539</v>
      </c>
      <c r="B75" t="s">
        <v>533</v>
      </c>
      <c r="C75" s="2" t="s">
        <v>540</v>
      </c>
      <c r="D75" s="2" t="s">
        <v>541</v>
      </c>
      <c r="E75" s="2" t="s">
        <v>541</v>
      </c>
      <c r="F75" s="2" t="s">
        <v>303</v>
      </c>
      <c r="G75" s="2" t="s">
        <v>542</v>
      </c>
      <c r="H75" s="2" t="s">
        <v>543</v>
      </c>
      <c r="I75" s="2" t="s">
        <v>26</v>
      </c>
      <c r="J75" s="2" t="s">
        <v>27</v>
      </c>
      <c r="K75" s="2" t="s">
        <v>306</v>
      </c>
      <c r="L75" s="2" t="s">
        <v>544</v>
      </c>
      <c r="M75" s="2" t="s">
        <v>545</v>
      </c>
      <c r="N75" s="2" t="s">
        <v>31</v>
      </c>
      <c r="O75" s="2" t="s">
        <v>546</v>
      </c>
      <c r="P75" s="2" t="s">
        <v>33</v>
      </c>
      <c r="Q75" s="2" t="s">
        <v>34</v>
      </c>
    </row>
    <row r="76" spans="1:17" ht="20.100000000000001" customHeight="1">
      <c r="A76" t="s">
        <v>547</v>
      </c>
      <c r="B76" t="s">
        <v>533</v>
      </c>
      <c r="C76" s="2" t="s">
        <v>548</v>
      </c>
      <c r="D76" s="2" t="s">
        <v>549</v>
      </c>
      <c r="E76" s="2" t="s">
        <v>494</v>
      </c>
      <c r="F76" s="2" t="s">
        <v>550</v>
      </c>
      <c r="G76" s="2" t="s">
        <v>551</v>
      </c>
      <c r="H76" s="2" t="s">
        <v>552</v>
      </c>
      <c r="I76" s="2" t="s">
        <v>26</v>
      </c>
      <c r="J76" s="2" t="s">
        <v>27</v>
      </c>
      <c r="K76" s="2" t="s">
        <v>44</v>
      </c>
      <c r="L76" s="2" t="s">
        <v>553</v>
      </c>
      <c r="M76" s="2" t="s">
        <v>554</v>
      </c>
      <c r="N76" s="2" t="s">
        <v>31</v>
      </c>
      <c r="O76" s="2" t="s">
        <v>555</v>
      </c>
      <c r="P76" s="2" t="s">
        <v>33</v>
      </c>
      <c r="Q76" s="2" t="s">
        <v>34</v>
      </c>
    </row>
    <row r="77" spans="1:17" ht="20.100000000000001" customHeight="1">
      <c r="A77" t="s">
        <v>556</v>
      </c>
      <c r="B77" t="s">
        <v>533</v>
      </c>
      <c r="C77" s="2" t="s">
        <v>557</v>
      </c>
      <c r="D77" s="2" t="s">
        <v>122</v>
      </c>
      <c r="E77" s="2" t="s">
        <v>151</v>
      </c>
      <c r="F77" s="2" t="s">
        <v>170</v>
      </c>
      <c r="G77" s="2" t="s">
        <v>558</v>
      </c>
      <c r="H77" s="2" t="s">
        <v>559</v>
      </c>
      <c r="I77" s="2" t="s">
        <v>27</v>
      </c>
      <c r="J77" s="2" t="s">
        <v>27</v>
      </c>
      <c r="K77" s="2" t="s">
        <v>44</v>
      </c>
      <c r="L77" s="2" t="s">
        <v>560</v>
      </c>
      <c r="M77" s="2" t="s">
        <v>561</v>
      </c>
      <c r="N77" s="2" t="s">
        <v>31</v>
      </c>
      <c r="O77" s="2" t="s">
        <v>164</v>
      </c>
      <c r="P77" s="2" t="s">
        <v>33</v>
      </c>
      <c r="Q77" s="2" t="s">
        <v>34</v>
      </c>
    </row>
    <row r="78" spans="1:17" ht="20.100000000000001" customHeight="1">
      <c r="A78" t="s">
        <v>562</v>
      </c>
      <c r="B78" t="s">
        <v>563</v>
      </c>
      <c r="C78" s="2" t="s">
        <v>564</v>
      </c>
      <c r="D78" s="2" t="s">
        <v>168</v>
      </c>
      <c r="E78" s="2" t="s">
        <v>222</v>
      </c>
      <c r="F78" s="2" t="s">
        <v>23</v>
      </c>
      <c r="G78" s="2" t="s">
        <v>565</v>
      </c>
      <c r="H78" s="2" t="s">
        <v>566</v>
      </c>
      <c r="I78" s="2" t="s">
        <v>27</v>
      </c>
      <c r="J78" s="2" t="s">
        <v>27</v>
      </c>
      <c r="K78" s="2" t="s">
        <v>81</v>
      </c>
      <c r="L78" s="2" t="s">
        <v>567</v>
      </c>
      <c r="M78" s="2" t="s">
        <v>568</v>
      </c>
      <c r="N78" s="2" t="s">
        <v>31</v>
      </c>
      <c r="O78" s="2" t="s">
        <v>181</v>
      </c>
      <c r="P78" s="2" t="s">
        <v>33</v>
      </c>
      <c r="Q78" s="2" t="s">
        <v>34</v>
      </c>
    </row>
    <row r="79" spans="1:17" ht="20.100000000000001" customHeight="1">
      <c r="A79" t="s">
        <v>569</v>
      </c>
      <c r="B79" t="s">
        <v>563</v>
      </c>
      <c r="C79" s="2" t="s">
        <v>570</v>
      </c>
      <c r="D79" s="2" t="s">
        <v>221</v>
      </c>
      <c r="E79" s="2" t="s">
        <v>222</v>
      </c>
      <c r="F79" s="2" t="s">
        <v>571</v>
      </c>
      <c r="G79" s="2" t="s">
        <v>572</v>
      </c>
      <c r="H79" s="2" t="s">
        <v>573</v>
      </c>
      <c r="I79" s="2" t="s">
        <v>26</v>
      </c>
      <c r="J79" s="2" t="s">
        <v>69</v>
      </c>
      <c r="K79" s="2" t="s">
        <v>70</v>
      </c>
      <c r="L79" s="2" t="s">
        <v>574</v>
      </c>
      <c r="M79" s="2" t="s">
        <v>575</v>
      </c>
      <c r="N79" s="2" t="s">
        <v>73</v>
      </c>
      <c r="O79" s="2" t="s">
        <v>181</v>
      </c>
      <c r="P79" s="2" t="s">
        <v>33</v>
      </c>
      <c r="Q79" s="2" t="s">
        <v>34</v>
      </c>
    </row>
    <row r="80" spans="1:17" ht="20.100000000000001" customHeight="1">
      <c r="A80" t="s">
        <v>576</v>
      </c>
      <c r="B80" t="s">
        <v>577</v>
      </c>
      <c r="C80" s="2" t="s">
        <v>578</v>
      </c>
      <c r="D80" s="2" t="s">
        <v>279</v>
      </c>
      <c r="E80" s="2" t="s">
        <v>280</v>
      </c>
      <c r="F80" s="2" t="s">
        <v>579</v>
      </c>
      <c r="G80" s="2" t="s">
        <v>580</v>
      </c>
      <c r="H80" s="2" t="s">
        <v>581</v>
      </c>
      <c r="I80" s="2" t="s">
        <v>26</v>
      </c>
      <c r="J80" s="2" t="s">
        <v>27</v>
      </c>
      <c r="K80" s="2" t="s">
        <v>28</v>
      </c>
      <c r="L80" s="2" t="s">
        <v>582</v>
      </c>
      <c r="M80" s="2" t="s">
        <v>583</v>
      </c>
      <c r="N80" s="2" t="s">
        <v>31</v>
      </c>
      <c r="O80" s="2" t="s">
        <v>181</v>
      </c>
      <c r="P80" s="2" t="s">
        <v>33</v>
      </c>
      <c r="Q80" s="2" t="s">
        <v>34</v>
      </c>
    </row>
    <row r="81" spans="1:17" ht="20.100000000000001" customHeight="1">
      <c r="A81" t="s">
        <v>584</v>
      </c>
      <c r="B81" t="s">
        <v>577</v>
      </c>
      <c r="C81" s="2" t="s">
        <v>585</v>
      </c>
      <c r="D81" s="2" t="s">
        <v>57</v>
      </c>
      <c r="E81" s="2" t="s">
        <v>586</v>
      </c>
      <c r="F81" s="2" t="s">
        <v>587</v>
      </c>
      <c r="G81" s="2" t="s">
        <v>588</v>
      </c>
      <c r="H81" s="2" t="s">
        <v>589</v>
      </c>
      <c r="I81" s="2" t="s">
        <v>26</v>
      </c>
      <c r="J81" s="2" t="s">
        <v>27</v>
      </c>
      <c r="K81" s="2" t="s">
        <v>44</v>
      </c>
      <c r="L81" s="2" t="s">
        <v>590</v>
      </c>
      <c r="M81" s="2" t="s">
        <v>591</v>
      </c>
      <c r="N81" s="2" t="s">
        <v>31</v>
      </c>
      <c r="O81" s="2" t="s">
        <v>181</v>
      </c>
      <c r="P81" s="2" t="s">
        <v>33</v>
      </c>
      <c r="Q81" s="2" t="s">
        <v>34</v>
      </c>
    </row>
    <row r="82" spans="1:17" ht="20.100000000000001" customHeight="1">
      <c r="A82" t="s">
        <v>592</v>
      </c>
      <c r="B82" t="s">
        <v>577</v>
      </c>
      <c r="C82" s="2" t="s">
        <v>593</v>
      </c>
      <c r="D82" s="2" t="s">
        <v>221</v>
      </c>
      <c r="E82" s="2" t="s">
        <v>222</v>
      </c>
      <c r="F82" s="2" t="s">
        <v>23</v>
      </c>
      <c r="G82" s="2" t="s">
        <v>594</v>
      </c>
      <c r="H82" s="2" t="s">
        <v>595</v>
      </c>
      <c r="I82" s="2" t="s">
        <v>26</v>
      </c>
      <c r="J82" s="2" t="s">
        <v>27</v>
      </c>
      <c r="K82" s="2" t="s">
        <v>44</v>
      </c>
      <c r="L82" s="2" t="s">
        <v>596</v>
      </c>
      <c r="M82" s="2" t="s">
        <v>597</v>
      </c>
      <c r="N82" s="2" t="s">
        <v>31</v>
      </c>
      <c r="O82" s="2" t="s">
        <v>181</v>
      </c>
      <c r="P82" s="2" t="s">
        <v>33</v>
      </c>
      <c r="Q82" s="2" t="s">
        <v>34</v>
      </c>
    </row>
    <row r="83" spans="1:17" ht="20.100000000000001" customHeight="1">
      <c r="A83" t="s">
        <v>598</v>
      </c>
      <c r="B83" t="s">
        <v>599</v>
      </c>
      <c r="C83" s="2" t="s">
        <v>600</v>
      </c>
      <c r="D83" s="2" t="s">
        <v>601</v>
      </c>
      <c r="E83" s="2" t="s">
        <v>602</v>
      </c>
      <c r="F83" s="2" t="s">
        <v>23</v>
      </c>
      <c r="G83" s="2" t="s">
        <v>603</v>
      </c>
      <c r="H83" s="2" t="s">
        <v>604</v>
      </c>
      <c r="I83" s="2" t="s">
        <v>26</v>
      </c>
      <c r="J83" s="2" t="s">
        <v>27</v>
      </c>
      <c r="K83" s="2" t="s">
        <v>44</v>
      </c>
      <c r="L83" s="2" t="s">
        <v>605</v>
      </c>
      <c r="M83" s="2" t="s">
        <v>606</v>
      </c>
      <c r="N83" s="2" t="s">
        <v>31</v>
      </c>
      <c r="O83" s="2" t="s">
        <v>181</v>
      </c>
      <c r="P83" s="2" t="s">
        <v>33</v>
      </c>
      <c r="Q83" s="2" t="s">
        <v>34</v>
      </c>
    </row>
    <row r="84" spans="1:17" ht="20.100000000000001" customHeight="1">
      <c r="A84" t="s">
        <v>607</v>
      </c>
      <c r="B84" t="s">
        <v>599</v>
      </c>
      <c r="C84" s="2" t="s">
        <v>608</v>
      </c>
      <c r="D84" s="2" t="s">
        <v>609</v>
      </c>
      <c r="E84" s="2" t="s">
        <v>169</v>
      </c>
      <c r="F84" s="2" t="s">
        <v>184</v>
      </c>
      <c r="G84" s="2" t="s">
        <v>610</v>
      </c>
      <c r="H84" s="2" t="s">
        <v>611</v>
      </c>
      <c r="I84" s="2" t="s">
        <v>27</v>
      </c>
      <c r="J84" s="2" t="s">
        <v>69</v>
      </c>
      <c r="K84" s="2" t="s">
        <v>70</v>
      </c>
      <c r="L84" s="2" t="s">
        <v>612</v>
      </c>
      <c r="M84" s="2" t="s">
        <v>613</v>
      </c>
      <c r="N84" s="2" t="s">
        <v>73</v>
      </c>
      <c r="O84" s="2" t="s">
        <v>147</v>
      </c>
      <c r="P84" s="2" t="s">
        <v>33</v>
      </c>
      <c r="Q84" s="2" t="s">
        <v>34</v>
      </c>
    </row>
    <row r="85" spans="1:17" ht="20.100000000000001" customHeight="1">
      <c r="A85" t="s">
        <v>614</v>
      </c>
      <c r="B85" t="s">
        <v>599</v>
      </c>
      <c r="C85" s="2" t="s">
        <v>615</v>
      </c>
      <c r="D85" s="2" t="s">
        <v>616</v>
      </c>
      <c r="E85" s="2" t="s">
        <v>617</v>
      </c>
      <c r="F85" s="2" t="s">
        <v>618</v>
      </c>
      <c r="G85" s="2" t="s">
        <v>619</v>
      </c>
      <c r="H85" s="2" t="s">
        <v>620</v>
      </c>
      <c r="I85" s="2" t="s">
        <v>26</v>
      </c>
      <c r="J85" s="2" t="s">
        <v>27</v>
      </c>
      <c r="K85" s="2" t="s">
        <v>28</v>
      </c>
      <c r="L85" s="2" t="s">
        <v>621</v>
      </c>
      <c r="M85" s="2" t="s">
        <v>622</v>
      </c>
      <c r="N85" s="2" t="s">
        <v>31</v>
      </c>
      <c r="O85" s="2" t="s">
        <v>181</v>
      </c>
      <c r="P85" s="2" t="s">
        <v>33</v>
      </c>
      <c r="Q85" s="2" t="s">
        <v>34</v>
      </c>
    </row>
    <row r="86" spans="1:17" ht="20.100000000000001" customHeight="1"/>
    <row r="87" spans="1:17" ht="20.100000000000001" customHeight="1"/>
    <row r="88" spans="1:17" ht="20.100000000000001" customHeight="1"/>
    <row r="89" spans="1:17" ht="20.100000000000001" customHeight="1"/>
    <row r="90" spans="1:17" ht="20.100000000000001" customHeight="1"/>
    <row r="91" spans="1:17" ht="20.100000000000001" customHeight="1"/>
    <row r="92" spans="1:17" ht="20.100000000000001" customHeight="1"/>
    <row r="93" spans="1:17" ht="20.100000000000001" customHeight="1"/>
    <row r="94" spans="1:17" ht="20.100000000000001" customHeight="1"/>
    <row r="95" spans="1:17" ht="20.100000000000001" customHeight="1"/>
    <row r="96" spans="1:17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2">
    <mergeCell ref="A1:Q2"/>
    <mergeCell ref="A3:Q3"/>
  </mergeCells>
  <conditionalFormatting sqref="I6:I85">
    <cfRule type="expression" dxfId="2" priority="1">
      <formula>I6="Critical"</formula>
    </cfRule>
    <cfRule type="expression" dxfId="1" priority="2">
      <formula>I6="High"</formula>
    </cfRule>
  </conditionalFormatting>
  <dataValidations count="3">
    <dataValidation type="list" sqref="I6:I85" xr:uid="{00000000-0002-0000-0000-000000000000}">
      <formula1>"Critical,High,Medium,Low"</formula1>
    </dataValidation>
    <dataValidation type="list" sqref="N6:N85" xr:uid="{00000000-0002-0000-0000-000001000000}">
      <formula1>"Ready,Needs tuning,In testing,Retired"</formula1>
    </dataValidation>
    <dataValidation type="list" sqref="P6:P85" xr:uid="{00000000-0002-0000-00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/>
  </sheetViews>
  <sheetFormatPr defaultRowHeight="14.25"/>
  <cols>
    <col min="1" max="1" width="12" customWidth="1"/>
    <col min="2" max="2" width="15" customWidth="1"/>
    <col min="3" max="3" width="48" customWidth="1"/>
    <col min="4" max="4" width="27" customWidth="1"/>
    <col min="5" max="5" width="55" customWidth="1"/>
    <col min="6" max="6" width="28" customWidth="1"/>
    <col min="7" max="7" width="18" customWidth="1"/>
    <col min="8" max="9" width="11" customWidth="1"/>
    <col min="10" max="10" width="40" customWidth="1"/>
    <col min="11" max="11" width="45" customWidth="1"/>
    <col min="12" max="12" width="13" customWidth="1"/>
  </cols>
  <sheetData>
    <row r="1" spans="1:12" ht="20.100000000000001" customHeight="1">
      <c r="A1" s="6" t="s">
        <v>623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0.100000000000001" customHeight="1"/>
    <row r="4" spans="1:12" ht="20.100000000000001" customHeight="1">
      <c r="A4" s="1" t="s">
        <v>624</v>
      </c>
      <c r="B4" s="1" t="s">
        <v>2</v>
      </c>
      <c r="C4" s="1" t="s">
        <v>625</v>
      </c>
      <c r="D4" s="1" t="s">
        <v>626</v>
      </c>
      <c r="E4" s="1" t="s">
        <v>627</v>
      </c>
      <c r="F4" s="1" t="s">
        <v>628</v>
      </c>
      <c r="G4" s="1" t="s">
        <v>629</v>
      </c>
      <c r="H4" s="1" t="s">
        <v>630</v>
      </c>
      <c r="I4" s="1" t="s">
        <v>631</v>
      </c>
      <c r="J4" s="1" t="s">
        <v>632</v>
      </c>
      <c r="K4" s="1" t="s">
        <v>633</v>
      </c>
      <c r="L4" s="1" t="s">
        <v>634</v>
      </c>
    </row>
    <row r="5" spans="1:12" ht="20.100000000000001" customHeight="1">
      <c r="A5" t="s">
        <v>635</v>
      </c>
      <c r="B5" t="s">
        <v>19</v>
      </c>
      <c r="C5" s="2" t="s">
        <v>636</v>
      </c>
      <c r="D5" s="2" t="s">
        <v>23</v>
      </c>
      <c r="E5" s="2" t="s">
        <v>637</v>
      </c>
      <c r="F5" s="2" t="s">
        <v>638</v>
      </c>
      <c r="G5" s="2" t="s">
        <v>66</v>
      </c>
      <c r="H5" s="2" t="s">
        <v>482</v>
      </c>
      <c r="I5" s="2" t="s">
        <v>27</v>
      </c>
      <c r="J5" s="2" t="s">
        <v>639</v>
      </c>
      <c r="K5" s="2" t="s">
        <v>640</v>
      </c>
      <c r="L5" s="2" t="s">
        <v>641</v>
      </c>
    </row>
    <row r="6" spans="1:12" ht="20.100000000000001" customHeight="1">
      <c r="A6" t="s">
        <v>642</v>
      </c>
      <c r="B6" t="s">
        <v>19</v>
      </c>
      <c r="C6" s="2" t="s">
        <v>643</v>
      </c>
      <c r="D6" s="2" t="s">
        <v>23</v>
      </c>
      <c r="E6" s="2" t="s">
        <v>644</v>
      </c>
      <c r="F6" s="2" t="s">
        <v>645</v>
      </c>
      <c r="G6" s="2" t="s">
        <v>66</v>
      </c>
      <c r="H6" s="2" t="s">
        <v>482</v>
      </c>
      <c r="I6" s="2" t="s">
        <v>26</v>
      </c>
      <c r="J6" s="2" t="s">
        <v>646</v>
      </c>
      <c r="K6" s="2" t="s">
        <v>647</v>
      </c>
      <c r="L6" s="2" t="s">
        <v>641</v>
      </c>
    </row>
    <row r="7" spans="1:12" ht="20.100000000000001" customHeight="1">
      <c r="A7" t="s">
        <v>648</v>
      </c>
      <c r="B7" t="s">
        <v>19</v>
      </c>
      <c r="C7" s="2" t="s">
        <v>649</v>
      </c>
      <c r="D7" s="2" t="s">
        <v>23</v>
      </c>
      <c r="E7" s="2" t="s">
        <v>650</v>
      </c>
      <c r="F7" s="2" t="s">
        <v>651</v>
      </c>
      <c r="G7" s="2" t="s">
        <v>22</v>
      </c>
      <c r="H7" s="2" t="s">
        <v>482</v>
      </c>
      <c r="I7" s="2" t="s">
        <v>26</v>
      </c>
      <c r="J7" s="2" t="s">
        <v>652</v>
      </c>
      <c r="K7" s="2" t="s">
        <v>653</v>
      </c>
      <c r="L7" s="2" t="s">
        <v>641</v>
      </c>
    </row>
    <row r="8" spans="1:12" ht="20.100000000000001" customHeight="1">
      <c r="A8" t="s">
        <v>654</v>
      </c>
      <c r="B8" t="s">
        <v>19</v>
      </c>
      <c r="C8" s="2" t="s">
        <v>655</v>
      </c>
      <c r="D8" s="2" t="s">
        <v>23</v>
      </c>
      <c r="E8" s="2" t="s">
        <v>656</v>
      </c>
      <c r="F8" s="2" t="s">
        <v>657</v>
      </c>
      <c r="G8" s="2" t="s">
        <v>66</v>
      </c>
      <c r="H8" s="2" t="s">
        <v>658</v>
      </c>
      <c r="I8" s="2" t="s">
        <v>27</v>
      </c>
      <c r="J8" s="2" t="s">
        <v>659</v>
      </c>
      <c r="K8" s="2" t="s">
        <v>660</v>
      </c>
      <c r="L8" s="2" t="s">
        <v>641</v>
      </c>
    </row>
    <row r="9" spans="1:12" ht="20.100000000000001" customHeight="1">
      <c r="A9" t="s">
        <v>661</v>
      </c>
      <c r="B9" t="s">
        <v>120</v>
      </c>
      <c r="C9" s="2" t="s">
        <v>662</v>
      </c>
      <c r="D9" s="2" t="s">
        <v>23</v>
      </c>
      <c r="E9" s="2" t="s">
        <v>663</v>
      </c>
      <c r="F9" s="2" t="s">
        <v>664</v>
      </c>
      <c r="G9" s="2" t="s">
        <v>123</v>
      </c>
      <c r="H9" s="2" t="s">
        <v>482</v>
      </c>
      <c r="I9" s="2" t="s">
        <v>26</v>
      </c>
      <c r="J9" s="2" t="s">
        <v>665</v>
      </c>
      <c r="K9" s="2" t="s">
        <v>666</v>
      </c>
      <c r="L9" s="2" t="s">
        <v>641</v>
      </c>
    </row>
    <row r="10" spans="1:12" ht="20.100000000000001" customHeight="1">
      <c r="A10" t="s">
        <v>667</v>
      </c>
      <c r="B10" t="s">
        <v>166</v>
      </c>
      <c r="C10" s="2" t="s">
        <v>668</v>
      </c>
      <c r="D10" s="2" t="s">
        <v>669</v>
      </c>
      <c r="E10" s="2" t="s">
        <v>670</v>
      </c>
      <c r="F10" s="2" t="s">
        <v>671</v>
      </c>
      <c r="G10" s="2" t="s">
        <v>169</v>
      </c>
      <c r="H10" s="2" t="s">
        <v>482</v>
      </c>
      <c r="I10" s="2" t="s">
        <v>26</v>
      </c>
      <c r="J10" s="2" t="s">
        <v>672</v>
      </c>
      <c r="K10" s="2" t="s">
        <v>673</v>
      </c>
      <c r="L10" s="2" t="s">
        <v>641</v>
      </c>
    </row>
    <row r="11" spans="1:12" ht="20.100000000000001" customHeight="1">
      <c r="A11" t="s">
        <v>674</v>
      </c>
      <c r="B11" t="s">
        <v>166</v>
      </c>
      <c r="C11" s="2" t="s">
        <v>675</v>
      </c>
      <c r="D11" s="2" t="s">
        <v>669</v>
      </c>
      <c r="E11" s="2" t="s">
        <v>676</v>
      </c>
      <c r="F11" s="2" t="s">
        <v>677</v>
      </c>
      <c r="G11" s="2" t="s">
        <v>212</v>
      </c>
      <c r="H11" s="2" t="s">
        <v>482</v>
      </c>
      <c r="I11" s="2" t="s">
        <v>27</v>
      </c>
      <c r="J11" s="2" t="s">
        <v>678</v>
      </c>
      <c r="K11" s="2" t="s">
        <v>679</v>
      </c>
      <c r="L11" s="2" t="s">
        <v>641</v>
      </c>
    </row>
    <row r="12" spans="1:12" ht="20.100000000000001" customHeight="1">
      <c r="A12" t="s">
        <v>680</v>
      </c>
      <c r="B12" t="s">
        <v>219</v>
      </c>
      <c r="C12" s="2" t="s">
        <v>681</v>
      </c>
      <c r="D12" s="2" t="s">
        <v>223</v>
      </c>
      <c r="E12" s="2" t="s">
        <v>682</v>
      </c>
      <c r="F12" s="2" t="s">
        <v>205</v>
      </c>
      <c r="G12" s="2" t="s">
        <v>169</v>
      </c>
      <c r="H12" s="2" t="s">
        <v>482</v>
      </c>
      <c r="I12" s="2" t="s">
        <v>27</v>
      </c>
      <c r="J12" s="2" t="s">
        <v>683</v>
      </c>
      <c r="K12" s="2" t="s">
        <v>684</v>
      </c>
      <c r="L12" s="2" t="s">
        <v>641</v>
      </c>
    </row>
    <row r="13" spans="1:12" ht="20.100000000000001" customHeight="1">
      <c r="A13" t="s">
        <v>685</v>
      </c>
      <c r="B13" t="s">
        <v>219</v>
      </c>
      <c r="C13" s="2" t="s">
        <v>686</v>
      </c>
      <c r="D13" s="2" t="s">
        <v>687</v>
      </c>
      <c r="E13" s="2" t="s">
        <v>688</v>
      </c>
      <c r="F13" s="2" t="s">
        <v>689</v>
      </c>
      <c r="G13" s="2" t="s">
        <v>690</v>
      </c>
      <c r="H13" s="2" t="s">
        <v>482</v>
      </c>
      <c r="I13" s="2" t="s">
        <v>26</v>
      </c>
      <c r="J13" s="2" t="s">
        <v>691</v>
      </c>
      <c r="K13" s="2" t="s">
        <v>692</v>
      </c>
      <c r="L13" s="2" t="s">
        <v>641</v>
      </c>
    </row>
    <row r="14" spans="1:12" ht="20.100000000000001" customHeight="1">
      <c r="A14" t="s">
        <v>693</v>
      </c>
      <c r="B14" t="s">
        <v>253</v>
      </c>
      <c r="C14" s="2" t="s">
        <v>694</v>
      </c>
      <c r="D14" s="2" t="s">
        <v>695</v>
      </c>
      <c r="E14" s="2" t="s">
        <v>696</v>
      </c>
      <c r="F14" s="2" t="s">
        <v>697</v>
      </c>
      <c r="G14" s="2" t="s">
        <v>296</v>
      </c>
      <c r="H14" s="2" t="s">
        <v>698</v>
      </c>
      <c r="I14" s="2" t="s">
        <v>26</v>
      </c>
      <c r="J14" s="2" t="s">
        <v>699</v>
      </c>
      <c r="K14" s="2" t="s">
        <v>700</v>
      </c>
      <c r="L14" s="2" t="s">
        <v>641</v>
      </c>
    </row>
    <row r="15" spans="1:12" ht="20.100000000000001" customHeight="1">
      <c r="A15" t="s">
        <v>701</v>
      </c>
      <c r="B15" t="s">
        <v>253</v>
      </c>
      <c r="C15" s="2" t="s">
        <v>702</v>
      </c>
      <c r="D15" s="2" t="s">
        <v>23</v>
      </c>
      <c r="E15" s="2" t="s">
        <v>703</v>
      </c>
      <c r="F15" s="2" t="s">
        <v>57</v>
      </c>
      <c r="G15" s="2" t="s">
        <v>264</v>
      </c>
      <c r="H15" s="2" t="s">
        <v>482</v>
      </c>
      <c r="I15" s="2" t="s">
        <v>26</v>
      </c>
      <c r="J15" s="2" t="s">
        <v>704</v>
      </c>
      <c r="K15" s="2" t="s">
        <v>705</v>
      </c>
      <c r="L15" s="2" t="s">
        <v>641</v>
      </c>
    </row>
    <row r="16" spans="1:12" ht="20.100000000000001" customHeight="1">
      <c r="A16" t="s">
        <v>706</v>
      </c>
      <c r="B16" t="s">
        <v>253</v>
      </c>
      <c r="C16" s="2" t="s">
        <v>707</v>
      </c>
      <c r="D16" s="2" t="s">
        <v>23</v>
      </c>
      <c r="E16" s="2" t="s">
        <v>708</v>
      </c>
      <c r="F16" s="2" t="s">
        <v>709</v>
      </c>
      <c r="G16" s="2" t="s">
        <v>169</v>
      </c>
      <c r="H16" s="2" t="s">
        <v>482</v>
      </c>
      <c r="I16" s="2" t="s">
        <v>26</v>
      </c>
      <c r="J16" s="2" t="s">
        <v>710</v>
      </c>
      <c r="K16" s="2" t="s">
        <v>711</v>
      </c>
      <c r="L16" s="2" t="s">
        <v>641</v>
      </c>
    </row>
    <row r="17" spans="1:12" ht="20.100000000000001" customHeight="1">
      <c r="A17" t="s">
        <v>712</v>
      </c>
      <c r="B17" t="s">
        <v>329</v>
      </c>
      <c r="C17" s="2" t="s">
        <v>713</v>
      </c>
      <c r="D17" s="2" t="s">
        <v>331</v>
      </c>
      <c r="E17" s="2" t="s">
        <v>714</v>
      </c>
      <c r="F17" s="2" t="s">
        <v>715</v>
      </c>
      <c r="G17" s="2" t="s">
        <v>264</v>
      </c>
      <c r="H17" s="2" t="s">
        <v>482</v>
      </c>
      <c r="I17" s="2" t="s">
        <v>27</v>
      </c>
      <c r="J17" s="2" t="s">
        <v>716</v>
      </c>
      <c r="K17" s="2" t="s">
        <v>717</v>
      </c>
      <c r="L17" s="2" t="s">
        <v>641</v>
      </c>
    </row>
    <row r="18" spans="1:12" ht="20.100000000000001" customHeight="1">
      <c r="A18" t="s">
        <v>718</v>
      </c>
      <c r="B18" t="s">
        <v>329</v>
      </c>
      <c r="C18" s="2" t="s">
        <v>719</v>
      </c>
      <c r="D18" s="2" t="s">
        <v>331</v>
      </c>
      <c r="E18" s="2" t="s">
        <v>720</v>
      </c>
      <c r="F18" s="2" t="s">
        <v>721</v>
      </c>
      <c r="G18" s="2" t="s">
        <v>339</v>
      </c>
      <c r="H18" s="2" t="s">
        <v>698</v>
      </c>
      <c r="I18" s="2" t="s">
        <v>26</v>
      </c>
      <c r="J18" s="2" t="s">
        <v>722</v>
      </c>
      <c r="K18" s="2" t="s">
        <v>723</v>
      </c>
      <c r="L18" s="2" t="s">
        <v>641</v>
      </c>
    </row>
    <row r="19" spans="1:12" ht="20.100000000000001" customHeight="1">
      <c r="A19" t="s">
        <v>724</v>
      </c>
      <c r="B19" t="s">
        <v>329</v>
      </c>
      <c r="C19" s="2" t="s">
        <v>725</v>
      </c>
      <c r="D19" s="2" t="s">
        <v>331</v>
      </c>
      <c r="E19" s="2" t="s">
        <v>726</v>
      </c>
      <c r="F19" s="2" t="s">
        <v>727</v>
      </c>
      <c r="G19" s="2" t="s">
        <v>360</v>
      </c>
      <c r="H19" s="2" t="s">
        <v>482</v>
      </c>
      <c r="I19" s="2" t="s">
        <v>26</v>
      </c>
      <c r="J19" s="2" t="s">
        <v>728</v>
      </c>
      <c r="K19" s="2" t="s">
        <v>729</v>
      </c>
      <c r="L19" s="2" t="s">
        <v>641</v>
      </c>
    </row>
    <row r="20" spans="1:12" ht="20.100000000000001" customHeight="1">
      <c r="A20" t="s">
        <v>730</v>
      </c>
      <c r="B20" t="s">
        <v>402</v>
      </c>
      <c r="C20" s="2" t="s">
        <v>731</v>
      </c>
      <c r="D20" s="2" t="s">
        <v>732</v>
      </c>
      <c r="E20" s="2" t="s">
        <v>733</v>
      </c>
      <c r="F20" s="2" t="s">
        <v>734</v>
      </c>
      <c r="G20" s="2" t="s">
        <v>494</v>
      </c>
      <c r="H20" s="2" t="s">
        <v>698</v>
      </c>
      <c r="I20" s="2" t="s">
        <v>26</v>
      </c>
      <c r="J20" s="2" t="s">
        <v>735</v>
      </c>
      <c r="K20" s="2" t="s">
        <v>736</v>
      </c>
      <c r="L20" s="2" t="s">
        <v>641</v>
      </c>
    </row>
    <row r="21" spans="1:12" ht="20.100000000000001" customHeight="1">
      <c r="A21" t="s">
        <v>737</v>
      </c>
      <c r="B21" t="s">
        <v>738</v>
      </c>
      <c r="C21" s="2" t="s">
        <v>739</v>
      </c>
      <c r="D21" s="2" t="s">
        <v>184</v>
      </c>
      <c r="E21" s="2" t="s">
        <v>740</v>
      </c>
      <c r="F21" s="2" t="s">
        <v>727</v>
      </c>
      <c r="G21" s="2" t="s">
        <v>360</v>
      </c>
      <c r="H21" s="2" t="s">
        <v>482</v>
      </c>
      <c r="I21" s="2" t="s">
        <v>27</v>
      </c>
      <c r="J21" s="2" t="s">
        <v>741</v>
      </c>
      <c r="K21" s="2" t="s">
        <v>742</v>
      </c>
      <c r="L21" s="2" t="s">
        <v>641</v>
      </c>
    </row>
    <row r="22" spans="1:12" ht="20.100000000000001" customHeight="1">
      <c r="A22" t="s">
        <v>743</v>
      </c>
      <c r="B22" t="s">
        <v>471</v>
      </c>
      <c r="C22" s="2" t="s">
        <v>744</v>
      </c>
      <c r="D22" s="2" t="s">
        <v>745</v>
      </c>
      <c r="E22" s="2" t="s">
        <v>746</v>
      </c>
      <c r="F22" s="2" t="s">
        <v>747</v>
      </c>
      <c r="G22" s="2" t="s">
        <v>431</v>
      </c>
      <c r="H22" s="2" t="s">
        <v>482</v>
      </c>
      <c r="I22" s="2" t="s">
        <v>27</v>
      </c>
      <c r="J22" s="2" t="s">
        <v>748</v>
      </c>
      <c r="K22" s="2" t="s">
        <v>749</v>
      </c>
      <c r="L22" s="2" t="s">
        <v>641</v>
      </c>
    </row>
    <row r="23" spans="1:12" ht="20.100000000000001" customHeight="1">
      <c r="A23" t="s">
        <v>750</v>
      </c>
      <c r="B23" t="s">
        <v>471</v>
      </c>
      <c r="C23" s="2" t="s">
        <v>751</v>
      </c>
      <c r="D23" s="2" t="s">
        <v>752</v>
      </c>
      <c r="E23" s="2" t="s">
        <v>753</v>
      </c>
      <c r="F23" s="2" t="s">
        <v>754</v>
      </c>
      <c r="G23" s="2" t="s">
        <v>520</v>
      </c>
      <c r="H23" s="2" t="s">
        <v>482</v>
      </c>
      <c r="I23" s="2" t="s">
        <v>26</v>
      </c>
      <c r="J23" s="2" t="s">
        <v>755</v>
      </c>
      <c r="K23" s="2" t="s">
        <v>756</v>
      </c>
      <c r="L23" s="2" t="s">
        <v>641</v>
      </c>
    </row>
    <row r="24" spans="1:12" ht="20.100000000000001" customHeight="1">
      <c r="A24" t="s">
        <v>757</v>
      </c>
      <c r="B24" t="s">
        <v>599</v>
      </c>
      <c r="C24" s="2" t="s">
        <v>758</v>
      </c>
      <c r="D24" s="2" t="s">
        <v>759</v>
      </c>
      <c r="E24" s="2" t="s">
        <v>760</v>
      </c>
      <c r="F24" s="2" t="s">
        <v>761</v>
      </c>
      <c r="G24" s="2" t="s">
        <v>602</v>
      </c>
      <c r="H24" s="2" t="s">
        <v>482</v>
      </c>
      <c r="I24" s="2" t="s">
        <v>26</v>
      </c>
      <c r="J24" s="2" t="s">
        <v>762</v>
      </c>
      <c r="K24" s="2" t="s">
        <v>763</v>
      </c>
      <c r="L24" s="2" t="s">
        <v>641</v>
      </c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L2"/>
  </mergeCells>
  <dataValidations count="1">
    <dataValidation type="list" sqref="L5:L24" xr:uid="{00000000-0002-0000-0100-000000000000}">
      <formula1>"Planned,In progress,Completed,Recurring,Retired"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/>
  </sheetViews>
  <sheetFormatPr defaultRowHeight="14.25"/>
  <cols>
    <col min="1" max="1" width="12" customWidth="1"/>
    <col min="2" max="2" width="33" customWidth="1"/>
    <col min="3" max="6" width="30" customWidth="1"/>
    <col min="7" max="7" width="11" customWidth="1"/>
    <col min="8" max="8" width="10" customWidth="1"/>
    <col min="9" max="9" width="34" customWidth="1"/>
    <col min="10" max="10" width="48" customWidth="1"/>
  </cols>
  <sheetData>
    <row r="1" spans="1:10" ht="20.100000000000001" customHeight="1">
      <c r="A1" s="6" t="s">
        <v>764</v>
      </c>
      <c r="B1" s="6"/>
      <c r="C1" s="6"/>
      <c r="D1" s="6"/>
      <c r="E1" s="6"/>
      <c r="F1" s="6"/>
      <c r="G1" s="6"/>
      <c r="H1" s="6"/>
      <c r="I1" s="6"/>
      <c r="J1" s="6"/>
    </row>
    <row r="2" spans="1:10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20.100000000000001" customHeight="1"/>
    <row r="4" spans="1:10" ht="20.100000000000001" customHeight="1">
      <c r="A4" s="1" t="s">
        <v>765</v>
      </c>
      <c r="B4" s="1" t="s">
        <v>766</v>
      </c>
      <c r="C4" s="1" t="s">
        <v>767</v>
      </c>
      <c r="D4" s="1" t="s">
        <v>768</v>
      </c>
      <c r="E4" s="1" t="s">
        <v>769</v>
      </c>
      <c r="F4" s="1" t="s">
        <v>770</v>
      </c>
      <c r="G4" s="1" t="s">
        <v>9</v>
      </c>
      <c r="H4" s="1" t="s">
        <v>771</v>
      </c>
      <c r="I4" s="1" t="s">
        <v>772</v>
      </c>
      <c r="J4" s="1" t="s">
        <v>773</v>
      </c>
    </row>
    <row r="5" spans="1:10" ht="20.100000000000001" customHeight="1">
      <c r="A5" t="s">
        <v>774</v>
      </c>
      <c r="B5" s="2" t="s">
        <v>775</v>
      </c>
      <c r="C5" s="2" t="s">
        <v>776</v>
      </c>
      <c r="D5" s="2" t="s">
        <v>777</v>
      </c>
      <c r="E5" s="2" t="s">
        <v>445</v>
      </c>
      <c r="F5" s="2" t="s">
        <v>778</v>
      </c>
      <c r="G5" s="2" t="s">
        <v>26</v>
      </c>
      <c r="H5" s="2" t="s">
        <v>779</v>
      </c>
      <c r="I5" s="2" t="s">
        <v>780</v>
      </c>
      <c r="J5" s="2" t="s">
        <v>781</v>
      </c>
    </row>
    <row r="6" spans="1:10" ht="20.100000000000001" customHeight="1">
      <c r="A6" t="s">
        <v>782</v>
      </c>
      <c r="B6" s="2" t="s">
        <v>783</v>
      </c>
      <c r="C6" s="2" t="s">
        <v>784</v>
      </c>
      <c r="D6" s="2" t="s">
        <v>785</v>
      </c>
      <c r="E6" s="2" t="s">
        <v>786</v>
      </c>
      <c r="F6" s="2" t="s">
        <v>787</v>
      </c>
      <c r="G6" s="2" t="s">
        <v>26</v>
      </c>
      <c r="H6" s="2" t="s">
        <v>788</v>
      </c>
      <c r="I6" s="2" t="s">
        <v>789</v>
      </c>
      <c r="J6" s="2" t="s">
        <v>790</v>
      </c>
    </row>
    <row r="7" spans="1:10" ht="20.100000000000001" customHeight="1">
      <c r="A7" t="s">
        <v>791</v>
      </c>
      <c r="B7" s="2" t="s">
        <v>792</v>
      </c>
      <c r="C7" s="2" t="s">
        <v>793</v>
      </c>
      <c r="D7" s="2" t="s">
        <v>794</v>
      </c>
      <c r="E7" s="2" t="s">
        <v>795</v>
      </c>
      <c r="F7" s="2" t="s">
        <v>796</v>
      </c>
      <c r="G7" s="2" t="s">
        <v>26</v>
      </c>
      <c r="H7" s="2" t="s">
        <v>779</v>
      </c>
      <c r="I7" s="2" t="s">
        <v>797</v>
      </c>
      <c r="J7" s="2" t="s">
        <v>798</v>
      </c>
    </row>
    <row r="8" spans="1:10" ht="20.100000000000001" customHeight="1">
      <c r="A8" t="s">
        <v>799</v>
      </c>
      <c r="B8" s="2" t="s">
        <v>800</v>
      </c>
      <c r="C8" s="2" t="s">
        <v>801</v>
      </c>
      <c r="D8" s="2" t="s">
        <v>802</v>
      </c>
      <c r="E8" s="2" t="s">
        <v>803</v>
      </c>
      <c r="F8" s="2" t="s">
        <v>804</v>
      </c>
      <c r="G8" s="2" t="s">
        <v>26</v>
      </c>
      <c r="H8" s="2" t="s">
        <v>805</v>
      </c>
      <c r="I8" s="2" t="s">
        <v>806</v>
      </c>
      <c r="J8" s="2" t="s">
        <v>807</v>
      </c>
    </row>
    <row r="9" spans="1:10" ht="20.100000000000001" customHeight="1">
      <c r="A9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813</v>
      </c>
      <c r="G9" s="2" t="s">
        <v>26</v>
      </c>
      <c r="H9" s="2" t="s">
        <v>814</v>
      </c>
      <c r="I9" s="2" t="s">
        <v>815</v>
      </c>
      <c r="J9" s="2" t="s">
        <v>816</v>
      </c>
    </row>
    <row r="10" spans="1:10" ht="20.100000000000001" customHeight="1">
      <c r="A10" t="s">
        <v>817</v>
      </c>
      <c r="B10" s="2" t="s">
        <v>818</v>
      </c>
      <c r="C10" s="2" t="s">
        <v>819</v>
      </c>
      <c r="D10" s="2" t="s">
        <v>820</v>
      </c>
      <c r="E10" s="2" t="s">
        <v>777</v>
      </c>
      <c r="F10" s="2" t="s">
        <v>821</v>
      </c>
      <c r="G10" s="2" t="s">
        <v>27</v>
      </c>
      <c r="H10" s="2" t="s">
        <v>822</v>
      </c>
      <c r="I10" s="2" t="s">
        <v>823</v>
      </c>
      <c r="J10" s="2" t="s">
        <v>824</v>
      </c>
    </row>
    <row r="11" spans="1:10" ht="20.100000000000001" customHeight="1">
      <c r="A11" t="s">
        <v>825</v>
      </c>
      <c r="B11" s="2" t="s">
        <v>826</v>
      </c>
      <c r="C11" s="2" t="s">
        <v>827</v>
      </c>
      <c r="D11" s="2" t="s">
        <v>828</v>
      </c>
      <c r="E11" s="2" t="s">
        <v>829</v>
      </c>
      <c r="F11" s="2" t="s">
        <v>830</v>
      </c>
      <c r="G11" s="2" t="s">
        <v>26</v>
      </c>
      <c r="H11" s="2" t="s">
        <v>70</v>
      </c>
      <c r="I11" s="2" t="s">
        <v>831</v>
      </c>
      <c r="J11" s="2" t="s">
        <v>832</v>
      </c>
    </row>
    <row r="12" spans="1:10" ht="20.100000000000001" customHeight="1">
      <c r="A12" t="s">
        <v>833</v>
      </c>
      <c r="B12" s="2" t="s">
        <v>834</v>
      </c>
      <c r="C12" s="2" t="s">
        <v>835</v>
      </c>
      <c r="D12" s="2" t="s">
        <v>836</v>
      </c>
      <c r="E12" s="2" t="s">
        <v>837</v>
      </c>
      <c r="F12" s="2" t="s">
        <v>838</v>
      </c>
      <c r="G12" s="2" t="s">
        <v>26</v>
      </c>
      <c r="H12" s="2" t="s">
        <v>839</v>
      </c>
      <c r="I12" s="2" t="s">
        <v>840</v>
      </c>
      <c r="J12" s="2" t="s">
        <v>841</v>
      </c>
    </row>
    <row r="13" spans="1:10" ht="20.100000000000001" customHeight="1"/>
    <row r="14" spans="1:10" ht="20.100000000000001" customHeight="1"/>
    <row r="15" spans="1:10" ht="20.100000000000001" customHeight="1"/>
    <row r="16" spans="1:10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workbookViewId="0"/>
  </sheetViews>
  <sheetFormatPr defaultRowHeight="14.25"/>
  <cols>
    <col min="1" max="1" width="15" customWidth="1"/>
    <col min="2" max="2" width="35" customWidth="1"/>
    <col min="3" max="3" width="48" customWidth="1"/>
    <col min="4" max="5" width="13" customWidth="1"/>
    <col min="6" max="6" width="32" customWidth="1"/>
    <col min="7" max="7" width="36" customWidth="1"/>
    <col min="8" max="8" width="42" customWidth="1"/>
    <col min="9" max="9" width="36" customWidth="1"/>
    <col min="10" max="10" width="60" customWidth="1"/>
  </cols>
  <sheetData>
    <row r="1" spans="1:10" ht="20.100000000000001" customHeight="1">
      <c r="A1" s="6" t="s">
        <v>842</v>
      </c>
      <c r="B1" s="6"/>
      <c r="C1" s="6"/>
      <c r="D1" s="6"/>
      <c r="E1" s="6"/>
      <c r="F1" s="6"/>
      <c r="G1" s="6"/>
      <c r="H1" s="6"/>
      <c r="I1" s="6"/>
      <c r="J1" s="6"/>
    </row>
    <row r="2" spans="1:10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20.100000000000001" customHeight="1"/>
    <row r="4" spans="1:10" ht="20.100000000000001" customHeight="1">
      <c r="A4" s="1" t="s">
        <v>1</v>
      </c>
      <c r="B4" s="1" t="s">
        <v>3</v>
      </c>
      <c r="C4" s="1" t="s">
        <v>843</v>
      </c>
      <c r="D4" s="1" t="s">
        <v>844</v>
      </c>
      <c r="E4" s="1" t="s">
        <v>845</v>
      </c>
      <c r="F4" s="1" t="s">
        <v>846</v>
      </c>
      <c r="G4" s="1" t="s">
        <v>847</v>
      </c>
      <c r="H4" s="1" t="s">
        <v>848</v>
      </c>
      <c r="I4" s="1" t="s">
        <v>849</v>
      </c>
      <c r="J4" s="1" t="s">
        <v>850</v>
      </c>
    </row>
    <row r="5" spans="1:10" ht="20.100000000000001" customHeight="1">
      <c r="A5" t="s">
        <v>18</v>
      </c>
      <c r="B5" s="2" t="s">
        <v>20</v>
      </c>
      <c r="C5" s="2" t="s">
        <v>30</v>
      </c>
      <c r="D5" s="2" t="s">
        <v>851</v>
      </c>
      <c r="E5" s="4"/>
      <c r="F5" s="2"/>
      <c r="G5" s="2"/>
      <c r="H5" s="2" t="s">
        <v>852</v>
      </c>
      <c r="I5" s="2" t="s">
        <v>853</v>
      </c>
      <c r="J5" s="2" t="s">
        <v>32</v>
      </c>
    </row>
    <row r="6" spans="1:10" ht="20.100000000000001" customHeight="1">
      <c r="A6" t="s">
        <v>35</v>
      </c>
      <c r="B6" s="2" t="s">
        <v>36</v>
      </c>
      <c r="C6" s="2" t="s">
        <v>39</v>
      </c>
      <c r="D6" s="2" t="s">
        <v>851</v>
      </c>
      <c r="E6" s="4"/>
      <c r="F6" s="2"/>
      <c r="G6" s="2"/>
      <c r="H6" s="2" t="s">
        <v>852</v>
      </c>
      <c r="I6" s="2" t="s">
        <v>853</v>
      </c>
      <c r="J6" s="2" t="s">
        <v>32</v>
      </c>
    </row>
    <row r="7" spans="1:10" ht="20.100000000000001" customHeight="1">
      <c r="A7" t="s">
        <v>40</v>
      </c>
      <c r="B7" s="2" t="s">
        <v>41</v>
      </c>
      <c r="C7" s="2" t="s">
        <v>46</v>
      </c>
      <c r="D7" s="2" t="s">
        <v>851</v>
      </c>
      <c r="E7" s="4"/>
      <c r="F7" s="2"/>
      <c r="G7" s="2"/>
      <c r="H7" s="2" t="s">
        <v>852</v>
      </c>
      <c r="I7" s="2" t="s">
        <v>853</v>
      </c>
      <c r="J7" s="2" t="s">
        <v>32</v>
      </c>
    </row>
    <row r="8" spans="1:10" ht="20.100000000000001" customHeight="1">
      <c r="A8" t="s">
        <v>47</v>
      </c>
      <c r="B8" s="2" t="s">
        <v>48</v>
      </c>
      <c r="C8" s="2" t="s">
        <v>53</v>
      </c>
      <c r="D8" s="2" t="s">
        <v>851</v>
      </c>
      <c r="E8" s="4"/>
      <c r="F8" s="2"/>
      <c r="G8" s="2"/>
      <c r="H8" s="2" t="s">
        <v>852</v>
      </c>
      <c r="I8" s="2" t="s">
        <v>853</v>
      </c>
      <c r="J8" s="2" t="s">
        <v>54</v>
      </c>
    </row>
    <row r="9" spans="1:10" ht="20.100000000000001" customHeight="1">
      <c r="A9" t="s">
        <v>55</v>
      </c>
      <c r="B9" s="2" t="s">
        <v>56</v>
      </c>
      <c r="C9" s="2" t="s">
        <v>62</v>
      </c>
      <c r="D9" s="2" t="s">
        <v>851</v>
      </c>
      <c r="E9" s="4"/>
      <c r="F9" s="2"/>
      <c r="G9" s="2"/>
      <c r="H9" s="2" t="s">
        <v>852</v>
      </c>
      <c r="I9" s="2" t="s">
        <v>853</v>
      </c>
      <c r="J9" s="2" t="s">
        <v>32</v>
      </c>
    </row>
    <row r="10" spans="1:10" ht="20.100000000000001" customHeight="1">
      <c r="A10" t="s">
        <v>63</v>
      </c>
      <c r="B10" s="2" t="s">
        <v>64</v>
      </c>
      <c r="C10" s="2" t="s">
        <v>72</v>
      </c>
      <c r="D10" s="2" t="s">
        <v>851</v>
      </c>
      <c r="E10" s="4"/>
      <c r="F10" s="2"/>
      <c r="G10" s="2"/>
      <c r="H10" s="2" t="s">
        <v>852</v>
      </c>
      <c r="I10" s="2" t="s">
        <v>853</v>
      </c>
      <c r="J10" s="2" t="s">
        <v>74</v>
      </c>
    </row>
    <row r="11" spans="1:10" ht="20.100000000000001" customHeight="1">
      <c r="A11" t="s">
        <v>75</v>
      </c>
      <c r="B11" s="2" t="s">
        <v>76</v>
      </c>
      <c r="C11" s="2" t="s">
        <v>83</v>
      </c>
      <c r="D11" s="2" t="s">
        <v>851</v>
      </c>
      <c r="E11" s="4"/>
      <c r="F11" s="2"/>
      <c r="G11" s="2"/>
      <c r="H11" s="2" t="s">
        <v>852</v>
      </c>
      <c r="I11" s="2" t="s">
        <v>853</v>
      </c>
      <c r="J11" s="2" t="s">
        <v>32</v>
      </c>
    </row>
    <row r="12" spans="1:10" ht="20.100000000000001" customHeight="1">
      <c r="A12" t="s">
        <v>84</v>
      </c>
      <c r="B12" s="2" t="s">
        <v>85</v>
      </c>
      <c r="C12" s="2" t="s">
        <v>88</v>
      </c>
      <c r="D12" s="2" t="s">
        <v>851</v>
      </c>
      <c r="E12" s="4"/>
      <c r="F12" s="2"/>
      <c r="G12" s="2"/>
      <c r="H12" s="2" t="s">
        <v>852</v>
      </c>
      <c r="I12" s="2" t="s">
        <v>853</v>
      </c>
      <c r="J12" s="2" t="s">
        <v>32</v>
      </c>
    </row>
    <row r="13" spans="1:10" ht="20.100000000000001" customHeight="1">
      <c r="A13" t="s">
        <v>89</v>
      </c>
      <c r="B13" s="2" t="s">
        <v>90</v>
      </c>
      <c r="C13" s="2" t="s">
        <v>95</v>
      </c>
      <c r="D13" s="2" t="s">
        <v>851</v>
      </c>
      <c r="E13" s="4"/>
      <c r="F13" s="2"/>
      <c r="G13" s="2"/>
      <c r="H13" s="2" t="s">
        <v>852</v>
      </c>
      <c r="I13" s="2" t="s">
        <v>853</v>
      </c>
      <c r="J13" s="2" t="s">
        <v>96</v>
      </c>
    </row>
    <row r="14" spans="1:10" ht="20.100000000000001" customHeight="1">
      <c r="A14" t="s">
        <v>97</v>
      </c>
      <c r="B14" s="2" t="s">
        <v>98</v>
      </c>
      <c r="C14" s="2" t="s">
        <v>103</v>
      </c>
      <c r="D14" s="2" t="s">
        <v>851</v>
      </c>
      <c r="E14" s="4"/>
      <c r="F14" s="2"/>
      <c r="G14" s="2"/>
      <c r="H14" s="2" t="s">
        <v>852</v>
      </c>
      <c r="I14" s="2" t="s">
        <v>853</v>
      </c>
      <c r="J14" s="2" t="s">
        <v>32</v>
      </c>
    </row>
    <row r="15" spans="1:10" ht="20.100000000000001" customHeight="1">
      <c r="A15" t="s">
        <v>104</v>
      </c>
      <c r="B15" s="2" t="s">
        <v>105</v>
      </c>
      <c r="C15" s="2" t="s">
        <v>111</v>
      </c>
      <c r="D15" s="2" t="s">
        <v>851</v>
      </c>
      <c r="E15" s="4"/>
      <c r="F15" s="2"/>
      <c r="G15" s="2"/>
      <c r="H15" s="2" t="s">
        <v>852</v>
      </c>
      <c r="I15" s="2" t="s">
        <v>853</v>
      </c>
      <c r="J15" s="2" t="s">
        <v>112</v>
      </c>
    </row>
    <row r="16" spans="1:10" ht="20.100000000000001" customHeight="1">
      <c r="A16" t="s">
        <v>113</v>
      </c>
      <c r="B16" s="2" t="s">
        <v>114</v>
      </c>
      <c r="C16" s="2" t="s">
        <v>118</v>
      </c>
      <c r="D16" s="2" t="s">
        <v>851</v>
      </c>
      <c r="E16" s="4"/>
      <c r="F16" s="2"/>
      <c r="G16" s="2"/>
      <c r="H16" s="2" t="s">
        <v>852</v>
      </c>
      <c r="I16" s="2" t="s">
        <v>853</v>
      </c>
      <c r="J16" s="2" t="s">
        <v>32</v>
      </c>
    </row>
    <row r="17" spans="1:10" ht="20.100000000000001" customHeight="1">
      <c r="A17" t="s">
        <v>119</v>
      </c>
      <c r="B17" s="2" t="s">
        <v>121</v>
      </c>
      <c r="C17" s="2" t="s">
        <v>127</v>
      </c>
      <c r="D17" s="2" t="s">
        <v>851</v>
      </c>
      <c r="E17" s="4"/>
      <c r="F17" s="2"/>
      <c r="G17" s="2"/>
      <c r="H17" s="2" t="s">
        <v>852</v>
      </c>
      <c r="I17" s="2" t="s">
        <v>853</v>
      </c>
      <c r="J17" s="2" t="s">
        <v>128</v>
      </c>
    </row>
    <row r="18" spans="1:10" ht="20.100000000000001" customHeight="1">
      <c r="A18" t="s">
        <v>129</v>
      </c>
      <c r="B18" s="2" t="s">
        <v>130</v>
      </c>
      <c r="C18" s="2" t="s">
        <v>134</v>
      </c>
      <c r="D18" s="2" t="s">
        <v>851</v>
      </c>
      <c r="E18" s="4"/>
      <c r="F18" s="2"/>
      <c r="G18" s="2"/>
      <c r="H18" s="2" t="s">
        <v>852</v>
      </c>
      <c r="I18" s="2" t="s">
        <v>853</v>
      </c>
      <c r="J18" s="2" t="s">
        <v>128</v>
      </c>
    </row>
    <row r="19" spans="1:10" ht="20.100000000000001" customHeight="1">
      <c r="A19" t="s">
        <v>135</v>
      </c>
      <c r="B19" s="2" t="s">
        <v>136</v>
      </c>
      <c r="C19" s="2" t="s">
        <v>140</v>
      </c>
      <c r="D19" s="2" t="s">
        <v>851</v>
      </c>
      <c r="E19" s="4"/>
      <c r="F19" s="2"/>
      <c r="G19" s="2"/>
      <c r="H19" s="2" t="s">
        <v>852</v>
      </c>
      <c r="I19" s="2" t="s">
        <v>853</v>
      </c>
      <c r="J19" s="2" t="s">
        <v>32</v>
      </c>
    </row>
    <row r="20" spans="1:10" ht="20.100000000000001" customHeight="1">
      <c r="A20" t="s">
        <v>141</v>
      </c>
      <c r="B20" s="2" t="s">
        <v>142</v>
      </c>
      <c r="C20" s="2" t="s">
        <v>146</v>
      </c>
      <c r="D20" s="2" t="s">
        <v>851</v>
      </c>
      <c r="E20" s="4"/>
      <c r="F20" s="2"/>
      <c r="G20" s="2"/>
      <c r="H20" s="2" t="s">
        <v>852</v>
      </c>
      <c r="I20" s="2" t="s">
        <v>853</v>
      </c>
      <c r="J20" s="2" t="s">
        <v>147</v>
      </c>
    </row>
    <row r="21" spans="1:10" ht="20.100000000000001" customHeight="1">
      <c r="A21" t="s">
        <v>148</v>
      </c>
      <c r="B21" s="2" t="s">
        <v>149</v>
      </c>
      <c r="C21" s="2" t="s">
        <v>156</v>
      </c>
      <c r="D21" s="2" t="s">
        <v>851</v>
      </c>
      <c r="E21" s="4"/>
      <c r="F21" s="2"/>
      <c r="G21" s="2"/>
      <c r="H21" s="2" t="s">
        <v>852</v>
      </c>
      <c r="I21" s="2" t="s">
        <v>853</v>
      </c>
      <c r="J21" s="2" t="s">
        <v>157</v>
      </c>
    </row>
    <row r="22" spans="1:10" ht="20.100000000000001" customHeight="1">
      <c r="A22" t="s">
        <v>158</v>
      </c>
      <c r="B22" s="2" t="s">
        <v>159</v>
      </c>
      <c r="C22" s="2" t="s">
        <v>163</v>
      </c>
      <c r="D22" s="2" t="s">
        <v>851</v>
      </c>
      <c r="E22" s="4"/>
      <c r="F22" s="2"/>
      <c r="G22" s="2"/>
      <c r="H22" s="2" t="s">
        <v>852</v>
      </c>
      <c r="I22" s="2" t="s">
        <v>853</v>
      </c>
      <c r="J22" s="2" t="s">
        <v>164</v>
      </c>
    </row>
    <row r="23" spans="1:10" ht="20.100000000000001" customHeight="1">
      <c r="A23" t="s">
        <v>165</v>
      </c>
      <c r="B23" s="2" t="s">
        <v>167</v>
      </c>
      <c r="C23" s="2" t="s">
        <v>173</v>
      </c>
      <c r="D23" s="2" t="s">
        <v>851</v>
      </c>
      <c r="E23" s="4"/>
      <c r="F23" s="2"/>
      <c r="G23" s="2"/>
      <c r="H23" s="2" t="s">
        <v>852</v>
      </c>
      <c r="I23" s="2" t="s">
        <v>853</v>
      </c>
      <c r="J23" s="2" t="s">
        <v>174</v>
      </c>
    </row>
    <row r="24" spans="1:10" ht="20.100000000000001" customHeight="1">
      <c r="A24" t="s">
        <v>175</v>
      </c>
      <c r="B24" s="2" t="s">
        <v>176</v>
      </c>
      <c r="C24" s="2" t="s">
        <v>180</v>
      </c>
      <c r="D24" s="2" t="s">
        <v>851</v>
      </c>
      <c r="E24" s="4"/>
      <c r="F24" s="2"/>
      <c r="G24" s="2"/>
      <c r="H24" s="2" t="s">
        <v>852</v>
      </c>
      <c r="I24" s="2" t="s">
        <v>853</v>
      </c>
      <c r="J24" s="2" t="s">
        <v>181</v>
      </c>
    </row>
    <row r="25" spans="1:10" ht="20.100000000000001" customHeight="1">
      <c r="A25" t="s">
        <v>182</v>
      </c>
      <c r="B25" s="2" t="s">
        <v>183</v>
      </c>
      <c r="C25" s="2" t="s">
        <v>188</v>
      </c>
      <c r="D25" s="2" t="s">
        <v>851</v>
      </c>
      <c r="E25" s="4"/>
      <c r="F25" s="2"/>
      <c r="G25" s="2"/>
      <c r="H25" s="2" t="s">
        <v>852</v>
      </c>
      <c r="I25" s="2" t="s">
        <v>853</v>
      </c>
      <c r="J25" s="2" t="s">
        <v>147</v>
      </c>
    </row>
    <row r="26" spans="1:10" ht="20.100000000000001" customHeight="1">
      <c r="A26" t="s">
        <v>189</v>
      </c>
      <c r="B26" s="2" t="s">
        <v>190</v>
      </c>
      <c r="C26" s="2" t="s">
        <v>196</v>
      </c>
      <c r="D26" s="2" t="s">
        <v>851</v>
      </c>
      <c r="E26" s="4"/>
      <c r="F26" s="2"/>
      <c r="G26" s="2"/>
      <c r="H26" s="2" t="s">
        <v>852</v>
      </c>
      <c r="I26" s="2" t="s">
        <v>853</v>
      </c>
      <c r="J26" s="2" t="s">
        <v>181</v>
      </c>
    </row>
    <row r="27" spans="1:10" ht="20.100000000000001" customHeight="1">
      <c r="A27" t="s">
        <v>197</v>
      </c>
      <c r="B27" s="2" t="s">
        <v>198</v>
      </c>
      <c r="C27" s="2" t="s">
        <v>202</v>
      </c>
      <c r="D27" s="2" t="s">
        <v>851</v>
      </c>
      <c r="E27" s="4"/>
      <c r="F27" s="2"/>
      <c r="G27" s="2"/>
      <c r="H27" s="2" t="s">
        <v>852</v>
      </c>
      <c r="I27" s="2" t="s">
        <v>853</v>
      </c>
      <c r="J27" s="2" t="s">
        <v>181</v>
      </c>
    </row>
    <row r="28" spans="1:10" ht="20.100000000000001" customHeight="1">
      <c r="A28" t="s">
        <v>203</v>
      </c>
      <c r="B28" s="2" t="s">
        <v>204</v>
      </c>
      <c r="C28" s="2" t="s">
        <v>208</v>
      </c>
      <c r="D28" s="2" t="s">
        <v>851</v>
      </c>
      <c r="E28" s="4"/>
      <c r="F28" s="2"/>
      <c r="G28" s="2"/>
      <c r="H28" s="2" t="s">
        <v>852</v>
      </c>
      <c r="I28" s="2" t="s">
        <v>853</v>
      </c>
      <c r="J28" s="2" t="s">
        <v>32</v>
      </c>
    </row>
    <row r="29" spans="1:10" ht="20.100000000000001" customHeight="1">
      <c r="A29" t="s">
        <v>209</v>
      </c>
      <c r="B29" s="2" t="s">
        <v>210</v>
      </c>
      <c r="C29" s="2" t="s">
        <v>217</v>
      </c>
      <c r="D29" s="2" t="s">
        <v>851</v>
      </c>
      <c r="E29" s="4"/>
      <c r="F29" s="2"/>
      <c r="G29" s="2"/>
      <c r="H29" s="2" t="s">
        <v>852</v>
      </c>
      <c r="I29" s="2" t="s">
        <v>853</v>
      </c>
      <c r="J29" s="2" t="s">
        <v>181</v>
      </c>
    </row>
    <row r="30" spans="1:10" ht="20.100000000000001" customHeight="1">
      <c r="A30" t="s">
        <v>218</v>
      </c>
      <c r="B30" s="2" t="s">
        <v>220</v>
      </c>
      <c r="C30" s="2" t="s">
        <v>227</v>
      </c>
      <c r="D30" s="2" t="s">
        <v>851</v>
      </c>
      <c r="E30" s="4"/>
      <c r="F30" s="2"/>
      <c r="G30" s="2"/>
      <c r="H30" s="2" t="s">
        <v>852</v>
      </c>
      <c r="I30" s="2" t="s">
        <v>853</v>
      </c>
      <c r="J30" s="2" t="s">
        <v>181</v>
      </c>
    </row>
    <row r="31" spans="1:10" ht="20.100000000000001" customHeight="1">
      <c r="A31" t="s">
        <v>228</v>
      </c>
      <c r="B31" s="2" t="s">
        <v>229</v>
      </c>
      <c r="C31" s="2" t="s">
        <v>232</v>
      </c>
      <c r="D31" s="2" t="s">
        <v>851</v>
      </c>
      <c r="E31" s="4"/>
      <c r="F31" s="2"/>
      <c r="G31" s="2"/>
      <c r="H31" s="2" t="s">
        <v>852</v>
      </c>
      <c r="I31" s="2" t="s">
        <v>853</v>
      </c>
      <c r="J31" s="2" t="s">
        <v>147</v>
      </c>
    </row>
    <row r="32" spans="1:10" ht="20.100000000000001" customHeight="1">
      <c r="A32" t="s">
        <v>233</v>
      </c>
      <c r="B32" s="2" t="s">
        <v>234</v>
      </c>
      <c r="C32" s="2" t="s">
        <v>237</v>
      </c>
      <c r="D32" s="2" t="s">
        <v>851</v>
      </c>
      <c r="E32" s="4"/>
      <c r="F32" s="2"/>
      <c r="G32" s="2"/>
      <c r="H32" s="2" t="s">
        <v>852</v>
      </c>
      <c r="I32" s="2" t="s">
        <v>853</v>
      </c>
      <c r="J32" s="2" t="s">
        <v>32</v>
      </c>
    </row>
    <row r="33" spans="1:10" ht="20.100000000000001" customHeight="1">
      <c r="A33" t="s">
        <v>238</v>
      </c>
      <c r="B33" s="2" t="s">
        <v>239</v>
      </c>
      <c r="C33" s="2" t="s">
        <v>245</v>
      </c>
      <c r="D33" s="2" t="s">
        <v>851</v>
      </c>
      <c r="E33" s="4"/>
      <c r="F33" s="2"/>
      <c r="G33" s="2"/>
      <c r="H33" s="2" t="s">
        <v>852</v>
      </c>
      <c r="I33" s="2" t="s">
        <v>853</v>
      </c>
      <c r="J33" s="2" t="s">
        <v>181</v>
      </c>
    </row>
    <row r="34" spans="1:10" ht="20.100000000000001" customHeight="1">
      <c r="A34" t="s">
        <v>246</v>
      </c>
      <c r="B34" s="2" t="s">
        <v>247</v>
      </c>
      <c r="C34" s="2" t="s">
        <v>251</v>
      </c>
      <c r="D34" s="2" t="s">
        <v>851</v>
      </c>
      <c r="E34" s="4"/>
      <c r="F34" s="2"/>
      <c r="G34" s="2"/>
      <c r="H34" s="2" t="s">
        <v>852</v>
      </c>
      <c r="I34" s="2" t="s">
        <v>853</v>
      </c>
      <c r="J34" s="2" t="s">
        <v>181</v>
      </c>
    </row>
    <row r="35" spans="1:10" ht="20.100000000000001" customHeight="1">
      <c r="A35" t="s">
        <v>252</v>
      </c>
      <c r="B35" s="2" t="s">
        <v>254</v>
      </c>
      <c r="C35" s="2" t="s">
        <v>260</v>
      </c>
      <c r="D35" s="2" t="s">
        <v>851</v>
      </c>
      <c r="E35" s="4"/>
      <c r="F35" s="2"/>
      <c r="G35" s="2"/>
      <c r="H35" s="2" t="s">
        <v>852</v>
      </c>
      <c r="I35" s="2" t="s">
        <v>853</v>
      </c>
      <c r="J35" s="2" t="s">
        <v>261</v>
      </c>
    </row>
    <row r="36" spans="1:10" ht="20.100000000000001" customHeight="1">
      <c r="A36" t="s">
        <v>262</v>
      </c>
      <c r="B36" s="2" t="s">
        <v>263</v>
      </c>
      <c r="C36" s="2" t="s">
        <v>268</v>
      </c>
      <c r="D36" s="2" t="s">
        <v>851</v>
      </c>
      <c r="E36" s="4"/>
      <c r="F36" s="2"/>
      <c r="G36" s="2"/>
      <c r="H36" s="2" t="s">
        <v>852</v>
      </c>
      <c r="I36" s="2" t="s">
        <v>853</v>
      </c>
      <c r="J36" s="2" t="s">
        <v>181</v>
      </c>
    </row>
    <row r="37" spans="1:10" ht="20.100000000000001" customHeight="1">
      <c r="A37" t="s">
        <v>269</v>
      </c>
      <c r="B37" s="2" t="s">
        <v>270</v>
      </c>
      <c r="C37" s="2" t="s">
        <v>276</v>
      </c>
      <c r="D37" s="2" t="s">
        <v>851</v>
      </c>
      <c r="E37" s="4"/>
      <c r="F37" s="2"/>
      <c r="G37" s="2"/>
      <c r="H37" s="2" t="s">
        <v>852</v>
      </c>
      <c r="I37" s="2" t="s">
        <v>853</v>
      </c>
      <c r="J37" s="2" t="s">
        <v>181</v>
      </c>
    </row>
    <row r="38" spans="1:10" ht="20.100000000000001" customHeight="1">
      <c r="A38" t="s">
        <v>277</v>
      </c>
      <c r="B38" s="2" t="s">
        <v>278</v>
      </c>
      <c r="C38" s="2" t="s">
        <v>285</v>
      </c>
      <c r="D38" s="2" t="s">
        <v>851</v>
      </c>
      <c r="E38" s="4"/>
      <c r="F38" s="2"/>
      <c r="G38" s="2"/>
      <c r="H38" s="2" t="s">
        <v>852</v>
      </c>
      <c r="I38" s="2" t="s">
        <v>853</v>
      </c>
      <c r="J38" s="2" t="s">
        <v>286</v>
      </c>
    </row>
    <row r="39" spans="1:10" ht="20.100000000000001" customHeight="1">
      <c r="A39" t="s">
        <v>287</v>
      </c>
      <c r="B39" s="2" t="s">
        <v>288</v>
      </c>
      <c r="C39" s="2" t="s">
        <v>292</v>
      </c>
      <c r="D39" s="2" t="s">
        <v>851</v>
      </c>
      <c r="E39" s="4"/>
      <c r="F39" s="2"/>
      <c r="G39" s="2"/>
      <c r="H39" s="2" t="s">
        <v>852</v>
      </c>
      <c r="I39" s="2" t="s">
        <v>853</v>
      </c>
      <c r="J39" s="2" t="s">
        <v>174</v>
      </c>
    </row>
    <row r="40" spans="1:10" ht="20.100000000000001" customHeight="1">
      <c r="A40" t="s">
        <v>293</v>
      </c>
      <c r="B40" s="2" t="s">
        <v>294</v>
      </c>
      <c r="C40" s="2" t="s">
        <v>299</v>
      </c>
      <c r="D40" s="2" t="s">
        <v>851</v>
      </c>
      <c r="E40" s="4"/>
      <c r="F40" s="2"/>
      <c r="G40" s="2"/>
      <c r="H40" s="2" t="s">
        <v>852</v>
      </c>
      <c r="I40" s="2" t="s">
        <v>853</v>
      </c>
      <c r="J40" s="2" t="s">
        <v>300</v>
      </c>
    </row>
    <row r="41" spans="1:10" ht="20.100000000000001" customHeight="1">
      <c r="A41" t="s">
        <v>301</v>
      </c>
      <c r="B41" s="2" t="s">
        <v>302</v>
      </c>
      <c r="C41" s="2" t="s">
        <v>308</v>
      </c>
      <c r="D41" s="2" t="s">
        <v>851</v>
      </c>
      <c r="E41" s="4"/>
      <c r="F41" s="2"/>
      <c r="G41" s="2"/>
      <c r="H41" s="2" t="s">
        <v>852</v>
      </c>
      <c r="I41" s="2" t="s">
        <v>853</v>
      </c>
      <c r="J41" s="2" t="s">
        <v>300</v>
      </c>
    </row>
    <row r="42" spans="1:10" ht="20.100000000000001" customHeight="1">
      <c r="A42" t="s">
        <v>309</v>
      </c>
      <c r="B42" s="2" t="s">
        <v>310</v>
      </c>
      <c r="C42" s="2" t="s">
        <v>314</v>
      </c>
      <c r="D42" s="2" t="s">
        <v>851</v>
      </c>
      <c r="E42" s="4"/>
      <c r="F42" s="2"/>
      <c r="G42" s="2"/>
      <c r="H42" s="2" t="s">
        <v>852</v>
      </c>
      <c r="I42" s="2" t="s">
        <v>853</v>
      </c>
      <c r="J42" s="2" t="s">
        <v>181</v>
      </c>
    </row>
    <row r="43" spans="1:10" ht="20.100000000000001" customHeight="1">
      <c r="A43" t="s">
        <v>315</v>
      </c>
      <c r="B43" s="2" t="s">
        <v>316</v>
      </c>
      <c r="C43" s="2" t="s">
        <v>320</v>
      </c>
      <c r="D43" s="2" t="s">
        <v>851</v>
      </c>
      <c r="E43" s="4"/>
      <c r="F43" s="2"/>
      <c r="G43" s="2"/>
      <c r="H43" s="2" t="s">
        <v>852</v>
      </c>
      <c r="I43" s="2" t="s">
        <v>853</v>
      </c>
      <c r="J43" s="2" t="s">
        <v>181</v>
      </c>
    </row>
    <row r="44" spans="1:10" ht="20.100000000000001" customHeight="1">
      <c r="A44" t="s">
        <v>321</v>
      </c>
      <c r="B44" s="2" t="s">
        <v>322</v>
      </c>
      <c r="C44" s="2" t="s">
        <v>326</v>
      </c>
      <c r="D44" s="2" t="s">
        <v>851</v>
      </c>
      <c r="E44" s="4"/>
      <c r="F44" s="2"/>
      <c r="G44" s="2"/>
      <c r="H44" s="2" t="s">
        <v>852</v>
      </c>
      <c r="I44" s="2" t="s">
        <v>853</v>
      </c>
      <c r="J44" s="2" t="s">
        <v>327</v>
      </c>
    </row>
    <row r="45" spans="1:10" ht="20.100000000000001" customHeight="1">
      <c r="A45" t="s">
        <v>328</v>
      </c>
      <c r="B45" s="2" t="s">
        <v>330</v>
      </c>
      <c r="C45" s="2" t="s">
        <v>335</v>
      </c>
      <c r="D45" s="2" t="s">
        <v>851</v>
      </c>
      <c r="E45" s="4"/>
      <c r="F45" s="2"/>
      <c r="G45" s="2"/>
      <c r="H45" s="2" t="s">
        <v>852</v>
      </c>
      <c r="I45" s="2" t="s">
        <v>853</v>
      </c>
      <c r="J45" s="2" t="s">
        <v>32</v>
      </c>
    </row>
    <row r="46" spans="1:10" ht="20.100000000000001" customHeight="1">
      <c r="A46" t="s">
        <v>336</v>
      </c>
      <c r="B46" s="2" t="s">
        <v>337</v>
      </c>
      <c r="C46" s="2" t="s">
        <v>343</v>
      </c>
      <c r="D46" s="2" t="s">
        <v>851</v>
      </c>
      <c r="E46" s="4"/>
      <c r="F46" s="2"/>
      <c r="G46" s="2"/>
      <c r="H46" s="2" t="s">
        <v>852</v>
      </c>
      <c r="I46" s="2" t="s">
        <v>853</v>
      </c>
      <c r="J46" s="2" t="s">
        <v>300</v>
      </c>
    </row>
    <row r="47" spans="1:10" ht="20.100000000000001" customHeight="1">
      <c r="A47" t="s">
        <v>344</v>
      </c>
      <c r="B47" s="2" t="s">
        <v>345</v>
      </c>
      <c r="C47" s="2" t="s">
        <v>350</v>
      </c>
      <c r="D47" s="2" t="s">
        <v>851</v>
      </c>
      <c r="E47" s="4"/>
      <c r="F47" s="2"/>
      <c r="G47" s="2"/>
      <c r="H47" s="2" t="s">
        <v>852</v>
      </c>
      <c r="I47" s="2" t="s">
        <v>853</v>
      </c>
      <c r="J47" s="2" t="s">
        <v>300</v>
      </c>
    </row>
    <row r="48" spans="1:10" ht="20.100000000000001" customHeight="1">
      <c r="A48" t="s">
        <v>351</v>
      </c>
      <c r="B48" s="2" t="s">
        <v>352</v>
      </c>
      <c r="C48" s="2" t="s">
        <v>357</v>
      </c>
      <c r="D48" s="2" t="s">
        <v>851</v>
      </c>
      <c r="E48" s="4"/>
      <c r="F48" s="2"/>
      <c r="G48" s="2"/>
      <c r="H48" s="2" t="s">
        <v>852</v>
      </c>
      <c r="I48" s="2" t="s">
        <v>853</v>
      </c>
      <c r="J48" s="2" t="s">
        <v>32</v>
      </c>
    </row>
    <row r="49" spans="1:10" ht="20.100000000000001" customHeight="1">
      <c r="A49" t="s">
        <v>358</v>
      </c>
      <c r="B49" s="2" t="s">
        <v>359</v>
      </c>
      <c r="C49" s="2" t="s">
        <v>364</v>
      </c>
      <c r="D49" s="2" t="s">
        <v>851</v>
      </c>
      <c r="E49" s="4"/>
      <c r="F49" s="2"/>
      <c r="G49" s="2"/>
      <c r="H49" s="2" t="s">
        <v>852</v>
      </c>
      <c r="I49" s="2" t="s">
        <v>853</v>
      </c>
      <c r="J49" s="2" t="s">
        <v>365</v>
      </c>
    </row>
    <row r="50" spans="1:10" ht="20.100000000000001" customHeight="1">
      <c r="A50" t="s">
        <v>366</v>
      </c>
      <c r="B50" s="2" t="s">
        <v>367</v>
      </c>
      <c r="C50" s="2" t="s">
        <v>372</v>
      </c>
      <c r="D50" s="2" t="s">
        <v>851</v>
      </c>
      <c r="E50" s="4"/>
      <c r="F50" s="2"/>
      <c r="G50" s="2"/>
      <c r="H50" s="2" t="s">
        <v>852</v>
      </c>
      <c r="I50" s="2" t="s">
        <v>853</v>
      </c>
      <c r="J50" s="2" t="s">
        <v>32</v>
      </c>
    </row>
    <row r="51" spans="1:10" ht="20.100000000000001" customHeight="1">
      <c r="A51" t="s">
        <v>373</v>
      </c>
      <c r="B51" s="2" t="s">
        <v>374</v>
      </c>
      <c r="C51" s="2" t="s">
        <v>379</v>
      </c>
      <c r="D51" s="2" t="s">
        <v>851</v>
      </c>
      <c r="E51" s="4"/>
      <c r="F51" s="2"/>
      <c r="G51" s="2"/>
      <c r="H51" s="2" t="s">
        <v>852</v>
      </c>
      <c r="I51" s="2" t="s">
        <v>853</v>
      </c>
      <c r="J51" s="2" t="s">
        <v>300</v>
      </c>
    </row>
    <row r="52" spans="1:10" ht="20.100000000000001" customHeight="1">
      <c r="A52" t="s">
        <v>380</v>
      </c>
      <c r="B52" s="2" t="s">
        <v>381</v>
      </c>
      <c r="C52" s="2" t="s">
        <v>385</v>
      </c>
      <c r="D52" s="2" t="s">
        <v>851</v>
      </c>
      <c r="E52" s="4"/>
      <c r="F52" s="2"/>
      <c r="G52" s="2"/>
      <c r="H52" s="2" t="s">
        <v>852</v>
      </c>
      <c r="I52" s="2" t="s">
        <v>853</v>
      </c>
      <c r="J52" s="2" t="s">
        <v>32</v>
      </c>
    </row>
    <row r="53" spans="1:10" ht="20.100000000000001" customHeight="1">
      <c r="A53" t="s">
        <v>386</v>
      </c>
      <c r="B53" s="2" t="s">
        <v>387</v>
      </c>
      <c r="C53" s="2" t="s">
        <v>392</v>
      </c>
      <c r="D53" s="2" t="s">
        <v>851</v>
      </c>
      <c r="E53" s="4"/>
      <c r="F53" s="2"/>
      <c r="G53" s="2"/>
      <c r="H53" s="2" t="s">
        <v>852</v>
      </c>
      <c r="I53" s="2" t="s">
        <v>853</v>
      </c>
      <c r="J53" s="2" t="s">
        <v>164</v>
      </c>
    </row>
    <row r="54" spans="1:10" ht="20.100000000000001" customHeight="1">
      <c r="A54" t="s">
        <v>393</v>
      </c>
      <c r="B54" s="2" t="s">
        <v>394</v>
      </c>
      <c r="C54" s="2" t="s">
        <v>399</v>
      </c>
      <c r="D54" s="2" t="s">
        <v>851</v>
      </c>
      <c r="E54" s="4"/>
      <c r="F54" s="2"/>
      <c r="G54" s="2"/>
      <c r="H54" s="2" t="s">
        <v>852</v>
      </c>
      <c r="I54" s="2" t="s">
        <v>853</v>
      </c>
      <c r="J54" s="2" t="s">
        <v>400</v>
      </c>
    </row>
    <row r="55" spans="1:10" ht="20.100000000000001" customHeight="1">
      <c r="A55" t="s">
        <v>401</v>
      </c>
      <c r="B55" s="2" t="s">
        <v>403</v>
      </c>
      <c r="C55" s="2" t="s">
        <v>408</v>
      </c>
      <c r="D55" s="2" t="s">
        <v>851</v>
      </c>
      <c r="E55" s="4"/>
      <c r="F55" s="2"/>
      <c r="G55" s="2"/>
      <c r="H55" s="2" t="s">
        <v>852</v>
      </c>
      <c r="I55" s="2" t="s">
        <v>853</v>
      </c>
      <c r="J55" s="2" t="s">
        <v>32</v>
      </c>
    </row>
    <row r="56" spans="1:10" ht="20.100000000000001" customHeight="1">
      <c r="A56" t="s">
        <v>409</v>
      </c>
      <c r="B56" s="2" t="s">
        <v>410</v>
      </c>
      <c r="C56" s="2" t="s">
        <v>414</v>
      </c>
      <c r="D56" s="2" t="s">
        <v>851</v>
      </c>
      <c r="E56" s="4"/>
      <c r="F56" s="2"/>
      <c r="G56" s="2"/>
      <c r="H56" s="2" t="s">
        <v>852</v>
      </c>
      <c r="I56" s="2" t="s">
        <v>853</v>
      </c>
      <c r="J56" s="2" t="s">
        <v>181</v>
      </c>
    </row>
    <row r="57" spans="1:10" ht="20.100000000000001" customHeight="1">
      <c r="A57" t="s">
        <v>415</v>
      </c>
      <c r="B57" s="2" t="s">
        <v>416</v>
      </c>
      <c r="C57" s="2" t="s">
        <v>421</v>
      </c>
      <c r="D57" s="2" t="s">
        <v>851</v>
      </c>
      <c r="E57" s="4"/>
      <c r="F57" s="2"/>
      <c r="G57" s="2"/>
      <c r="H57" s="2" t="s">
        <v>852</v>
      </c>
      <c r="I57" s="2" t="s">
        <v>853</v>
      </c>
      <c r="J57" s="2" t="s">
        <v>422</v>
      </c>
    </row>
    <row r="58" spans="1:10" ht="20.100000000000001" customHeight="1">
      <c r="A58" t="s">
        <v>423</v>
      </c>
      <c r="B58" s="2" t="s">
        <v>424</v>
      </c>
      <c r="C58" s="2" t="s">
        <v>427</v>
      </c>
      <c r="D58" s="2" t="s">
        <v>851</v>
      </c>
      <c r="E58" s="4"/>
      <c r="F58" s="2"/>
      <c r="G58" s="2"/>
      <c r="H58" s="2" t="s">
        <v>852</v>
      </c>
      <c r="I58" s="2" t="s">
        <v>853</v>
      </c>
      <c r="J58" s="2" t="s">
        <v>365</v>
      </c>
    </row>
    <row r="59" spans="1:10" ht="20.100000000000001" customHeight="1">
      <c r="A59" t="s">
        <v>428</v>
      </c>
      <c r="B59" s="2" t="s">
        <v>429</v>
      </c>
      <c r="C59" s="2" t="s">
        <v>436</v>
      </c>
      <c r="D59" s="2" t="s">
        <v>851</v>
      </c>
      <c r="E59" s="4"/>
      <c r="F59" s="2"/>
      <c r="G59" s="2"/>
      <c r="H59" s="2" t="s">
        <v>852</v>
      </c>
      <c r="I59" s="2" t="s">
        <v>853</v>
      </c>
      <c r="J59" s="2" t="s">
        <v>422</v>
      </c>
    </row>
    <row r="60" spans="1:10" ht="20.100000000000001" customHeight="1">
      <c r="A60" t="s">
        <v>437</v>
      </c>
      <c r="B60" s="2" t="s">
        <v>439</v>
      </c>
      <c r="C60" s="2" t="s">
        <v>443</v>
      </c>
      <c r="D60" s="2" t="s">
        <v>851</v>
      </c>
      <c r="E60" s="4"/>
      <c r="F60" s="2"/>
      <c r="G60" s="2"/>
      <c r="H60" s="2" t="s">
        <v>852</v>
      </c>
      <c r="I60" s="2" t="s">
        <v>853</v>
      </c>
      <c r="J60" s="2" t="s">
        <v>365</v>
      </c>
    </row>
    <row r="61" spans="1:10" ht="20.100000000000001" customHeight="1">
      <c r="A61" t="s">
        <v>444</v>
      </c>
      <c r="B61" s="2" t="s">
        <v>445</v>
      </c>
      <c r="C61" s="2" t="s">
        <v>448</v>
      </c>
      <c r="D61" s="2" t="s">
        <v>851</v>
      </c>
      <c r="E61" s="4"/>
      <c r="F61" s="2"/>
      <c r="G61" s="2"/>
      <c r="H61" s="2" t="s">
        <v>852</v>
      </c>
      <c r="I61" s="2" t="s">
        <v>853</v>
      </c>
      <c r="J61" s="2" t="s">
        <v>147</v>
      </c>
    </row>
    <row r="62" spans="1:10" ht="20.100000000000001" customHeight="1">
      <c r="A62" t="s">
        <v>449</v>
      </c>
      <c r="B62" s="2" t="s">
        <v>450</v>
      </c>
      <c r="C62" s="2" t="s">
        <v>454</v>
      </c>
      <c r="D62" s="2" t="s">
        <v>851</v>
      </c>
      <c r="E62" s="4"/>
      <c r="F62" s="2"/>
      <c r="G62" s="2"/>
      <c r="H62" s="2" t="s">
        <v>852</v>
      </c>
      <c r="I62" s="2" t="s">
        <v>853</v>
      </c>
      <c r="J62" s="2" t="s">
        <v>32</v>
      </c>
    </row>
    <row r="63" spans="1:10" ht="20.100000000000001" customHeight="1">
      <c r="A63" t="s">
        <v>455</v>
      </c>
      <c r="B63" s="2" t="s">
        <v>457</v>
      </c>
      <c r="C63" s="2" t="s">
        <v>461</v>
      </c>
      <c r="D63" s="2" t="s">
        <v>851</v>
      </c>
      <c r="E63" s="4"/>
      <c r="F63" s="2"/>
      <c r="G63" s="2"/>
      <c r="H63" s="2" t="s">
        <v>852</v>
      </c>
      <c r="I63" s="2" t="s">
        <v>853</v>
      </c>
      <c r="J63" s="2" t="s">
        <v>181</v>
      </c>
    </row>
    <row r="64" spans="1:10" ht="20.100000000000001" customHeight="1">
      <c r="A64" t="s">
        <v>462</v>
      </c>
      <c r="B64" s="2" t="s">
        <v>463</v>
      </c>
      <c r="C64" s="2" t="s">
        <v>469</v>
      </c>
      <c r="D64" s="2" t="s">
        <v>851</v>
      </c>
      <c r="E64" s="4"/>
      <c r="F64" s="2"/>
      <c r="G64" s="2"/>
      <c r="H64" s="2" t="s">
        <v>852</v>
      </c>
      <c r="I64" s="2" t="s">
        <v>853</v>
      </c>
      <c r="J64" s="2" t="s">
        <v>147</v>
      </c>
    </row>
    <row r="65" spans="1:10" ht="20.100000000000001" customHeight="1">
      <c r="A65" t="s">
        <v>470</v>
      </c>
      <c r="B65" s="2" t="s">
        <v>472</v>
      </c>
      <c r="C65" s="2" t="s">
        <v>476</v>
      </c>
      <c r="D65" s="2" t="s">
        <v>851</v>
      </c>
      <c r="E65" s="4"/>
      <c r="F65" s="2"/>
      <c r="G65" s="2"/>
      <c r="H65" s="2" t="s">
        <v>852</v>
      </c>
      <c r="I65" s="2" t="s">
        <v>853</v>
      </c>
      <c r="J65" s="2" t="s">
        <v>286</v>
      </c>
    </row>
    <row r="66" spans="1:10" ht="20.100000000000001" customHeight="1">
      <c r="A66" t="s">
        <v>477</v>
      </c>
      <c r="B66" s="2" t="s">
        <v>478</v>
      </c>
      <c r="C66" s="2" t="s">
        <v>484</v>
      </c>
      <c r="D66" s="2" t="s">
        <v>851</v>
      </c>
      <c r="E66" s="4"/>
      <c r="F66" s="2"/>
      <c r="G66" s="2"/>
      <c r="H66" s="2" t="s">
        <v>852</v>
      </c>
      <c r="I66" s="2" t="s">
        <v>853</v>
      </c>
      <c r="J66" s="2" t="s">
        <v>286</v>
      </c>
    </row>
    <row r="67" spans="1:10" ht="20.100000000000001" customHeight="1">
      <c r="A67" t="s">
        <v>485</v>
      </c>
      <c r="B67" s="2" t="s">
        <v>486</v>
      </c>
      <c r="C67" s="2" t="s">
        <v>490</v>
      </c>
      <c r="D67" s="2" t="s">
        <v>851</v>
      </c>
      <c r="E67" s="4"/>
      <c r="F67" s="2"/>
      <c r="G67" s="2"/>
      <c r="H67" s="2" t="s">
        <v>852</v>
      </c>
      <c r="I67" s="2" t="s">
        <v>853</v>
      </c>
      <c r="J67" s="2" t="s">
        <v>32</v>
      </c>
    </row>
    <row r="68" spans="1:10" ht="20.100000000000001" customHeight="1">
      <c r="A68" t="s">
        <v>491</v>
      </c>
      <c r="B68" s="2" t="s">
        <v>492</v>
      </c>
      <c r="C68" s="2" t="s">
        <v>499</v>
      </c>
      <c r="D68" s="2" t="s">
        <v>851</v>
      </c>
      <c r="E68" s="4"/>
      <c r="F68" s="2"/>
      <c r="G68" s="2"/>
      <c r="H68" s="2" t="s">
        <v>852</v>
      </c>
      <c r="I68" s="2" t="s">
        <v>853</v>
      </c>
      <c r="J68" s="2" t="s">
        <v>500</v>
      </c>
    </row>
    <row r="69" spans="1:10" ht="20.100000000000001" customHeight="1">
      <c r="A69" t="s">
        <v>501</v>
      </c>
      <c r="B69" s="2" t="s">
        <v>502</v>
      </c>
      <c r="C69" s="2" t="s">
        <v>507</v>
      </c>
      <c r="D69" s="2" t="s">
        <v>851</v>
      </c>
      <c r="E69" s="4"/>
      <c r="F69" s="2"/>
      <c r="G69" s="2"/>
      <c r="H69" s="2" t="s">
        <v>852</v>
      </c>
      <c r="I69" s="2" t="s">
        <v>853</v>
      </c>
      <c r="J69" s="2" t="s">
        <v>300</v>
      </c>
    </row>
    <row r="70" spans="1:10" ht="20.100000000000001" customHeight="1">
      <c r="A70" t="s">
        <v>508</v>
      </c>
      <c r="B70" s="2" t="s">
        <v>509</v>
      </c>
      <c r="C70" s="2" t="s">
        <v>515</v>
      </c>
      <c r="D70" s="2" t="s">
        <v>851</v>
      </c>
      <c r="E70" s="4"/>
      <c r="F70" s="2"/>
      <c r="G70" s="2"/>
      <c r="H70" s="2" t="s">
        <v>852</v>
      </c>
      <c r="I70" s="2" t="s">
        <v>853</v>
      </c>
      <c r="J70" s="2" t="s">
        <v>516</v>
      </c>
    </row>
    <row r="71" spans="1:10" ht="20.100000000000001" customHeight="1">
      <c r="A71" t="s">
        <v>517</v>
      </c>
      <c r="B71" s="2" t="s">
        <v>518</v>
      </c>
      <c r="C71" s="2" t="s">
        <v>524</v>
      </c>
      <c r="D71" s="2" t="s">
        <v>851</v>
      </c>
      <c r="E71" s="4"/>
      <c r="F71" s="2"/>
      <c r="G71" s="2"/>
      <c r="H71" s="2" t="s">
        <v>852</v>
      </c>
      <c r="I71" s="2" t="s">
        <v>853</v>
      </c>
      <c r="J71" s="2" t="s">
        <v>525</v>
      </c>
    </row>
    <row r="72" spans="1:10" ht="20.100000000000001" customHeight="1">
      <c r="A72" t="s">
        <v>526</v>
      </c>
      <c r="B72" s="2" t="s">
        <v>527</v>
      </c>
      <c r="C72" s="2" t="s">
        <v>531</v>
      </c>
      <c r="D72" s="2" t="s">
        <v>851</v>
      </c>
      <c r="E72" s="4"/>
      <c r="F72" s="2"/>
      <c r="G72" s="2"/>
      <c r="H72" s="2" t="s">
        <v>852</v>
      </c>
      <c r="I72" s="2" t="s">
        <v>853</v>
      </c>
      <c r="J72" s="2" t="s">
        <v>181</v>
      </c>
    </row>
    <row r="73" spans="1:10" ht="20.100000000000001" customHeight="1">
      <c r="A73" t="s">
        <v>532</v>
      </c>
      <c r="B73" s="2" t="s">
        <v>534</v>
      </c>
      <c r="C73" s="2" t="s">
        <v>538</v>
      </c>
      <c r="D73" s="2" t="s">
        <v>851</v>
      </c>
      <c r="E73" s="4"/>
      <c r="F73" s="2"/>
      <c r="G73" s="2"/>
      <c r="H73" s="2" t="s">
        <v>852</v>
      </c>
      <c r="I73" s="2" t="s">
        <v>853</v>
      </c>
      <c r="J73" s="2" t="s">
        <v>516</v>
      </c>
    </row>
    <row r="74" spans="1:10" ht="20.100000000000001" customHeight="1">
      <c r="A74" t="s">
        <v>539</v>
      </c>
      <c r="B74" s="2" t="s">
        <v>540</v>
      </c>
      <c r="C74" s="2" t="s">
        <v>545</v>
      </c>
      <c r="D74" s="2" t="s">
        <v>851</v>
      </c>
      <c r="E74" s="4"/>
      <c r="F74" s="2"/>
      <c r="G74" s="2"/>
      <c r="H74" s="2" t="s">
        <v>852</v>
      </c>
      <c r="I74" s="2" t="s">
        <v>853</v>
      </c>
      <c r="J74" s="2" t="s">
        <v>546</v>
      </c>
    </row>
    <row r="75" spans="1:10" ht="20.100000000000001" customHeight="1">
      <c r="A75" t="s">
        <v>547</v>
      </c>
      <c r="B75" s="2" t="s">
        <v>548</v>
      </c>
      <c r="C75" s="2" t="s">
        <v>554</v>
      </c>
      <c r="D75" s="2" t="s">
        <v>851</v>
      </c>
      <c r="E75" s="4"/>
      <c r="F75" s="2"/>
      <c r="G75" s="2"/>
      <c r="H75" s="2" t="s">
        <v>852</v>
      </c>
      <c r="I75" s="2" t="s">
        <v>853</v>
      </c>
      <c r="J75" s="2" t="s">
        <v>555</v>
      </c>
    </row>
    <row r="76" spans="1:10" ht="20.100000000000001" customHeight="1">
      <c r="A76" t="s">
        <v>556</v>
      </c>
      <c r="B76" s="2" t="s">
        <v>557</v>
      </c>
      <c r="C76" s="2" t="s">
        <v>561</v>
      </c>
      <c r="D76" s="2" t="s">
        <v>851</v>
      </c>
      <c r="E76" s="4"/>
      <c r="F76" s="2"/>
      <c r="G76" s="2"/>
      <c r="H76" s="2" t="s">
        <v>852</v>
      </c>
      <c r="I76" s="2" t="s">
        <v>853</v>
      </c>
      <c r="J76" s="2" t="s">
        <v>164</v>
      </c>
    </row>
    <row r="77" spans="1:10" ht="20.100000000000001" customHeight="1">
      <c r="A77" t="s">
        <v>562</v>
      </c>
      <c r="B77" s="2" t="s">
        <v>564</v>
      </c>
      <c r="C77" s="2" t="s">
        <v>568</v>
      </c>
      <c r="D77" s="2" t="s">
        <v>851</v>
      </c>
      <c r="E77" s="4"/>
      <c r="F77" s="2"/>
      <c r="G77" s="2"/>
      <c r="H77" s="2" t="s">
        <v>852</v>
      </c>
      <c r="I77" s="2" t="s">
        <v>853</v>
      </c>
      <c r="J77" s="2" t="s">
        <v>181</v>
      </c>
    </row>
    <row r="78" spans="1:10" ht="20.100000000000001" customHeight="1">
      <c r="A78" t="s">
        <v>569</v>
      </c>
      <c r="B78" s="2" t="s">
        <v>570</v>
      </c>
      <c r="C78" s="2" t="s">
        <v>575</v>
      </c>
      <c r="D78" s="2" t="s">
        <v>851</v>
      </c>
      <c r="E78" s="4"/>
      <c r="F78" s="2"/>
      <c r="G78" s="2"/>
      <c r="H78" s="2" t="s">
        <v>852</v>
      </c>
      <c r="I78" s="2" t="s">
        <v>853</v>
      </c>
      <c r="J78" s="2" t="s">
        <v>181</v>
      </c>
    </row>
    <row r="79" spans="1:10" ht="20.100000000000001" customHeight="1">
      <c r="A79" t="s">
        <v>576</v>
      </c>
      <c r="B79" s="2" t="s">
        <v>578</v>
      </c>
      <c r="C79" s="2" t="s">
        <v>583</v>
      </c>
      <c r="D79" s="2" t="s">
        <v>851</v>
      </c>
      <c r="E79" s="4"/>
      <c r="F79" s="2"/>
      <c r="G79" s="2"/>
      <c r="H79" s="2" t="s">
        <v>852</v>
      </c>
      <c r="I79" s="2" t="s">
        <v>853</v>
      </c>
      <c r="J79" s="2" t="s">
        <v>181</v>
      </c>
    </row>
    <row r="80" spans="1:10" ht="20.100000000000001" customHeight="1">
      <c r="A80" t="s">
        <v>584</v>
      </c>
      <c r="B80" s="2" t="s">
        <v>585</v>
      </c>
      <c r="C80" s="2" t="s">
        <v>591</v>
      </c>
      <c r="D80" s="2" t="s">
        <v>851</v>
      </c>
      <c r="E80" s="4"/>
      <c r="F80" s="2"/>
      <c r="G80" s="2"/>
      <c r="H80" s="2" t="s">
        <v>852</v>
      </c>
      <c r="I80" s="2" t="s">
        <v>853</v>
      </c>
      <c r="J80" s="2" t="s">
        <v>181</v>
      </c>
    </row>
    <row r="81" spans="1:10" ht="20.100000000000001" customHeight="1">
      <c r="A81" t="s">
        <v>592</v>
      </c>
      <c r="B81" s="2" t="s">
        <v>593</v>
      </c>
      <c r="C81" s="2" t="s">
        <v>597</v>
      </c>
      <c r="D81" s="2" t="s">
        <v>851</v>
      </c>
      <c r="E81" s="4"/>
      <c r="F81" s="2"/>
      <c r="G81" s="2"/>
      <c r="H81" s="2" t="s">
        <v>852</v>
      </c>
      <c r="I81" s="2" t="s">
        <v>853</v>
      </c>
      <c r="J81" s="2" t="s">
        <v>181</v>
      </c>
    </row>
    <row r="82" spans="1:10" ht="20.100000000000001" customHeight="1">
      <c r="A82" t="s">
        <v>598</v>
      </c>
      <c r="B82" s="2" t="s">
        <v>600</v>
      </c>
      <c r="C82" s="2" t="s">
        <v>606</v>
      </c>
      <c r="D82" s="2" t="s">
        <v>851</v>
      </c>
      <c r="E82" s="4"/>
      <c r="F82" s="2"/>
      <c r="G82" s="2"/>
      <c r="H82" s="2" t="s">
        <v>852</v>
      </c>
      <c r="I82" s="2" t="s">
        <v>853</v>
      </c>
      <c r="J82" s="2" t="s">
        <v>181</v>
      </c>
    </row>
    <row r="83" spans="1:10" ht="20.100000000000001" customHeight="1">
      <c r="A83" t="s">
        <v>607</v>
      </c>
      <c r="B83" s="2" t="s">
        <v>608</v>
      </c>
      <c r="C83" s="2" t="s">
        <v>613</v>
      </c>
      <c r="D83" s="2" t="s">
        <v>851</v>
      </c>
      <c r="E83" s="4"/>
      <c r="F83" s="2"/>
      <c r="G83" s="2"/>
      <c r="H83" s="2" t="s">
        <v>852</v>
      </c>
      <c r="I83" s="2" t="s">
        <v>853</v>
      </c>
      <c r="J83" s="2" t="s">
        <v>147</v>
      </c>
    </row>
    <row r="84" spans="1:10" ht="20.100000000000001" customHeight="1">
      <c r="A84" t="s">
        <v>614</v>
      </c>
      <c r="B84" s="2" t="s">
        <v>615</v>
      </c>
      <c r="C84" s="2" t="s">
        <v>622</v>
      </c>
      <c r="D84" s="2" t="s">
        <v>851</v>
      </c>
      <c r="E84" s="4"/>
      <c r="F84" s="2"/>
      <c r="G84" s="2"/>
      <c r="H84" s="2" t="s">
        <v>852</v>
      </c>
      <c r="I84" s="2" t="s">
        <v>853</v>
      </c>
      <c r="J84" s="2" t="s">
        <v>181</v>
      </c>
    </row>
    <row r="85" spans="1:10" ht="20.100000000000001" customHeight="1"/>
    <row r="86" spans="1:10" ht="20.100000000000001" customHeight="1"/>
    <row r="87" spans="1:10" ht="20.100000000000001" customHeight="1"/>
    <row r="88" spans="1:10" ht="20.100000000000001" customHeight="1"/>
    <row r="89" spans="1:10" ht="20.100000000000001" customHeight="1"/>
    <row r="90" spans="1:10" ht="20.100000000000001" customHeight="1"/>
    <row r="91" spans="1:10" ht="20.100000000000001" customHeight="1"/>
    <row r="92" spans="1:10" ht="20.100000000000001" customHeight="1"/>
    <row r="93" spans="1:10" ht="20.100000000000001" customHeight="1"/>
    <row r="94" spans="1:10" ht="20.100000000000001" customHeight="1"/>
    <row r="95" spans="1:10" ht="20.100000000000001" customHeight="1"/>
    <row r="96" spans="1:10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J2"/>
  </mergeCells>
  <dataValidations count="1">
    <dataValidation type="list" sqref="D5:D84" xr:uid="{00000000-0002-0000-0300-000000000000}">
      <formula1>"Not tested,Pass,Partial,Fail,Not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workbookViewId="0"/>
  </sheetViews>
  <sheetFormatPr defaultRowHeight="14.25"/>
  <cols>
    <col min="1" max="1" width="15" customWidth="1"/>
    <col min="2" max="2" width="10" customWidth="1"/>
    <col min="3" max="4" width="14" customWidth="1"/>
    <col min="5" max="5" width="13" customWidth="1"/>
    <col min="6" max="6" width="19" customWidth="1"/>
    <col min="7" max="7" width="22" customWidth="1"/>
    <col min="8" max="8" width="13" customWidth="1"/>
    <col min="9" max="9" width="12" customWidth="1"/>
    <col min="10" max="11" width="14" customWidth="1"/>
  </cols>
  <sheetData>
    <row r="1" spans="1:11" ht="20.100000000000001" customHeight="1">
      <c r="A1" s="6" t="s">
        <v>854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0.100000000000001" customHeight="1"/>
    <row r="4" spans="1:11" ht="20.100000000000001" customHeight="1">
      <c r="A4" s="1" t="s">
        <v>1</v>
      </c>
      <c r="B4" s="1" t="s">
        <v>855</v>
      </c>
      <c r="C4" s="1" t="s">
        <v>856</v>
      </c>
      <c r="D4" s="1" t="s">
        <v>857</v>
      </c>
      <c r="E4" s="1" t="s">
        <v>858</v>
      </c>
      <c r="F4" s="1" t="s">
        <v>859</v>
      </c>
      <c r="G4" s="1" t="s">
        <v>860</v>
      </c>
      <c r="H4" s="1" t="s">
        <v>861</v>
      </c>
      <c r="I4" s="1" t="s">
        <v>862</v>
      </c>
      <c r="J4" s="1" t="s">
        <v>863</v>
      </c>
      <c r="K4" s="1" t="s">
        <v>864</v>
      </c>
    </row>
    <row r="5" spans="1:11" ht="20.100000000000001" customHeight="1">
      <c r="A5" t="s">
        <v>18</v>
      </c>
      <c r="B5">
        <v>17</v>
      </c>
      <c r="C5">
        <v>17</v>
      </c>
      <c r="D5">
        <v>0</v>
      </c>
      <c r="E5" s="5">
        <f t="shared" ref="E5:E36" si="0">IF(B5=0,0,C5/B5*100)</f>
        <v>100</v>
      </c>
      <c r="F5">
        <v>17</v>
      </c>
      <c r="G5">
        <v>8</v>
      </c>
      <c r="H5">
        <v>1</v>
      </c>
      <c r="I5">
        <v>1</v>
      </c>
      <c r="J5" s="5">
        <f t="shared" ref="J5:J36" si="1">IF(I5=0,0,H5/I5*100)</f>
        <v>100</v>
      </c>
      <c r="K5" t="str">
        <f t="shared" ref="K5:K36" si="2">IF(AND(E5&gt;=80,J5=100,G5&lt;=15),"Healthy",IF(AND(E5&gt;=60,J5&gt;=50),"Review","Weak"))</f>
        <v>Healthy</v>
      </c>
    </row>
    <row r="6" spans="1:11" ht="20.100000000000001" customHeight="1">
      <c r="A6" t="s">
        <v>35</v>
      </c>
      <c r="B6">
        <v>18</v>
      </c>
      <c r="C6">
        <v>17</v>
      </c>
      <c r="D6">
        <v>1</v>
      </c>
      <c r="E6" s="5">
        <f t="shared" si="0"/>
        <v>94.444444444444443</v>
      </c>
      <c r="F6">
        <v>18</v>
      </c>
      <c r="G6">
        <v>9</v>
      </c>
      <c r="H6">
        <v>1</v>
      </c>
      <c r="I6">
        <v>1</v>
      </c>
      <c r="J6" s="5">
        <f t="shared" si="1"/>
        <v>100</v>
      </c>
      <c r="K6" t="str">
        <f t="shared" si="2"/>
        <v>Healthy</v>
      </c>
    </row>
    <row r="7" spans="1:11" ht="20.100000000000001" customHeight="1">
      <c r="A7" t="s">
        <v>40</v>
      </c>
      <c r="B7">
        <v>19</v>
      </c>
      <c r="C7">
        <v>17</v>
      </c>
      <c r="D7">
        <v>2</v>
      </c>
      <c r="E7" s="5">
        <f t="shared" si="0"/>
        <v>89.473684210526315</v>
      </c>
      <c r="F7">
        <v>19</v>
      </c>
      <c r="G7">
        <v>3</v>
      </c>
      <c r="H7">
        <v>1</v>
      </c>
      <c r="I7">
        <v>1</v>
      </c>
      <c r="J7" s="5">
        <f t="shared" si="1"/>
        <v>100</v>
      </c>
      <c r="K7" t="str">
        <f t="shared" si="2"/>
        <v>Healthy</v>
      </c>
    </row>
    <row r="8" spans="1:11" ht="20.100000000000001" customHeight="1">
      <c r="A8" t="s">
        <v>47</v>
      </c>
      <c r="B8">
        <v>20</v>
      </c>
      <c r="C8">
        <v>17</v>
      </c>
      <c r="D8">
        <v>3</v>
      </c>
      <c r="E8" s="5">
        <f t="shared" si="0"/>
        <v>85</v>
      </c>
      <c r="F8">
        <v>12</v>
      </c>
      <c r="G8">
        <v>4</v>
      </c>
      <c r="H8">
        <v>1</v>
      </c>
      <c r="I8">
        <v>1</v>
      </c>
      <c r="J8" s="5">
        <f t="shared" si="1"/>
        <v>100</v>
      </c>
      <c r="K8" t="str">
        <f t="shared" si="2"/>
        <v>Healthy</v>
      </c>
    </row>
    <row r="9" spans="1:11" ht="20.100000000000001" customHeight="1">
      <c r="A9" t="s">
        <v>55</v>
      </c>
      <c r="B9">
        <v>12</v>
      </c>
      <c r="C9">
        <v>8</v>
      </c>
      <c r="D9">
        <v>4</v>
      </c>
      <c r="E9" s="5">
        <f t="shared" si="0"/>
        <v>66.666666666666657</v>
      </c>
      <c r="F9">
        <v>13</v>
      </c>
      <c r="G9">
        <v>5</v>
      </c>
      <c r="H9">
        <v>1</v>
      </c>
      <c r="I9">
        <v>1</v>
      </c>
      <c r="J9" s="5">
        <f t="shared" si="1"/>
        <v>100</v>
      </c>
      <c r="K9" t="str">
        <f t="shared" si="2"/>
        <v>Review</v>
      </c>
    </row>
    <row r="10" spans="1:11" ht="20.100000000000001" customHeight="1">
      <c r="A10" t="s">
        <v>63</v>
      </c>
      <c r="B10">
        <v>13</v>
      </c>
      <c r="C10">
        <v>13</v>
      </c>
      <c r="D10">
        <v>0</v>
      </c>
      <c r="E10" s="5">
        <f t="shared" si="0"/>
        <v>100</v>
      </c>
      <c r="F10">
        <v>14</v>
      </c>
      <c r="G10">
        <v>6</v>
      </c>
      <c r="H10">
        <v>0</v>
      </c>
      <c r="I10">
        <v>1</v>
      </c>
      <c r="J10" s="5">
        <f t="shared" si="1"/>
        <v>0</v>
      </c>
      <c r="K10" t="str">
        <f t="shared" si="2"/>
        <v>Weak</v>
      </c>
    </row>
    <row r="11" spans="1:11" ht="20.100000000000001" customHeight="1">
      <c r="A11" t="s">
        <v>75</v>
      </c>
      <c r="B11">
        <v>14</v>
      </c>
      <c r="C11">
        <v>13</v>
      </c>
      <c r="D11">
        <v>1</v>
      </c>
      <c r="E11" s="5">
        <f t="shared" si="0"/>
        <v>92.857142857142861</v>
      </c>
      <c r="F11">
        <v>15</v>
      </c>
      <c r="G11">
        <v>7</v>
      </c>
      <c r="H11">
        <v>1</v>
      </c>
      <c r="I11">
        <v>1</v>
      </c>
      <c r="J11" s="5">
        <f t="shared" si="1"/>
        <v>100</v>
      </c>
      <c r="K11" t="str">
        <f t="shared" si="2"/>
        <v>Healthy</v>
      </c>
    </row>
    <row r="12" spans="1:11" ht="20.100000000000001" customHeight="1">
      <c r="A12" t="s">
        <v>84</v>
      </c>
      <c r="B12">
        <v>15</v>
      </c>
      <c r="C12">
        <v>13</v>
      </c>
      <c r="D12">
        <v>2</v>
      </c>
      <c r="E12" s="5">
        <f t="shared" si="0"/>
        <v>86.666666666666671</v>
      </c>
      <c r="F12">
        <v>16</v>
      </c>
      <c r="G12">
        <v>8</v>
      </c>
      <c r="H12">
        <v>1</v>
      </c>
      <c r="I12">
        <v>1</v>
      </c>
      <c r="J12" s="5">
        <f t="shared" si="1"/>
        <v>100</v>
      </c>
      <c r="K12" t="str">
        <f t="shared" si="2"/>
        <v>Healthy</v>
      </c>
    </row>
    <row r="13" spans="1:11" ht="20.100000000000001" customHeight="1">
      <c r="A13" t="s">
        <v>89</v>
      </c>
      <c r="B13">
        <v>16</v>
      </c>
      <c r="C13">
        <v>13</v>
      </c>
      <c r="D13">
        <v>3</v>
      </c>
      <c r="E13" s="5">
        <f t="shared" si="0"/>
        <v>81.25</v>
      </c>
      <c r="F13">
        <v>17</v>
      </c>
      <c r="G13">
        <v>9</v>
      </c>
      <c r="H13">
        <v>1</v>
      </c>
      <c r="I13">
        <v>1</v>
      </c>
      <c r="J13" s="5">
        <f t="shared" si="1"/>
        <v>100</v>
      </c>
      <c r="K13" t="str">
        <f t="shared" si="2"/>
        <v>Healthy</v>
      </c>
    </row>
    <row r="14" spans="1:11" ht="20.100000000000001" customHeight="1">
      <c r="A14" t="s">
        <v>97</v>
      </c>
      <c r="B14">
        <v>17</v>
      </c>
      <c r="C14">
        <v>13</v>
      </c>
      <c r="D14">
        <v>4</v>
      </c>
      <c r="E14" s="5">
        <f t="shared" si="0"/>
        <v>76.470588235294116</v>
      </c>
      <c r="F14">
        <v>18</v>
      </c>
      <c r="G14">
        <v>3</v>
      </c>
      <c r="H14">
        <v>0</v>
      </c>
      <c r="I14">
        <v>1</v>
      </c>
      <c r="J14" s="5">
        <f t="shared" si="1"/>
        <v>0</v>
      </c>
      <c r="K14" t="str">
        <f t="shared" si="2"/>
        <v>Weak</v>
      </c>
    </row>
    <row r="15" spans="1:11" ht="20.100000000000001" customHeight="1">
      <c r="A15" t="s">
        <v>104</v>
      </c>
      <c r="B15">
        <v>18</v>
      </c>
      <c r="C15">
        <v>18</v>
      </c>
      <c r="D15">
        <v>0</v>
      </c>
      <c r="E15" s="5">
        <f t="shared" si="0"/>
        <v>100</v>
      </c>
      <c r="F15">
        <v>19</v>
      </c>
      <c r="G15">
        <v>4</v>
      </c>
      <c r="H15">
        <v>0</v>
      </c>
      <c r="I15">
        <v>1</v>
      </c>
      <c r="J15" s="5">
        <f t="shared" si="1"/>
        <v>0</v>
      </c>
      <c r="K15" t="str">
        <f t="shared" si="2"/>
        <v>Weak</v>
      </c>
    </row>
    <row r="16" spans="1:11" ht="20.100000000000001" customHeight="1">
      <c r="A16" t="s">
        <v>113</v>
      </c>
      <c r="B16">
        <v>19</v>
      </c>
      <c r="C16">
        <v>18</v>
      </c>
      <c r="D16">
        <v>1</v>
      </c>
      <c r="E16" s="5">
        <f t="shared" si="0"/>
        <v>94.73684210526315</v>
      </c>
      <c r="F16">
        <v>12</v>
      </c>
      <c r="G16">
        <v>5</v>
      </c>
      <c r="H16">
        <v>1</v>
      </c>
      <c r="I16">
        <v>1</v>
      </c>
      <c r="J16" s="5">
        <f t="shared" si="1"/>
        <v>100</v>
      </c>
      <c r="K16" t="str">
        <f t="shared" si="2"/>
        <v>Healthy</v>
      </c>
    </row>
    <row r="17" spans="1:11" ht="20.100000000000001" customHeight="1">
      <c r="A17" t="s">
        <v>119</v>
      </c>
      <c r="B17">
        <v>20</v>
      </c>
      <c r="C17">
        <v>18</v>
      </c>
      <c r="D17">
        <v>2</v>
      </c>
      <c r="E17" s="5">
        <f t="shared" si="0"/>
        <v>90</v>
      </c>
      <c r="F17">
        <v>13</v>
      </c>
      <c r="G17">
        <v>6</v>
      </c>
      <c r="H17">
        <v>1</v>
      </c>
      <c r="I17">
        <v>1</v>
      </c>
      <c r="J17" s="5">
        <f t="shared" si="1"/>
        <v>100</v>
      </c>
      <c r="K17" t="str">
        <f t="shared" si="2"/>
        <v>Healthy</v>
      </c>
    </row>
    <row r="18" spans="1:11" ht="20.100000000000001" customHeight="1">
      <c r="A18" t="s">
        <v>129</v>
      </c>
      <c r="B18">
        <v>12</v>
      </c>
      <c r="C18">
        <v>9</v>
      </c>
      <c r="D18">
        <v>3</v>
      </c>
      <c r="E18" s="5">
        <f t="shared" si="0"/>
        <v>75</v>
      </c>
      <c r="F18">
        <v>14</v>
      </c>
      <c r="G18">
        <v>7</v>
      </c>
      <c r="H18">
        <v>1</v>
      </c>
      <c r="I18">
        <v>1</v>
      </c>
      <c r="J18" s="5">
        <f t="shared" si="1"/>
        <v>100</v>
      </c>
      <c r="K18" t="str">
        <f t="shared" si="2"/>
        <v>Review</v>
      </c>
    </row>
    <row r="19" spans="1:11" ht="20.100000000000001" customHeight="1">
      <c r="A19" t="s">
        <v>135</v>
      </c>
      <c r="B19">
        <v>13</v>
      </c>
      <c r="C19">
        <v>9</v>
      </c>
      <c r="D19">
        <v>4</v>
      </c>
      <c r="E19" s="5">
        <f t="shared" si="0"/>
        <v>69.230769230769226</v>
      </c>
      <c r="F19">
        <v>15</v>
      </c>
      <c r="G19">
        <v>8</v>
      </c>
      <c r="H19">
        <v>1</v>
      </c>
      <c r="I19">
        <v>1</v>
      </c>
      <c r="J19" s="5">
        <f t="shared" si="1"/>
        <v>100</v>
      </c>
      <c r="K19" t="str">
        <f t="shared" si="2"/>
        <v>Review</v>
      </c>
    </row>
    <row r="20" spans="1:11" ht="20.100000000000001" customHeight="1">
      <c r="A20" t="s">
        <v>141</v>
      </c>
      <c r="B20">
        <v>14</v>
      </c>
      <c r="C20">
        <v>14</v>
      </c>
      <c r="D20">
        <v>0</v>
      </c>
      <c r="E20" s="5">
        <f t="shared" si="0"/>
        <v>100</v>
      </c>
      <c r="F20">
        <v>16</v>
      </c>
      <c r="G20">
        <v>9</v>
      </c>
      <c r="H20">
        <v>1</v>
      </c>
      <c r="I20">
        <v>1</v>
      </c>
      <c r="J20" s="5">
        <f t="shared" si="1"/>
        <v>100</v>
      </c>
      <c r="K20" t="str">
        <f t="shared" si="2"/>
        <v>Healthy</v>
      </c>
    </row>
    <row r="21" spans="1:11" ht="20.100000000000001" customHeight="1">
      <c r="A21" t="s">
        <v>148</v>
      </c>
      <c r="B21">
        <v>15</v>
      </c>
      <c r="C21">
        <v>14</v>
      </c>
      <c r="D21">
        <v>1</v>
      </c>
      <c r="E21" s="5">
        <f t="shared" si="0"/>
        <v>93.333333333333329</v>
      </c>
      <c r="F21">
        <v>17</v>
      </c>
      <c r="G21">
        <v>3</v>
      </c>
      <c r="H21">
        <v>1</v>
      </c>
      <c r="I21">
        <v>1</v>
      </c>
      <c r="J21" s="5">
        <f t="shared" si="1"/>
        <v>100</v>
      </c>
      <c r="K21" t="str">
        <f t="shared" si="2"/>
        <v>Healthy</v>
      </c>
    </row>
    <row r="22" spans="1:11" ht="20.100000000000001" customHeight="1">
      <c r="A22" t="s">
        <v>158</v>
      </c>
      <c r="B22">
        <v>16</v>
      </c>
      <c r="C22">
        <v>14</v>
      </c>
      <c r="D22">
        <v>2</v>
      </c>
      <c r="E22" s="5">
        <f t="shared" si="0"/>
        <v>87.5</v>
      </c>
      <c r="F22">
        <v>18</v>
      </c>
      <c r="G22">
        <v>4</v>
      </c>
      <c r="H22">
        <v>1</v>
      </c>
      <c r="I22">
        <v>1</v>
      </c>
      <c r="J22" s="5">
        <f t="shared" si="1"/>
        <v>100</v>
      </c>
      <c r="K22" t="str">
        <f t="shared" si="2"/>
        <v>Healthy</v>
      </c>
    </row>
    <row r="23" spans="1:11" ht="20.100000000000001" customHeight="1">
      <c r="A23" t="s">
        <v>165</v>
      </c>
      <c r="B23">
        <v>17</v>
      </c>
      <c r="C23">
        <v>14</v>
      </c>
      <c r="D23">
        <v>3</v>
      </c>
      <c r="E23" s="5">
        <f t="shared" si="0"/>
        <v>82.35294117647058</v>
      </c>
      <c r="F23">
        <v>19</v>
      </c>
      <c r="G23">
        <v>5</v>
      </c>
      <c r="H23">
        <v>1</v>
      </c>
      <c r="I23">
        <v>1</v>
      </c>
      <c r="J23" s="5">
        <f t="shared" si="1"/>
        <v>100</v>
      </c>
      <c r="K23" t="str">
        <f t="shared" si="2"/>
        <v>Healthy</v>
      </c>
    </row>
    <row r="24" spans="1:11" ht="20.100000000000001" customHeight="1">
      <c r="A24" t="s">
        <v>175</v>
      </c>
      <c r="B24">
        <v>18</v>
      </c>
      <c r="C24">
        <v>14</v>
      </c>
      <c r="D24">
        <v>4</v>
      </c>
      <c r="E24" s="5">
        <f t="shared" si="0"/>
        <v>77.777777777777786</v>
      </c>
      <c r="F24">
        <v>12</v>
      </c>
      <c r="G24">
        <v>6</v>
      </c>
      <c r="H24">
        <v>1</v>
      </c>
      <c r="I24">
        <v>1</v>
      </c>
      <c r="J24" s="5">
        <f t="shared" si="1"/>
        <v>100</v>
      </c>
      <c r="K24" t="str">
        <f t="shared" si="2"/>
        <v>Review</v>
      </c>
    </row>
    <row r="25" spans="1:11" ht="20.100000000000001" customHeight="1">
      <c r="A25" t="s">
        <v>182</v>
      </c>
      <c r="B25">
        <v>19</v>
      </c>
      <c r="C25">
        <v>19</v>
      </c>
      <c r="D25">
        <v>0</v>
      </c>
      <c r="E25" s="5">
        <f t="shared" si="0"/>
        <v>100</v>
      </c>
      <c r="F25">
        <v>13</v>
      </c>
      <c r="G25">
        <v>7</v>
      </c>
      <c r="H25">
        <v>0</v>
      </c>
      <c r="I25">
        <v>1</v>
      </c>
      <c r="J25" s="5">
        <f t="shared" si="1"/>
        <v>0</v>
      </c>
      <c r="K25" t="str">
        <f t="shared" si="2"/>
        <v>Weak</v>
      </c>
    </row>
    <row r="26" spans="1:11" ht="20.100000000000001" customHeight="1">
      <c r="A26" t="s">
        <v>189</v>
      </c>
      <c r="B26">
        <v>20</v>
      </c>
      <c r="C26">
        <v>19</v>
      </c>
      <c r="D26">
        <v>1</v>
      </c>
      <c r="E26" s="5">
        <f t="shared" si="0"/>
        <v>95</v>
      </c>
      <c r="F26">
        <v>14</v>
      </c>
      <c r="G26">
        <v>8</v>
      </c>
      <c r="H26">
        <v>1</v>
      </c>
      <c r="I26">
        <v>1</v>
      </c>
      <c r="J26" s="5">
        <f t="shared" si="1"/>
        <v>100</v>
      </c>
      <c r="K26" t="str">
        <f t="shared" si="2"/>
        <v>Healthy</v>
      </c>
    </row>
    <row r="27" spans="1:11" ht="20.100000000000001" customHeight="1">
      <c r="A27" t="s">
        <v>197</v>
      </c>
      <c r="B27">
        <v>12</v>
      </c>
      <c r="C27">
        <v>10</v>
      </c>
      <c r="D27">
        <v>2</v>
      </c>
      <c r="E27" s="5">
        <f t="shared" si="0"/>
        <v>83.333333333333343</v>
      </c>
      <c r="F27">
        <v>15</v>
      </c>
      <c r="G27">
        <v>9</v>
      </c>
      <c r="H27">
        <v>1</v>
      </c>
      <c r="I27">
        <v>1</v>
      </c>
      <c r="J27" s="5">
        <f t="shared" si="1"/>
        <v>100</v>
      </c>
      <c r="K27" t="str">
        <f t="shared" si="2"/>
        <v>Healthy</v>
      </c>
    </row>
    <row r="28" spans="1:11" ht="20.100000000000001" customHeight="1">
      <c r="A28" t="s">
        <v>203</v>
      </c>
      <c r="B28">
        <v>13</v>
      </c>
      <c r="C28">
        <v>10</v>
      </c>
      <c r="D28">
        <v>3</v>
      </c>
      <c r="E28" s="5">
        <f t="shared" si="0"/>
        <v>76.923076923076934</v>
      </c>
      <c r="F28">
        <v>16</v>
      </c>
      <c r="G28">
        <v>3</v>
      </c>
      <c r="H28">
        <v>0</v>
      </c>
      <c r="I28">
        <v>1</v>
      </c>
      <c r="J28" s="5">
        <f t="shared" si="1"/>
        <v>0</v>
      </c>
      <c r="K28" t="str">
        <f t="shared" si="2"/>
        <v>Weak</v>
      </c>
    </row>
    <row r="29" spans="1:11" ht="20.100000000000001" customHeight="1">
      <c r="A29" t="s">
        <v>209</v>
      </c>
      <c r="B29">
        <v>14</v>
      </c>
      <c r="C29">
        <v>10</v>
      </c>
      <c r="D29">
        <v>4</v>
      </c>
      <c r="E29" s="5">
        <f t="shared" si="0"/>
        <v>71.428571428571431</v>
      </c>
      <c r="F29">
        <v>17</v>
      </c>
      <c r="G29">
        <v>4</v>
      </c>
      <c r="H29">
        <v>0</v>
      </c>
      <c r="I29">
        <v>1</v>
      </c>
      <c r="J29" s="5">
        <f t="shared" si="1"/>
        <v>0</v>
      </c>
      <c r="K29" t="str">
        <f t="shared" si="2"/>
        <v>Weak</v>
      </c>
    </row>
    <row r="30" spans="1:11" ht="20.100000000000001" customHeight="1">
      <c r="A30" t="s">
        <v>218</v>
      </c>
      <c r="B30">
        <v>15</v>
      </c>
      <c r="C30">
        <v>15</v>
      </c>
      <c r="D30">
        <v>0</v>
      </c>
      <c r="E30" s="5">
        <f t="shared" si="0"/>
        <v>100</v>
      </c>
      <c r="F30">
        <v>18</v>
      </c>
      <c r="G30">
        <v>5</v>
      </c>
      <c r="H30">
        <v>1</v>
      </c>
      <c r="I30">
        <v>1</v>
      </c>
      <c r="J30" s="5">
        <f t="shared" si="1"/>
        <v>100</v>
      </c>
      <c r="K30" t="str">
        <f t="shared" si="2"/>
        <v>Healthy</v>
      </c>
    </row>
    <row r="31" spans="1:11" ht="20.100000000000001" customHeight="1">
      <c r="A31" t="s">
        <v>228</v>
      </c>
      <c r="B31">
        <v>16</v>
      </c>
      <c r="C31">
        <v>15</v>
      </c>
      <c r="D31">
        <v>1</v>
      </c>
      <c r="E31" s="5">
        <f t="shared" si="0"/>
        <v>93.75</v>
      </c>
      <c r="F31">
        <v>19</v>
      </c>
      <c r="G31">
        <v>6</v>
      </c>
      <c r="H31">
        <v>0</v>
      </c>
      <c r="I31">
        <v>1</v>
      </c>
      <c r="J31" s="5">
        <f t="shared" si="1"/>
        <v>0</v>
      </c>
      <c r="K31" t="str">
        <f t="shared" si="2"/>
        <v>Weak</v>
      </c>
    </row>
    <row r="32" spans="1:11" ht="20.100000000000001" customHeight="1">
      <c r="A32" t="s">
        <v>233</v>
      </c>
      <c r="B32">
        <v>17</v>
      </c>
      <c r="C32">
        <v>15</v>
      </c>
      <c r="D32">
        <v>2</v>
      </c>
      <c r="E32" s="5">
        <f t="shared" si="0"/>
        <v>88.235294117647058</v>
      </c>
      <c r="F32">
        <v>12</v>
      </c>
      <c r="G32">
        <v>7</v>
      </c>
      <c r="H32">
        <v>1</v>
      </c>
      <c r="I32">
        <v>1</v>
      </c>
      <c r="J32" s="5">
        <f t="shared" si="1"/>
        <v>100</v>
      </c>
      <c r="K32" t="str">
        <f t="shared" si="2"/>
        <v>Healthy</v>
      </c>
    </row>
    <row r="33" spans="1:11" ht="20.100000000000001" customHeight="1">
      <c r="A33" t="s">
        <v>238</v>
      </c>
      <c r="B33">
        <v>18</v>
      </c>
      <c r="C33">
        <v>15</v>
      </c>
      <c r="D33">
        <v>3</v>
      </c>
      <c r="E33" s="5">
        <f t="shared" si="0"/>
        <v>83.333333333333343</v>
      </c>
      <c r="F33">
        <v>13</v>
      </c>
      <c r="G33">
        <v>8</v>
      </c>
      <c r="H33">
        <v>0</v>
      </c>
      <c r="I33">
        <v>1</v>
      </c>
      <c r="J33" s="5">
        <f t="shared" si="1"/>
        <v>0</v>
      </c>
      <c r="K33" t="str">
        <f t="shared" si="2"/>
        <v>Weak</v>
      </c>
    </row>
    <row r="34" spans="1:11" ht="20.100000000000001" customHeight="1">
      <c r="A34" t="s">
        <v>246</v>
      </c>
      <c r="B34">
        <v>19</v>
      </c>
      <c r="C34">
        <v>15</v>
      </c>
      <c r="D34">
        <v>4</v>
      </c>
      <c r="E34" s="5">
        <f t="shared" si="0"/>
        <v>78.94736842105263</v>
      </c>
      <c r="F34">
        <v>14</v>
      </c>
      <c r="G34">
        <v>9</v>
      </c>
      <c r="H34">
        <v>1</v>
      </c>
      <c r="I34">
        <v>1</v>
      </c>
      <c r="J34" s="5">
        <f t="shared" si="1"/>
        <v>100</v>
      </c>
      <c r="K34" t="str">
        <f t="shared" si="2"/>
        <v>Review</v>
      </c>
    </row>
    <row r="35" spans="1:11" ht="20.100000000000001" customHeight="1">
      <c r="A35" t="s">
        <v>252</v>
      </c>
      <c r="B35">
        <v>20</v>
      </c>
      <c r="C35">
        <v>20</v>
      </c>
      <c r="D35">
        <v>0</v>
      </c>
      <c r="E35" s="5">
        <f t="shared" si="0"/>
        <v>100</v>
      </c>
      <c r="F35">
        <v>15</v>
      </c>
      <c r="G35">
        <v>3</v>
      </c>
      <c r="H35">
        <v>1</v>
      </c>
      <c r="I35">
        <v>1</v>
      </c>
      <c r="J35" s="5">
        <f t="shared" si="1"/>
        <v>100</v>
      </c>
      <c r="K35" t="str">
        <f t="shared" si="2"/>
        <v>Healthy</v>
      </c>
    </row>
    <row r="36" spans="1:11" ht="20.100000000000001" customHeight="1">
      <c r="A36" t="s">
        <v>262</v>
      </c>
      <c r="B36">
        <v>12</v>
      </c>
      <c r="C36">
        <v>11</v>
      </c>
      <c r="D36">
        <v>1</v>
      </c>
      <c r="E36" s="5">
        <f t="shared" si="0"/>
        <v>91.666666666666657</v>
      </c>
      <c r="F36">
        <v>16</v>
      </c>
      <c r="G36">
        <v>4</v>
      </c>
      <c r="H36">
        <v>1</v>
      </c>
      <c r="I36">
        <v>1</v>
      </c>
      <c r="J36" s="5">
        <f t="shared" si="1"/>
        <v>100</v>
      </c>
      <c r="K36" t="str">
        <f t="shared" si="2"/>
        <v>Healthy</v>
      </c>
    </row>
    <row r="37" spans="1:11" ht="20.100000000000001" customHeight="1">
      <c r="A37" t="s">
        <v>269</v>
      </c>
      <c r="B37">
        <v>13</v>
      </c>
      <c r="C37">
        <v>11</v>
      </c>
      <c r="D37">
        <v>2</v>
      </c>
      <c r="E37" s="5">
        <f t="shared" ref="E37:E68" si="3">IF(B37=0,0,C37/B37*100)</f>
        <v>84.615384615384613</v>
      </c>
      <c r="F37">
        <v>17</v>
      </c>
      <c r="G37">
        <v>5</v>
      </c>
      <c r="H37">
        <v>1</v>
      </c>
      <c r="I37">
        <v>1</v>
      </c>
      <c r="J37" s="5">
        <f t="shared" ref="J37:J68" si="4">IF(I37=0,0,H37/I37*100)</f>
        <v>100</v>
      </c>
      <c r="K37" t="str">
        <f t="shared" ref="K37:K68" si="5">IF(AND(E37&gt;=80,J37=100,G37&lt;=15),"Healthy",IF(AND(E37&gt;=60,J37&gt;=50),"Review","Weak"))</f>
        <v>Healthy</v>
      </c>
    </row>
    <row r="38" spans="1:11" ht="20.100000000000001" customHeight="1">
      <c r="A38" t="s">
        <v>277</v>
      </c>
      <c r="B38">
        <v>14</v>
      </c>
      <c r="C38">
        <v>11</v>
      </c>
      <c r="D38">
        <v>3</v>
      </c>
      <c r="E38" s="5">
        <f t="shared" si="3"/>
        <v>78.571428571428569</v>
      </c>
      <c r="F38">
        <v>18</v>
      </c>
      <c r="G38">
        <v>6</v>
      </c>
      <c r="H38">
        <v>1</v>
      </c>
      <c r="I38">
        <v>1</v>
      </c>
      <c r="J38" s="5">
        <f t="shared" si="4"/>
        <v>100</v>
      </c>
      <c r="K38" t="str">
        <f t="shared" si="5"/>
        <v>Review</v>
      </c>
    </row>
    <row r="39" spans="1:11" ht="20.100000000000001" customHeight="1">
      <c r="A39" t="s">
        <v>287</v>
      </c>
      <c r="B39">
        <v>15</v>
      </c>
      <c r="C39">
        <v>11</v>
      </c>
      <c r="D39">
        <v>4</v>
      </c>
      <c r="E39" s="5">
        <f t="shared" si="3"/>
        <v>73.333333333333329</v>
      </c>
      <c r="F39">
        <v>19</v>
      </c>
      <c r="G39">
        <v>7</v>
      </c>
      <c r="H39">
        <v>1</v>
      </c>
      <c r="I39">
        <v>1</v>
      </c>
      <c r="J39" s="5">
        <f t="shared" si="4"/>
        <v>100</v>
      </c>
      <c r="K39" t="str">
        <f t="shared" si="5"/>
        <v>Review</v>
      </c>
    </row>
    <row r="40" spans="1:11" ht="20.100000000000001" customHeight="1">
      <c r="A40" t="s">
        <v>293</v>
      </c>
      <c r="B40">
        <v>16</v>
      </c>
      <c r="C40">
        <v>16</v>
      </c>
      <c r="D40">
        <v>0</v>
      </c>
      <c r="E40" s="5">
        <f t="shared" si="3"/>
        <v>100</v>
      </c>
      <c r="F40">
        <v>12</v>
      </c>
      <c r="G40">
        <v>8</v>
      </c>
      <c r="H40">
        <v>0</v>
      </c>
      <c r="I40">
        <v>1</v>
      </c>
      <c r="J40" s="5">
        <f t="shared" si="4"/>
        <v>0</v>
      </c>
      <c r="K40" t="str">
        <f t="shared" si="5"/>
        <v>Weak</v>
      </c>
    </row>
    <row r="41" spans="1:11" ht="20.100000000000001" customHeight="1">
      <c r="A41" t="s">
        <v>301</v>
      </c>
      <c r="B41">
        <v>17</v>
      </c>
      <c r="C41">
        <v>16</v>
      </c>
      <c r="D41">
        <v>1</v>
      </c>
      <c r="E41" s="5">
        <f t="shared" si="3"/>
        <v>94.117647058823522</v>
      </c>
      <c r="F41">
        <v>13</v>
      </c>
      <c r="G41">
        <v>9</v>
      </c>
      <c r="H41">
        <v>1</v>
      </c>
      <c r="I41">
        <v>1</v>
      </c>
      <c r="J41" s="5">
        <f t="shared" si="4"/>
        <v>100</v>
      </c>
      <c r="K41" t="str">
        <f t="shared" si="5"/>
        <v>Healthy</v>
      </c>
    </row>
    <row r="42" spans="1:11" ht="20.100000000000001" customHeight="1">
      <c r="A42" t="s">
        <v>309</v>
      </c>
      <c r="B42">
        <v>18</v>
      </c>
      <c r="C42">
        <v>16</v>
      </c>
      <c r="D42">
        <v>2</v>
      </c>
      <c r="E42" s="5">
        <f t="shared" si="3"/>
        <v>88.888888888888886</v>
      </c>
      <c r="F42">
        <v>14</v>
      </c>
      <c r="G42">
        <v>3</v>
      </c>
      <c r="H42">
        <v>1</v>
      </c>
      <c r="I42">
        <v>1</v>
      </c>
      <c r="J42" s="5">
        <f t="shared" si="4"/>
        <v>100</v>
      </c>
      <c r="K42" t="str">
        <f t="shared" si="5"/>
        <v>Healthy</v>
      </c>
    </row>
    <row r="43" spans="1:11" ht="20.100000000000001" customHeight="1">
      <c r="A43" t="s">
        <v>315</v>
      </c>
      <c r="B43">
        <v>19</v>
      </c>
      <c r="C43">
        <v>16</v>
      </c>
      <c r="D43">
        <v>3</v>
      </c>
      <c r="E43" s="5">
        <f t="shared" si="3"/>
        <v>84.210526315789465</v>
      </c>
      <c r="F43">
        <v>15</v>
      </c>
      <c r="G43">
        <v>4</v>
      </c>
      <c r="H43">
        <v>1</v>
      </c>
      <c r="I43">
        <v>1</v>
      </c>
      <c r="J43" s="5">
        <f t="shared" si="4"/>
        <v>100</v>
      </c>
      <c r="K43" t="str">
        <f t="shared" si="5"/>
        <v>Healthy</v>
      </c>
    </row>
    <row r="44" spans="1:11" ht="20.100000000000001" customHeight="1">
      <c r="A44" t="s">
        <v>321</v>
      </c>
      <c r="B44">
        <v>20</v>
      </c>
      <c r="C44">
        <v>16</v>
      </c>
      <c r="D44">
        <v>4</v>
      </c>
      <c r="E44" s="5">
        <f t="shared" si="3"/>
        <v>80</v>
      </c>
      <c r="F44">
        <v>16</v>
      </c>
      <c r="G44">
        <v>5</v>
      </c>
      <c r="H44">
        <v>1</v>
      </c>
      <c r="I44">
        <v>1</v>
      </c>
      <c r="J44" s="5">
        <f t="shared" si="4"/>
        <v>100</v>
      </c>
      <c r="K44" t="str">
        <f t="shared" si="5"/>
        <v>Healthy</v>
      </c>
    </row>
    <row r="45" spans="1:11" ht="20.100000000000001" customHeight="1">
      <c r="A45" t="s">
        <v>328</v>
      </c>
      <c r="B45">
        <v>12</v>
      </c>
      <c r="C45">
        <v>12</v>
      </c>
      <c r="D45">
        <v>0</v>
      </c>
      <c r="E45" s="5">
        <f t="shared" si="3"/>
        <v>100</v>
      </c>
      <c r="F45">
        <v>17</v>
      </c>
      <c r="G45">
        <v>6</v>
      </c>
      <c r="H45">
        <v>1</v>
      </c>
      <c r="I45">
        <v>1</v>
      </c>
      <c r="J45" s="5">
        <f t="shared" si="4"/>
        <v>100</v>
      </c>
      <c r="K45" t="str">
        <f t="shared" si="5"/>
        <v>Healthy</v>
      </c>
    </row>
    <row r="46" spans="1:11" ht="20.100000000000001" customHeight="1">
      <c r="A46" t="s">
        <v>336</v>
      </c>
      <c r="B46">
        <v>13</v>
      </c>
      <c r="C46">
        <v>12</v>
      </c>
      <c r="D46">
        <v>1</v>
      </c>
      <c r="E46" s="5">
        <f t="shared" si="3"/>
        <v>92.307692307692307</v>
      </c>
      <c r="F46">
        <v>18</v>
      </c>
      <c r="G46">
        <v>7</v>
      </c>
      <c r="H46">
        <v>1</v>
      </c>
      <c r="I46">
        <v>1</v>
      </c>
      <c r="J46" s="5">
        <f t="shared" si="4"/>
        <v>100</v>
      </c>
      <c r="K46" t="str">
        <f t="shared" si="5"/>
        <v>Healthy</v>
      </c>
    </row>
    <row r="47" spans="1:11" ht="20.100000000000001" customHeight="1">
      <c r="A47" t="s">
        <v>344</v>
      </c>
      <c r="B47">
        <v>14</v>
      </c>
      <c r="C47">
        <v>12</v>
      </c>
      <c r="D47">
        <v>2</v>
      </c>
      <c r="E47" s="5">
        <f t="shared" si="3"/>
        <v>85.714285714285708</v>
      </c>
      <c r="F47">
        <v>19</v>
      </c>
      <c r="G47">
        <v>8</v>
      </c>
      <c r="H47">
        <v>1</v>
      </c>
      <c r="I47">
        <v>1</v>
      </c>
      <c r="J47" s="5">
        <f t="shared" si="4"/>
        <v>100</v>
      </c>
      <c r="K47" t="str">
        <f t="shared" si="5"/>
        <v>Healthy</v>
      </c>
    </row>
    <row r="48" spans="1:11" ht="20.100000000000001" customHeight="1">
      <c r="A48" t="s">
        <v>351</v>
      </c>
      <c r="B48">
        <v>15</v>
      </c>
      <c r="C48">
        <v>12</v>
      </c>
      <c r="D48">
        <v>3</v>
      </c>
      <c r="E48" s="5">
        <f t="shared" si="3"/>
        <v>80</v>
      </c>
      <c r="F48">
        <v>12</v>
      </c>
      <c r="G48">
        <v>9</v>
      </c>
      <c r="H48">
        <v>0</v>
      </c>
      <c r="I48">
        <v>1</v>
      </c>
      <c r="J48" s="5">
        <f t="shared" si="4"/>
        <v>0</v>
      </c>
      <c r="K48" t="str">
        <f t="shared" si="5"/>
        <v>Weak</v>
      </c>
    </row>
    <row r="49" spans="1:11" ht="20.100000000000001" customHeight="1">
      <c r="A49" t="s">
        <v>358</v>
      </c>
      <c r="B49">
        <v>16</v>
      </c>
      <c r="C49">
        <v>12</v>
      </c>
      <c r="D49">
        <v>4</v>
      </c>
      <c r="E49" s="5">
        <f t="shared" si="3"/>
        <v>75</v>
      </c>
      <c r="F49">
        <v>13</v>
      </c>
      <c r="G49">
        <v>3</v>
      </c>
      <c r="H49">
        <v>0</v>
      </c>
      <c r="I49">
        <v>1</v>
      </c>
      <c r="J49" s="5">
        <f t="shared" si="4"/>
        <v>0</v>
      </c>
      <c r="K49" t="str">
        <f t="shared" si="5"/>
        <v>Weak</v>
      </c>
    </row>
    <row r="50" spans="1:11" ht="20.100000000000001" customHeight="1">
      <c r="A50" t="s">
        <v>366</v>
      </c>
      <c r="B50">
        <v>17</v>
      </c>
      <c r="C50">
        <v>17</v>
      </c>
      <c r="D50">
        <v>0</v>
      </c>
      <c r="E50" s="5">
        <f t="shared" si="3"/>
        <v>100</v>
      </c>
      <c r="F50">
        <v>14</v>
      </c>
      <c r="G50">
        <v>4</v>
      </c>
      <c r="H50">
        <v>1</v>
      </c>
      <c r="I50">
        <v>1</v>
      </c>
      <c r="J50" s="5">
        <f t="shared" si="4"/>
        <v>100</v>
      </c>
      <c r="K50" t="str">
        <f t="shared" si="5"/>
        <v>Healthy</v>
      </c>
    </row>
    <row r="51" spans="1:11" ht="20.100000000000001" customHeight="1">
      <c r="A51" t="s">
        <v>373</v>
      </c>
      <c r="B51">
        <v>18</v>
      </c>
      <c r="C51">
        <v>17</v>
      </c>
      <c r="D51">
        <v>1</v>
      </c>
      <c r="E51" s="5">
        <f t="shared" si="3"/>
        <v>94.444444444444443</v>
      </c>
      <c r="F51">
        <v>15</v>
      </c>
      <c r="G51">
        <v>5</v>
      </c>
      <c r="H51">
        <v>1</v>
      </c>
      <c r="I51">
        <v>1</v>
      </c>
      <c r="J51" s="5">
        <f t="shared" si="4"/>
        <v>100</v>
      </c>
      <c r="K51" t="str">
        <f t="shared" si="5"/>
        <v>Healthy</v>
      </c>
    </row>
    <row r="52" spans="1:11" ht="20.100000000000001" customHeight="1">
      <c r="A52" t="s">
        <v>380</v>
      </c>
      <c r="B52">
        <v>19</v>
      </c>
      <c r="C52">
        <v>17</v>
      </c>
      <c r="D52">
        <v>2</v>
      </c>
      <c r="E52" s="5">
        <f t="shared" si="3"/>
        <v>89.473684210526315</v>
      </c>
      <c r="F52">
        <v>16</v>
      </c>
      <c r="G52">
        <v>6</v>
      </c>
      <c r="H52">
        <v>1</v>
      </c>
      <c r="I52">
        <v>1</v>
      </c>
      <c r="J52" s="5">
        <f t="shared" si="4"/>
        <v>100</v>
      </c>
      <c r="K52" t="str">
        <f t="shared" si="5"/>
        <v>Healthy</v>
      </c>
    </row>
    <row r="53" spans="1:11" ht="20.100000000000001" customHeight="1">
      <c r="A53" t="s">
        <v>386</v>
      </c>
      <c r="B53">
        <v>20</v>
      </c>
      <c r="C53">
        <v>17</v>
      </c>
      <c r="D53">
        <v>3</v>
      </c>
      <c r="E53" s="5">
        <f t="shared" si="3"/>
        <v>85</v>
      </c>
      <c r="F53">
        <v>17</v>
      </c>
      <c r="G53">
        <v>7</v>
      </c>
      <c r="H53">
        <v>1</v>
      </c>
      <c r="I53">
        <v>1</v>
      </c>
      <c r="J53" s="5">
        <f t="shared" si="4"/>
        <v>100</v>
      </c>
      <c r="K53" t="str">
        <f t="shared" si="5"/>
        <v>Healthy</v>
      </c>
    </row>
    <row r="54" spans="1:11" ht="20.100000000000001" customHeight="1">
      <c r="A54" t="s">
        <v>393</v>
      </c>
      <c r="B54">
        <v>12</v>
      </c>
      <c r="C54">
        <v>8</v>
      </c>
      <c r="D54">
        <v>4</v>
      </c>
      <c r="E54" s="5">
        <f t="shared" si="3"/>
        <v>66.666666666666657</v>
      </c>
      <c r="F54">
        <v>18</v>
      </c>
      <c r="G54">
        <v>8</v>
      </c>
      <c r="H54">
        <v>1</v>
      </c>
      <c r="I54">
        <v>1</v>
      </c>
      <c r="J54" s="5">
        <f t="shared" si="4"/>
        <v>100</v>
      </c>
      <c r="K54" t="str">
        <f t="shared" si="5"/>
        <v>Review</v>
      </c>
    </row>
    <row r="55" spans="1:11" ht="20.100000000000001" customHeight="1">
      <c r="A55" t="s">
        <v>401</v>
      </c>
      <c r="B55">
        <v>13</v>
      </c>
      <c r="C55">
        <v>13</v>
      </c>
      <c r="D55">
        <v>0</v>
      </c>
      <c r="E55" s="5">
        <f t="shared" si="3"/>
        <v>100</v>
      </c>
      <c r="F55">
        <v>19</v>
      </c>
      <c r="G55">
        <v>9</v>
      </c>
      <c r="H55">
        <v>1</v>
      </c>
      <c r="I55">
        <v>1</v>
      </c>
      <c r="J55" s="5">
        <f t="shared" si="4"/>
        <v>100</v>
      </c>
      <c r="K55" t="str">
        <f t="shared" si="5"/>
        <v>Healthy</v>
      </c>
    </row>
    <row r="56" spans="1:11" ht="20.100000000000001" customHeight="1">
      <c r="A56" t="s">
        <v>409</v>
      </c>
      <c r="B56">
        <v>14</v>
      </c>
      <c r="C56">
        <v>13</v>
      </c>
      <c r="D56">
        <v>1</v>
      </c>
      <c r="E56" s="5">
        <f t="shared" si="3"/>
        <v>92.857142857142861</v>
      </c>
      <c r="F56">
        <v>12</v>
      </c>
      <c r="G56">
        <v>3</v>
      </c>
      <c r="H56">
        <v>1</v>
      </c>
      <c r="I56">
        <v>1</v>
      </c>
      <c r="J56" s="5">
        <f t="shared" si="4"/>
        <v>100</v>
      </c>
      <c r="K56" t="str">
        <f t="shared" si="5"/>
        <v>Healthy</v>
      </c>
    </row>
    <row r="57" spans="1:11" ht="20.100000000000001" customHeight="1">
      <c r="A57" t="s">
        <v>415</v>
      </c>
      <c r="B57">
        <v>15</v>
      </c>
      <c r="C57">
        <v>13</v>
      </c>
      <c r="D57">
        <v>2</v>
      </c>
      <c r="E57" s="5">
        <f t="shared" si="3"/>
        <v>86.666666666666671</v>
      </c>
      <c r="F57">
        <v>13</v>
      </c>
      <c r="G57">
        <v>4</v>
      </c>
      <c r="H57">
        <v>1</v>
      </c>
      <c r="I57">
        <v>1</v>
      </c>
      <c r="J57" s="5">
        <f t="shared" si="4"/>
        <v>100</v>
      </c>
      <c r="K57" t="str">
        <f t="shared" si="5"/>
        <v>Healthy</v>
      </c>
    </row>
    <row r="58" spans="1:11" ht="20.100000000000001" customHeight="1">
      <c r="A58" t="s">
        <v>423</v>
      </c>
      <c r="B58">
        <v>16</v>
      </c>
      <c r="C58">
        <v>13</v>
      </c>
      <c r="D58">
        <v>3</v>
      </c>
      <c r="E58" s="5">
        <f t="shared" si="3"/>
        <v>81.25</v>
      </c>
      <c r="F58">
        <v>14</v>
      </c>
      <c r="G58">
        <v>5</v>
      </c>
      <c r="H58">
        <v>1</v>
      </c>
      <c r="I58">
        <v>1</v>
      </c>
      <c r="J58" s="5">
        <f t="shared" si="4"/>
        <v>100</v>
      </c>
      <c r="K58" t="str">
        <f t="shared" si="5"/>
        <v>Healthy</v>
      </c>
    </row>
    <row r="59" spans="1:11" ht="20.100000000000001" customHeight="1">
      <c r="A59" t="s">
        <v>428</v>
      </c>
      <c r="B59">
        <v>17</v>
      </c>
      <c r="C59">
        <v>13</v>
      </c>
      <c r="D59">
        <v>4</v>
      </c>
      <c r="E59" s="5">
        <f t="shared" si="3"/>
        <v>76.470588235294116</v>
      </c>
      <c r="F59">
        <v>15</v>
      </c>
      <c r="G59">
        <v>6</v>
      </c>
      <c r="H59">
        <v>1</v>
      </c>
      <c r="I59">
        <v>1</v>
      </c>
      <c r="J59" s="5">
        <f t="shared" si="4"/>
        <v>100</v>
      </c>
      <c r="K59" t="str">
        <f t="shared" si="5"/>
        <v>Review</v>
      </c>
    </row>
    <row r="60" spans="1:11" ht="20.100000000000001" customHeight="1">
      <c r="A60" t="s">
        <v>437</v>
      </c>
      <c r="B60">
        <v>18</v>
      </c>
      <c r="C60">
        <v>18</v>
      </c>
      <c r="D60">
        <v>0</v>
      </c>
      <c r="E60" s="5">
        <f t="shared" si="3"/>
        <v>100</v>
      </c>
      <c r="F60">
        <v>16</v>
      </c>
      <c r="G60">
        <v>7</v>
      </c>
      <c r="H60">
        <v>0</v>
      </c>
      <c r="I60">
        <v>1</v>
      </c>
      <c r="J60" s="5">
        <f t="shared" si="4"/>
        <v>0</v>
      </c>
      <c r="K60" t="str">
        <f t="shared" si="5"/>
        <v>Weak</v>
      </c>
    </row>
    <row r="61" spans="1:11" ht="20.100000000000001" customHeight="1">
      <c r="A61" t="s">
        <v>444</v>
      </c>
      <c r="B61">
        <v>19</v>
      </c>
      <c r="C61">
        <v>18</v>
      </c>
      <c r="D61">
        <v>1</v>
      </c>
      <c r="E61" s="5">
        <f t="shared" si="3"/>
        <v>94.73684210526315</v>
      </c>
      <c r="F61">
        <v>17</v>
      </c>
      <c r="G61">
        <v>8</v>
      </c>
      <c r="H61">
        <v>0</v>
      </c>
      <c r="I61">
        <v>1</v>
      </c>
      <c r="J61" s="5">
        <f t="shared" si="4"/>
        <v>0</v>
      </c>
      <c r="K61" t="str">
        <f t="shared" si="5"/>
        <v>Weak</v>
      </c>
    </row>
    <row r="62" spans="1:11" ht="20.100000000000001" customHeight="1">
      <c r="A62" t="s">
        <v>449</v>
      </c>
      <c r="B62">
        <v>20</v>
      </c>
      <c r="C62">
        <v>18</v>
      </c>
      <c r="D62">
        <v>2</v>
      </c>
      <c r="E62" s="5">
        <f t="shared" si="3"/>
        <v>90</v>
      </c>
      <c r="F62">
        <v>18</v>
      </c>
      <c r="G62">
        <v>9</v>
      </c>
      <c r="H62">
        <v>1</v>
      </c>
      <c r="I62">
        <v>1</v>
      </c>
      <c r="J62" s="5">
        <f t="shared" si="4"/>
        <v>100</v>
      </c>
      <c r="K62" t="str">
        <f t="shared" si="5"/>
        <v>Healthy</v>
      </c>
    </row>
    <row r="63" spans="1:11" ht="20.100000000000001" customHeight="1">
      <c r="A63" t="s">
        <v>455</v>
      </c>
      <c r="B63">
        <v>12</v>
      </c>
      <c r="C63">
        <v>9</v>
      </c>
      <c r="D63">
        <v>3</v>
      </c>
      <c r="E63" s="5">
        <f t="shared" si="3"/>
        <v>75</v>
      </c>
      <c r="F63">
        <v>19</v>
      </c>
      <c r="G63">
        <v>3</v>
      </c>
      <c r="H63">
        <v>1</v>
      </c>
      <c r="I63">
        <v>1</v>
      </c>
      <c r="J63" s="5">
        <f t="shared" si="4"/>
        <v>100</v>
      </c>
      <c r="K63" t="str">
        <f t="shared" si="5"/>
        <v>Review</v>
      </c>
    </row>
    <row r="64" spans="1:11" ht="20.100000000000001" customHeight="1">
      <c r="A64" t="s">
        <v>462</v>
      </c>
      <c r="B64">
        <v>13</v>
      </c>
      <c r="C64">
        <v>9</v>
      </c>
      <c r="D64">
        <v>4</v>
      </c>
      <c r="E64" s="5">
        <f t="shared" si="3"/>
        <v>69.230769230769226</v>
      </c>
      <c r="F64">
        <v>12</v>
      </c>
      <c r="G64">
        <v>4</v>
      </c>
      <c r="H64">
        <v>0</v>
      </c>
      <c r="I64">
        <v>1</v>
      </c>
      <c r="J64" s="5">
        <f t="shared" si="4"/>
        <v>0</v>
      </c>
      <c r="K64" t="str">
        <f t="shared" si="5"/>
        <v>Weak</v>
      </c>
    </row>
    <row r="65" spans="1:11" ht="20.100000000000001" customHeight="1">
      <c r="A65" t="s">
        <v>470</v>
      </c>
      <c r="B65">
        <v>14</v>
      </c>
      <c r="C65">
        <v>14</v>
      </c>
      <c r="D65">
        <v>0</v>
      </c>
      <c r="E65" s="5">
        <f t="shared" si="3"/>
        <v>100</v>
      </c>
      <c r="F65">
        <v>13</v>
      </c>
      <c r="G65">
        <v>5</v>
      </c>
      <c r="H65">
        <v>1</v>
      </c>
      <c r="I65">
        <v>1</v>
      </c>
      <c r="J65" s="5">
        <f t="shared" si="4"/>
        <v>100</v>
      </c>
      <c r="K65" t="str">
        <f t="shared" si="5"/>
        <v>Healthy</v>
      </c>
    </row>
    <row r="66" spans="1:11" ht="20.100000000000001" customHeight="1">
      <c r="A66" t="s">
        <v>477</v>
      </c>
      <c r="B66">
        <v>15</v>
      </c>
      <c r="C66">
        <v>14</v>
      </c>
      <c r="D66">
        <v>1</v>
      </c>
      <c r="E66" s="5">
        <f t="shared" si="3"/>
        <v>93.333333333333329</v>
      </c>
      <c r="F66">
        <v>14</v>
      </c>
      <c r="G66">
        <v>6</v>
      </c>
      <c r="H66">
        <v>1</v>
      </c>
      <c r="I66">
        <v>1</v>
      </c>
      <c r="J66" s="5">
        <f t="shared" si="4"/>
        <v>100</v>
      </c>
      <c r="K66" t="str">
        <f t="shared" si="5"/>
        <v>Healthy</v>
      </c>
    </row>
    <row r="67" spans="1:11" ht="20.100000000000001" customHeight="1">
      <c r="A67" t="s">
        <v>485</v>
      </c>
      <c r="B67">
        <v>16</v>
      </c>
      <c r="C67">
        <v>14</v>
      </c>
      <c r="D67">
        <v>2</v>
      </c>
      <c r="E67" s="5">
        <f t="shared" si="3"/>
        <v>87.5</v>
      </c>
      <c r="F67">
        <v>15</v>
      </c>
      <c r="G67">
        <v>7</v>
      </c>
      <c r="H67">
        <v>1</v>
      </c>
      <c r="I67">
        <v>1</v>
      </c>
      <c r="J67" s="5">
        <f t="shared" si="4"/>
        <v>100</v>
      </c>
      <c r="K67" t="str">
        <f t="shared" si="5"/>
        <v>Healthy</v>
      </c>
    </row>
    <row r="68" spans="1:11" ht="20.100000000000001" customHeight="1">
      <c r="A68" t="s">
        <v>491</v>
      </c>
      <c r="B68">
        <v>17</v>
      </c>
      <c r="C68">
        <v>14</v>
      </c>
      <c r="D68">
        <v>3</v>
      </c>
      <c r="E68" s="5">
        <f t="shared" si="3"/>
        <v>82.35294117647058</v>
      </c>
      <c r="F68">
        <v>16</v>
      </c>
      <c r="G68">
        <v>8</v>
      </c>
      <c r="H68">
        <v>1</v>
      </c>
      <c r="I68">
        <v>1</v>
      </c>
      <c r="J68" s="5">
        <f t="shared" si="4"/>
        <v>100</v>
      </c>
      <c r="K68" t="str">
        <f t="shared" si="5"/>
        <v>Healthy</v>
      </c>
    </row>
    <row r="69" spans="1:11" ht="20.100000000000001" customHeight="1">
      <c r="A69" t="s">
        <v>501</v>
      </c>
      <c r="B69">
        <v>18</v>
      </c>
      <c r="C69">
        <v>14</v>
      </c>
      <c r="D69">
        <v>4</v>
      </c>
      <c r="E69" s="5">
        <f t="shared" ref="E69:E84" si="6">IF(B69=0,0,C69/B69*100)</f>
        <v>77.777777777777786</v>
      </c>
      <c r="F69">
        <v>17</v>
      </c>
      <c r="G69">
        <v>9</v>
      </c>
      <c r="H69">
        <v>0</v>
      </c>
      <c r="I69">
        <v>1</v>
      </c>
      <c r="J69" s="5">
        <f t="shared" ref="J69:J100" si="7">IF(I69=0,0,H69/I69*100)</f>
        <v>0</v>
      </c>
      <c r="K69" t="str">
        <f t="shared" ref="K69:K100" si="8">IF(AND(E69&gt;=80,J69=100,G69&lt;=15),"Healthy",IF(AND(E69&gt;=60,J69&gt;=50),"Review","Weak"))</f>
        <v>Weak</v>
      </c>
    </row>
    <row r="70" spans="1:11" ht="20.100000000000001" customHeight="1">
      <c r="A70" t="s">
        <v>508</v>
      </c>
      <c r="B70">
        <v>19</v>
      </c>
      <c r="C70">
        <v>19</v>
      </c>
      <c r="D70">
        <v>0</v>
      </c>
      <c r="E70" s="5">
        <f t="shared" si="6"/>
        <v>100</v>
      </c>
      <c r="F70">
        <v>18</v>
      </c>
      <c r="G70">
        <v>3</v>
      </c>
      <c r="H70">
        <v>1</v>
      </c>
      <c r="I70">
        <v>1</v>
      </c>
      <c r="J70" s="5">
        <f t="shared" si="7"/>
        <v>100</v>
      </c>
      <c r="K70" t="str">
        <f t="shared" si="8"/>
        <v>Healthy</v>
      </c>
    </row>
    <row r="71" spans="1:11" ht="20.100000000000001" customHeight="1">
      <c r="A71" t="s">
        <v>517</v>
      </c>
      <c r="B71">
        <v>20</v>
      </c>
      <c r="C71">
        <v>19</v>
      </c>
      <c r="D71">
        <v>1</v>
      </c>
      <c r="E71" s="5">
        <f t="shared" si="6"/>
        <v>95</v>
      </c>
      <c r="F71">
        <v>19</v>
      </c>
      <c r="G71">
        <v>4</v>
      </c>
      <c r="H71">
        <v>1</v>
      </c>
      <c r="I71">
        <v>1</v>
      </c>
      <c r="J71" s="5">
        <f t="shared" si="7"/>
        <v>100</v>
      </c>
      <c r="K71" t="str">
        <f t="shared" si="8"/>
        <v>Healthy</v>
      </c>
    </row>
    <row r="72" spans="1:11" ht="20.100000000000001" customHeight="1">
      <c r="A72" t="s">
        <v>526</v>
      </c>
      <c r="B72">
        <v>12</v>
      </c>
      <c r="C72">
        <v>10</v>
      </c>
      <c r="D72">
        <v>2</v>
      </c>
      <c r="E72" s="5">
        <f t="shared" si="6"/>
        <v>83.333333333333343</v>
      </c>
      <c r="F72">
        <v>12</v>
      </c>
      <c r="G72">
        <v>5</v>
      </c>
      <c r="H72">
        <v>1</v>
      </c>
      <c r="I72">
        <v>1</v>
      </c>
      <c r="J72" s="5">
        <f t="shared" si="7"/>
        <v>100</v>
      </c>
      <c r="K72" t="str">
        <f t="shared" si="8"/>
        <v>Healthy</v>
      </c>
    </row>
    <row r="73" spans="1:11" ht="20.100000000000001" customHeight="1">
      <c r="A73" t="s">
        <v>532</v>
      </c>
      <c r="B73">
        <v>13</v>
      </c>
      <c r="C73">
        <v>10</v>
      </c>
      <c r="D73">
        <v>3</v>
      </c>
      <c r="E73" s="5">
        <f t="shared" si="6"/>
        <v>76.923076923076934</v>
      </c>
      <c r="F73">
        <v>13</v>
      </c>
      <c r="G73">
        <v>6</v>
      </c>
      <c r="H73">
        <v>1</v>
      </c>
      <c r="I73">
        <v>1</v>
      </c>
      <c r="J73" s="5">
        <f t="shared" si="7"/>
        <v>100</v>
      </c>
      <c r="K73" t="str">
        <f t="shared" si="8"/>
        <v>Review</v>
      </c>
    </row>
    <row r="74" spans="1:11" ht="20.100000000000001" customHeight="1">
      <c r="A74" t="s">
        <v>539</v>
      </c>
      <c r="B74">
        <v>14</v>
      </c>
      <c r="C74">
        <v>10</v>
      </c>
      <c r="D74">
        <v>4</v>
      </c>
      <c r="E74" s="5">
        <f t="shared" si="6"/>
        <v>71.428571428571431</v>
      </c>
      <c r="F74">
        <v>14</v>
      </c>
      <c r="G74">
        <v>7</v>
      </c>
      <c r="H74">
        <v>1</v>
      </c>
      <c r="I74">
        <v>1</v>
      </c>
      <c r="J74" s="5">
        <f t="shared" si="7"/>
        <v>100</v>
      </c>
      <c r="K74" t="str">
        <f t="shared" si="8"/>
        <v>Review</v>
      </c>
    </row>
    <row r="75" spans="1:11" ht="20.100000000000001" customHeight="1">
      <c r="A75" t="s">
        <v>547</v>
      </c>
      <c r="B75">
        <v>15</v>
      </c>
      <c r="C75">
        <v>15</v>
      </c>
      <c r="D75">
        <v>0</v>
      </c>
      <c r="E75" s="5">
        <f t="shared" si="6"/>
        <v>100</v>
      </c>
      <c r="F75">
        <v>15</v>
      </c>
      <c r="G75">
        <v>8</v>
      </c>
      <c r="H75">
        <v>1</v>
      </c>
      <c r="I75">
        <v>1</v>
      </c>
      <c r="J75" s="5">
        <f t="shared" si="7"/>
        <v>100</v>
      </c>
      <c r="K75" t="str">
        <f t="shared" si="8"/>
        <v>Healthy</v>
      </c>
    </row>
    <row r="76" spans="1:11" ht="20.100000000000001" customHeight="1">
      <c r="A76" t="s">
        <v>556</v>
      </c>
      <c r="B76">
        <v>16</v>
      </c>
      <c r="C76">
        <v>15</v>
      </c>
      <c r="D76">
        <v>1</v>
      </c>
      <c r="E76" s="5">
        <f t="shared" si="6"/>
        <v>93.75</v>
      </c>
      <c r="F76">
        <v>16</v>
      </c>
      <c r="G76">
        <v>9</v>
      </c>
      <c r="H76">
        <v>1</v>
      </c>
      <c r="I76">
        <v>1</v>
      </c>
      <c r="J76" s="5">
        <f t="shared" si="7"/>
        <v>100</v>
      </c>
      <c r="K76" t="str">
        <f t="shared" si="8"/>
        <v>Healthy</v>
      </c>
    </row>
    <row r="77" spans="1:11" ht="20.100000000000001" customHeight="1">
      <c r="A77" t="s">
        <v>562</v>
      </c>
      <c r="B77">
        <v>17</v>
      </c>
      <c r="C77">
        <v>15</v>
      </c>
      <c r="D77">
        <v>2</v>
      </c>
      <c r="E77" s="5">
        <f t="shared" si="6"/>
        <v>88.235294117647058</v>
      </c>
      <c r="F77">
        <v>17</v>
      </c>
      <c r="G77">
        <v>3</v>
      </c>
      <c r="H77">
        <v>1</v>
      </c>
      <c r="I77">
        <v>1</v>
      </c>
      <c r="J77" s="5">
        <f t="shared" si="7"/>
        <v>100</v>
      </c>
      <c r="K77" t="str">
        <f t="shared" si="8"/>
        <v>Healthy</v>
      </c>
    </row>
    <row r="78" spans="1:11" ht="20.100000000000001" customHeight="1">
      <c r="A78" t="s">
        <v>569</v>
      </c>
      <c r="B78">
        <v>18</v>
      </c>
      <c r="C78">
        <v>15</v>
      </c>
      <c r="D78">
        <v>3</v>
      </c>
      <c r="E78" s="5">
        <f t="shared" si="6"/>
        <v>83.333333333333343</v>
      </c>
      <c r="F78">
        <v>18</v>
      </c>
      <c r="G78">
        <v>4</v>
      </c>
      <c r="H78">
        <v>0</v>
      </c>
      <c r="I78">
        <v>1</v>
      </c>
      <c r="J78" s="5">
        <f t="shared" si="7"/>
        <v>0</v>
      </c>
      <c r="K78" t="str">
        <f t="shared" si="8"/>
        <v>Weak</v>
      </c>
    </row>
    <row r="79" spans="1:11" ht="20.100000000000001" customHeight="1">
      <c r="A79" t="s">
        <v>576</v>
      </c>
      <c r="B79">
        <v>19</v>
      </c>
      <c r="C79">
        <v>15</v>
      </c>
      <c r="D79">
        <v>4</v>
      </c>
      <c r="E79" s="5">
        <f t="shared" si="6"/>
        <v>78.94736842105263</v>
      </c>
      <c r="F79">
        <v>19</v>
      </c>
      <c r="G79">
        <v>5</v>
      </c>
      <c r="H79">
        <v>1</v>
      </c>
      <c r="I79">
        <v>1</v>
      </c>
      <c r="J79" s="5">
        <f t="shared" si="7"/>
        <v>100</v>
      </c>
      <c r="K79" t="str">
        <f t="shared" si="8"/>
        <v>Review</v>
      </c>
    </row>
    <row r="80" spans="1:11" ht="20.100000000000001" customHeight="1">
      <c r="A80" t="s">
        <v>584</v>
      </c>
      <c r="B80">
        <v>20</v>
      </c>
      <c r="C80">
        <v>20</v>
      </c>
      <c r="D80">
        <v>0</v>
      </c>
      <c r="E80" s="5">
        <f t="shared" si="6"/>
        <v>100</v>
      </c>
      <c r="F80">
        <v>12</v>
      </c>
      <c r="G80">
        <v>6</v>
      </c>
      <c r="H80">
        <v>1</v>
      </c>
      <c r="I80">
        <v>1</v>
      </c>
      <c r="J80" s="5">
        <f t="shared" si="7"/>
        <v>100</v>
      </c>
      <c r="K80" t="str">
        <f t="shared" si="8"/>
        <v>Healthy</v>
      </c>
    </row>
    <row r="81" spans="1:11" ht="20.100000000000001" customHeight="1">
      <c r="A81" t="s">
        <v>592</v>
      </c>
      <c r="B81">
        <v>12</v>
      </c>
      <c r="C81">
        <v>11</v>
      </c>
      <c r="D81">
        <v>1</v>
      </c>
      <c r="E81" s="5">
        <f t="shared" si="6"/>
        <v>91.666666666666657</v>
      </c>
      <c r="F81">
        <v>13</v>
      </c>
      <c r="G81">
        <v>7</v>
      </c>
      <c r="H81">
        <v>1</v>
      </c>
      <c r="I81">
        <v>1</v>
      </c>
      <c r="J81" s="5">
        <f t="shared" si="7"/>
        <v>100</v>
      </c>
      <c r="K81" t="str">
        <f t="shared" si="8"/>
        <v>Healthy</v>
      </c>
    </row>
    <row r="82" spans="1:11" ht="20.100000000000001" customHeight="1">
      <c r="A82" t="s">
        <v>598</v>
      </c>
      <c r="B82">
        <v>13</v>
      </c>
      <c r="C82">
        <v>11</v>
      </c>
      <c r="D82">
        <v>2</v>
      </c>
      <c r="E82" s="5">
        <f t="shared" si="6"/>
        <v>84.615384615384613</v>
      </c>
      <c r="F82">
        <v>14</v>
      </c>
      <c r="G82">
        <v>8</v>
      </c>
      <c r="H82">
        <v>1</v>
      </c>
      <c r="I82">
        <v>1</v>
      </c>
      <c r="J82" s="5">
        <f t="shared" si="7"/>
        <v>100</v>
      </c>
      <c r="K82" t="str">
        <f t="shared" si="8"/>
        <v>Healthy</v>
      </c>
    </row>
    <row r="83" spans="1:11" ht="20.100000000000001" customHeight="1">
      <c r="A83" t="s">
        <v>607</v>
      </c>
      <c r="B83">
        <v>14</v>
      </c>
      <c r="C83">
        <v>11</v>
      </c>
      <c r="D83">
        <v>3</v>
      </c>
      <c r="E83" s="5">
        <f t="shared" si="6"/>
        <v>78.571428571428569</v>
      </c>
      <c r="F83">
        <v>15</v>
      </c>
      <c r="G83">
        <v>9</v>
      </c>
      <c r="H83">
        <v>0</v>
      </c>
      <c r="I83">
        <v>1</v>
      </c>
      <c r="J83" s="5">
        <f t="shared" si="7"/>
        <v>0</v>
      </c>
      <c r="K83" t="str">
        <f t="shared" si="8"/>
        <v>Weak</v>
      </c>
    </row>
    <row r="84" spans="1:11" ht="20.100000000000001" customHeight="1">
      <c r="A84" t="s">
        <v>614</v>
      </c>
      <c r="B84">
        <v>15</v>
      </c>
      <c r="C84">
        <v>11</v>
      </c>
      <c r="D84">
        <v>4</v>
      </c>
      <c r="E84" s="5">
        <f t="shared" si="6"/>
        <v>73.333333333333329</v>
      </c>
      <c r="F84">
        <v>16</v>
      </c>
      <c r="G84">
        <v>3</v>
      </c>
      <c r="H84">
        <v>1</v>
      </c>
      <c r="I84">
        <v>1</v>
      </c>
      <c r="J84" s="5">
        <f t="shared" si="7"/>
        <v>100</v>
      </c>
      <c r="K84" t="str">
        <f t="shared" si="8"/>
        <v>Review</v>
      </c>
    </row>
    <row r="85" spans="1:11" ht="20.100000000000001" customHeight="1"/>
    <row r="86" spans="1:11" ht="20.100000000000001" customHeight="1"/>
    <row r="87" spans="1:11" ht="20.100000000000001" customHeight="1"/>
    <row r="88" spans="1:11" ht="20.100000000000001" customHeight="1"/>
    <row r="89" spans="1:11" ht="20.100000000000001" customHeight="1"/>
    <row r="90" spans="1:11" ht="20.100000000000001" customHeight="1"/>
    <row r="91" spans="1:11" ht="20.100000000000001" customHeight="1"/>
    <row r="92" spans="1:11" ht="20.100000000000001" customHeight="1"/>
    <row r="93" spans="1:11" ht="20.100000000000001" customHeight="1"/>
    <row r="94" spans="1:11" ht="20.100000000000001" customHeight="1"/>
    <row r="95" spans="1:11" ht="20.100000000000001" customHeight="1"/>
    <row r="96" spans="1:11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K2"/>
  </mergeCells>
  <conditionalFormatting sqref="E5:E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84">
    <cfRule type="expression" dxfId="0" priority="2">
      <formula>K5="Weak"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0"/>
  <sheetViews>
    <sheetView workbookViewId="0"/>
  </sheetViews>
  <sheetFormatPr defaultRowHeight="14.25"/>
  <cols>
    <col min="1" max="1" width="18" customWidth="1"/>
    <col min="2" max="2" width="13" customWidth="1"/>
    <col min="3" max="3" width="12" customWidth="1"/>
    <col min="4" max="4" width="3" customWidth="1"/>
    <col min="5" max="5" width="23" customWidth="1"/>
    <col min="6" max="6" width="16" customWidth="1"/>
    <col min="7" max="7" width="15" customWidth="1"/>
    <col min="8" max="8" width="3" customWidth="1"/>
    <col min="9" max="9" width="16" customWidth="1"/>
    <col min="10" max="12" width="12" customWidth="1"/>
  </cols>
  <sheetData>
    <row r="1" spans="1:12" ht="20.100000000000001" customHeight="1">
      <c r="A1" s="6" t="s">
        <v>865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0.100000000000001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0.100000000000001" customHeight="1">
      <c r="A3" s="7" t="s">
        <v>866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0.100000000000001" customHeight="1"/>
    <row r="5" spans="1:12" ht="20.100000000000001" customHeight="1">
      <c r="A5" s="8" t="s">
        <v>867</v>
      </c>
      <c r="B5" s="8"/>
      <c r="C5" s="8"/>
      <c r="D5" s="8" t="s">
        <v>868</v>
      </c>
      <c r="E5" s="8"/>
      <c r="F5" s="8"/>
      <c r="G5" s="8" t="s">
        <v>869</v>
      </c>
      <c r="H5" s="8"/>
      <c r="I5" s="8"/>
      <c r="J5" s="8" t="s">
        <v>870</v>
      </c>
      <c r="K5" s="8"/>
      <c r="L5" s="8"/>
    </row>
    <row r="6" spans="1:12" ht="20.100000000000001" customHeight="1">
      <c r="A6" s="9">
        <f>COUNTA('Detection Catalog'!A6:A85)</f>
        <v>80</v>
      </c>
      <c r="B6" s="9"/>
      <c r="C6" s="9"/>
      <c r="D6" s="9">
        <f>COUNTIF('Detection Catalog'!N6:N85,"Ready")</f>
        <v>63</v>
      </c>
      <c r="E6" s="9"/>
      <c r="F6" s="9"/>
      <c r="G6" s="9">
        <f>COUNTIF('Detection Catalog'!I6:I85,"Critical")</f>
        <v>52</v>
      </c>
      <c r="H6" s="9"/>
      <c r="I6" s="9"/>
      <c r="J6" s="9">
        <f>COUNTA('Threat Hunting'!A5:A24)</f>
        <v>20</v>
      </c>
      <c r="K6" s="9"/>
      <c r="L6" s="9"/>
    </row>
    <row r="7" spans="1:12" ht="20.100000000000001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20.100000000000001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20.100000000000001" customHeight="1"/>
    <row r="10" spans="1:12" ht="20.100000000000001" customHeight="1"/>
    <row r="11" spans="1:12" ht="20.100000000000001" customHeight="1">
      <c r="A11" s="1" t="s">
        <v>2</v>
      </c>
      <c r="B11" s="1" t="s">
        <v>871</v>
      </c>
      <c r="C11" s="1" t="s">
        <v>26</v>
      </c>
      <c r="E11" s="1" t="s">
        <v>4</v>
      </c>
      <c r="F11" s="1" t="s">
        <v>872</v>
      </c>
      <c r="G11" s="1" t="s">
        <v>873</v>
      </c>
      <c r="I11" s="1" t="s">
        <v>864</v>
      </c>
      <c r="J11" s="1" t="s">
        <v>874</v>
      </c>
    </row>
    <row r="12" spans="1:12" ht="20.100000000000001" customHeight="1">
      <c r="A12" t="s">
        <v>19</v>
      </c>
      <c r="B12">
        <f>COUNTIF('Detection Catalog'!B6:B85,A12)</f>
        <v>12</v>
      </c>
      <c r="C12">
        <f>COUNTIFS('Detection Catalog'!B6:B85,A12,'Detection Catalog'!I6:I85,"Critical")</f>
        <v>7</v>
      </c>
      <c r="E12" t="s">
        <v>279</v>
      </c>
      <c r="F12">
        <v>9</v>
      </c>
      <c r="G12">
        <v>5</v>
      </c>
      <c r="I12" t="s">
        <v>875</v>
      </c>
      <c r="J12">
        <f>COUNTIF('Detection Quality'!K5:K84,I12)</f>
        <v>49</v>
      </c>
    </row>
    <row r="13" spans="1:12" ht="20.100000000000001" customHeight="1">
      <c r="A13" t="s">
        <v>120</v>
      </c>
      <c r="B13">
        <f>COUNTIF('Detection Catalog'!B6:B85,A13)</f>
        <v>6</v>
      </c>
      <c r="C13">
        <f>COUNTIFS('Detection Catalog'!B6:B85,A13,'Detection Catalog'!I6:I85,"Critical")</f>
        <v>4</v>
      </c>
      <c r="E13" t="s">
        <v>353</v>
      </c>
      <c r="F13">
        <v>8</v>
      </c>
      <c r="G13">
        <v>5</v>
      </c>
      <c r="I13" t="s">
        <v>876</v>
      </c>
      <c r="J13">
        <f>COUNTIF('Detection Quality'!K5:K84,I13)</f>
        <v>14</v>
      </c>
    </row>
    <row r="14" spans="1:12" ht="20.100000000000001" customHeight="1">
      <c r="A14" t="s">
        <v>166</v>
      </c>
      <c r="B14">
        <f>COUNTIF('Detection Catalog'!B6:B85,A14)</f>
        <v>7</v>
      </c>
      <c r="C14">
        <f>COUNTIFS('Detection Catalog'!B6:B85,A14,'Detection Catalog'!I6:I85,"Critical")</f>
        <v>4</v>
      </c>
      <c r="E14" t="s">
        <v>57</v>
      </c>
      <c r="F14">
        <v>13</v>
      </c>
      <c r="G14">
        <v>5</v>
      </c>
      <c r="I14" t="s">
        <v>877</v>
      </c>
      <c r="J14">
        <f>COUNTIF('Detection Quality'!K5:K84,I14)</f>
        <v>17</v>
      </c>
    </row>
    <row r="15" spans="1:12" ht="20.100000000000001" customHeight="1">
      <c r="A15" t="s">
        <v>219</v>
      </c>
      <c r="B15">
        <f>COUNTIF('Detection Catalog'!B6:B85,A15)</f>
        <v>5</v>
      </c>
      <c r="C15">
        <f>COUNTIFS('Detection Catalog'!B6:B85,A15,'Detection Catalog'!I6:I85,"Critical")</f>
        <v>3</v>
      </c>
      <c r="E15" t="s">
        <v>42</v>
      </c>
      <c r="F15">
        <v>10</v>
      </c>
      <c r="G15">
        <v>5</v>
      </c>
    </row>
    <row r="16" spans="1:12" ht="20.100000000000001" customHeight="1">
      <c r="A16" t="s">
        <v>253</v>
      </c>
      <c r="B16">
        <f>COUNTIF('Detection Catalog'!B6:B85,A16)</f>
        <v>10</v>
      </c>
      <c r="C16">
        <f>COUNTIFS('Detection Catalog'!B6:B85,A16,'Detection Catalog'!I6:I85,"Critical")</f>
        <v>7</v>
      </c>
      <c r="E16" t="s">
        <v>122</v>
      </c>
      <c r="F16">
        <v>13</v>
      </c>
      <c r="G16">
        <v>5</v>
      </c>
    </row>
    <row r="17" spans="1:7" ht="20.100000000000001" customHeight="1">
      <c r="A17" t="s">
        <v>329</v>
      </c>
      <c r="B17">
        <f>COUNTIF('Detection Catalog'!B6:B85,A17)</f>
        <v>10</v>
      </c>
      <c r="C17">
        <f>COUNTIFS('Detection Catalog'!B6:B85,A17,'Detection Catalog'!I6:I85,"Critical")</f>
        <v>7</v>
      </c>
      <c r="E17" t="s">
        <v>346</v>
      </c>
      <c r="F17">
        <v>8</v>
      </c>
      <c r="G17">
        <v>5</v>
      </c>
    </row>
    <row r="18" spans="1:7" ht="20.100000000000001" customHeight="1">
      <c r="A18" t="s">
        <v>402</v>
      </c>
      <c r="B18">
        <f>COUNTIF('Detection Catalog'!B6:B85,A18)</f>
        <v>5</v>
      </c>
      <c r="C18">
        <f>COUNTIFS('Detection Catalog'!B6:B85,A18,'Detection Catalog'!I6:I85,"Critical")</f>
        <v>3</v>
      </c>
      <c r="E18" t="s">
        <v>878</v>
      </c>
      <c r="F18">
        <v>1</v>
      </c>
      <c r="G18">
        <v>5</v>
      </c>
    </row>
    <row r="19" spans="1:7" ht="20.100000000000001" customHeight="1">
      <c r="A19" t="s">
        <v>438</v>
      </c>
      <c r="B19">
        <f>COUNTIF('Detection Catalog'!B6:B85,A19)</f>
        <v>3</v>
      </c>
      <c r="C19">
        <f>COUNTIFS('Detection Catalog'!B6:B85,A19,'Detection Catalog'!I6:I85,"Critical")</f>
        <v>2</v>
      </c>
      <c r="E19" t="s">
        <v>519</v>
      </c>
      <c r="F19">
        <v>1</v>
      </c>
      <c r="G19">
        <v>5</v>
      </c>
    </row>
    <row r="20" spans="1:7" ht="20.100000000000001" customHeight="1">
      <c r="A20" t="s">
        <v>456</v>
      </c>
      <c r="B20">
        <f>COUNTIF('Detection Catalog'!B6:B85,A20)</f>
        <v>2</v>
      </c>
      <c r="C20">
        <f>COUNTIFS('Detection Catalog'!B6:B85,A20,'Detection Catalog'!I6:I85,"Critical")</f>
        <v>2</v>
      </c>
      <c r="E20" t="s">
        <v>205</v>
      </c>
      <c r="F20">
        <v>10</v>
      </c>
      <c r="G20">
        <v>5</v>
      </c>
    </row>
    <row r="21" spans="1:7" ht="20.100000000000001" customHeight="1">
      <c r="A21" t="s">
        <v>471</v>
      </c>
      <c r="B21">
        <f>COUNTIF('Detection Catalog'!B6:B85,A21)</f>
        <v>8</v>
      </c>
      <c r="C21">
        <f>COUNTIFS('Detection Catalog'!B6:B85,A21,'Detection Catalog'!I6:I85,"Critical")</f>
        <v>4</v>
      </c>
      <c r="E21" t="s">
        <v>430</v>
      </c>
      <c r="F21">
        <v>4</v>
      </c>
      <c r="G21">
        <v>5</v>
      </c>
    </row>
    <row r="22" spans="1:7" ht="20.100000000000001" customHeight="1">
      <c r="A22" t="s">
        <v>533</v>
      </c>
      <c r="B22">
        <f>COUNTIF('Detection Catalog'!B6:B85,A22)</f>
        <v>4</v>
      </c>
      <c r="C22">
        <f>COUNTIFS('Detection Catalog'!B6:B85,A22,'Detection Catalog'!I6:I85,"Critical")</f>
        <v>3</v>
      </c>
      <c r="E22" t="s">
        <v>221</v>
      </c>
      <c r="F22">
        <v>10</v>
      </c>
      <c r="G22">
        <v>5</v>
      </c>
    </row>
    <row r="23" spans="1:7" ht="20.100000000000001" customHeight="1">
      <c r="A23" t="s">
        <v>563</v>
      </c>
      <c r="B23">
        <f>COUNTIF('Detection Catalog'!B6:B85,A23)</f>
        <v>2</v>
      </c>
      <c r="C23">
        <f>COUNTIFS('Detection Catalog'!B6:B85,A23,'Detection Catalog'!I6:I85,"Critical")</f>
        <v>1</v>
      </c>
      <c r="E23" t="s">
        <v>191</v>
      </c>
      <c r="F23">
        <v>5</v>
      </c>
      <c r="G23">
        <v>5</v>
      </c>
    </row>
    <row r="24" spans="1:7" ht="20.100000000000001" customHeight="1">
      <c r="A24" t="s">
        <v>577</v>
      </c>
      <c r="B24">
        <f>COUNTIF('Detection Catalog'!B6:B85,A24)</f>
        <v>3</v>
      </c>
      <c r="C24">
        <f>COUNTIFS('Detection Catalog'!B6:B85,A24,'Detection Catalog'!I6:I85,"Critical")</f>
        <v>3</v>
      </c>
    </row>
    <row r="25" spans="1:7" ht="20.100000000000001" customHeight="1">
      <c r="A25" t="s">
        <v>599</v>
      </c>
      <c r="B25">
        <f>COUNTIF('Detection Catalog'!B6:B85,A25)</f>
        <v>3</v>
      </c>
      <c r="C25">
        <f>COUNTIFS('Detection Catalog'!B6:B85,A25,'Detection Catalog'!I6:I85,"Critical")</f>
        <v>2</v>
      </c>
    </row>
    <row r="26" spans="1:7" ht="20.100000000000001" customHeight="1"/>
    <row r="27" spans="1:7" ht="20.100000000000001" customHeight="1"/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spans="1:12" ht="20.100000000000001" customHeight="1"/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>
      <c r="G47" s="10" t="s">
        <v>879</v>
      </c>
      <c r="H47" s="10"/>
      <c r="I47" s="10"/>
      <c r="J47" s="10"/>
      <c r="K47" s="10"/>
      <c r="L47" s="10"/>
    </row>
    <row r="48" spans="1:12" ht="20.100000000000001" customHeight="1">
      <c r="A48" s="2"/>
      <c r="B48" s="2"/>
      <c r="C48" s="2"/>
      <c r="D48" s="2"/>
      <c r="E48" s="2"/>
      <c r="F48" s="2"/>
      <c r="G48" s="2" t="s">
        <v>880</v>
      </c>
      <c r="H48" s="11" t="s">
        <v>881</v>
      </c>
      <c r="I48" s="11"/>
      <c r="J48" s="11"/>
      <c r="K48" s="11"/>
      <c r="L48" s="11"/>
    </row>
    <row r="49" spans="1:12" ht="20.100000000000001" customHeight="1">
      <c r="A49" s="2"/>
      <c r="B49" s="2"/>
      <c r="C49" s="2"/>
      <c r="D49" s="2"/>
      <c r="E49" s="2"/>
      <c r="F49" s="2"/>
      <c r="G49" s="2" t="s">
        <v>882</v>
      </c>
      <c r="H49" s="11" t="s">
        <v>883</v>
      </c>
      <c r="I49" s="11"/>
      <c r="J49" s="11"/>
      <c r="K49" s="11"/>
      <c r="L49" s="11"/>
    </row>
    <row r="50" spans="1:12" ht="20.100000000000001" customHeight="1">
      <c r="A50" s="2"/>
      <c r="B50" s="2"/>
      <c r="C50" s="2"/>
      <c r="D50" s="2"/>
      <c r="E50" s="2"/>
      <c r="F50" s="2"/>
      <c r="G50" s="2" t="s">
        <v>884</v>
      </c>
      <c r="H50" s="11" t="s">
        <v>885</v>
      </c>
      <c r="I50" s="11"/>
      <c r="J50" s="11"/>
      <c r="K50" s="11"/>
      <c r="L50" s="11"/>
    </row>
    <row r="51" spans="1:12" ht="20.100000000000001" customHeight="1">
      <c r="A51" s="2"/>
      <c r="B51" s="2"/>
      <c r="C51" s="2"/>
      <c r="D51" s="2"/>
      <c r="E51" s="2"/>
      <c r="F51" s="2"/>
      <c r="G51" s="2" t="s">
        <v>631</v>
      </c>
      <c r="H51" s="11" t="s">
        <v>886</v>
      </c>
      <c r="I51" s="11"/>
      <c r="J51" s="11"/>
      <c r="K51" s="11"/>
      <c r="L51" s="11"/>
    </row>
    <row r="52" spans="1:12" ht="20.100000000000001" customHeight="1"/>
    <row r="53" spans="1:12" ht="20.100000000000001" customHeight="1"/>
    <row r="54" spans="1:12" ht="20.100000000000001" customHeight="1"/>
    <row r="55" spans="1:12" ht="20.100000000000001" customHeight="1"/>
    <row r="56" spans="1:12" ht="20.100000000000001" customHeight="1"/>
    <row r="57" spans="1:12" ht="20.100000000000001" customHeight="1"/>
    <row r="58" spans="1:12" ht="20.100000000000001" customHeight="1"/>
    <row r="59" spans="1:12" ht="20.100000000000001" customHeight="1"/>
    <row r="60" spans="1:12" ht="20.100000000000001" customHeight="1"/>
    <row r="61" spans="1:12" ht="20.100000000000001" customHeight="1"/>
    <row r="62" spans="1:12" ht="20.100000000000001" customHeight="1"/>
    <row r="63" spans="1:12" ht="20.100000000000001" customHeight="1"/>
    <row r="64" spans="1:12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5">
    <mergeCell ref="G47:L47"/>
    <mergeCell ref="H48:L48"/>
    <mergeCell ref="H49:L49"/>
    <mergeCell ref="H50:L50"/>
    <mergeCell ref="H51:L51"/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0"/>
  <sheetViews>
    <sheetView workbookViewId="0"/>
  </sheetViews>
  <sheetFormatPr defaultRowHeight="14.25"/>
  <cols>
    <col min="1" max="1" width="16" customWidth="1"/>
    <col min="2" max="2" width="24" customWidth="1"/>
    <col min="3" max="3" width="40" customWidth="1"/>
    <col min="4" max="5" width="38" customWidth="1"/>
    <col min="6" max="6" width="18" customWidth="1"/>
    <col min="7" max="7" width="20" customWidth="1"/>
    <col min="8" max="8" width="24" customWidth="1"/>
  </cols>
  <sheetData>
    <row r="1" spans="1:8" ht="20.100000000000001" customHeight="1">
      <c r="A1" s="6" t="s">
        <v>887</v>
      </c>
      <c r="B1" s="6"/>
      <c r="C1" s="6"/>
      <c r="D1" s="6"/>
      <c r="E1" s="6"/>
      <c r="F1" s="6"/>
      <c r="G1" s="6"/>
      <c r="H1" s="6"/>
    </row>
    <row r="2" spans="1:8" ht="20.100000000000001" customHeight="1">
      <c r="A2" s="6"/>
      <c r="B2" s="6"/>
      <c r="C2" s="6"/>
      <c r="D2" s="6"/>
      <c r="E2" s="6"/>
      <c r="F2" s="6"/>
      <c r="G2" s="6"/>
      <c r="H2" s="6"/>
    </row>
    <row r="3" spans="1:8" ht="20.100000000000001" customHeight="1"/>
    <row r="4" spans="1:8" ht="20.100000000000001" customHeight="1">
      <c r="A4" s="1" t="s">
        <v>630</v>
      </c>
      <c r="B4" s="1" t="s">
        <v>888</v>
      </c>
      <c r="C4" s="1" t="s">
        <v>876</v>
      </c>
      <c r="D4" s="1" t="s">
        <v>889</v>
      </c>
      <c r="E4" s="1" t="s">
        <v>890</v>
      </c>
      <c r="F4" s="1" t="s">
        <v>891</v>
      </c>
      <c r="G4" s="1" t="s">
        <v>892</v>
      </c>
      <c r="H4" s="1" t="s">
        <v>893</v>
      </c>
    </row>
    <row r="5" spans="1:8" ht="20.100000000000001" customHeight="1">
      <c r="A5" t="s">
        <v>306</v>
      </c>
      <c r="B5" s="2" t="s">
        <v>894</v>
      </c>
      <c r="C5" s="2" t="s">
        <v>895</v>
      </c>
      <c r="D5" s="2" t="s">
        <v>896</v>
      </c>
      <c r="E5" s="2" t="s">
        <v>897</v>
      </c>
      <c r="F5" s="2" t="s">
        <v>898</v>
      </c>
      <c r="G5" s="2" t="s">
        <v>899</v>
      </c>
      <c r="H5" s="2" t="s">
        <v>900</v>
      </c>
    </row>
    <row r="6" spans="1:8" ht="20.100000000000001" customHeight="1">
      <c r="A6" t="s">
        <v>482</v>
      </c>
      <c r="B6" s="2" t="s">
        <v>901</v>
      </c>
      <c r="C6" s="2" t="s">
        <v>902</v>
      </c>
      <c r="D6" s="2" t="s">
        <v>903</v>
      </c>
      <c r="E6" s="2" t="s">
        <v>904</v>
      </c>
      <c r="F6" s="2" t="s">
        <v>905</v>
      </c>
      <c r="G6" s="2" t="s">
        <v>906</v>
      </c>
      <c r="H6" s="2" t="s">
        <v>907</v>
      </c>
    </row>
    <row r="7" spans="1:8" ht="20.100000000000001" customHeight="1">
      <c r="A7" t="s">
        <v>658</v>
      </c>
      <c r="B7" s="2" t="s">
        <v>908</v>
      </c>
      <c r="C7" s="2" t="s">
        <v>909</v>
      </c>
      <c r="D7" s="2" t="s">
        <v>910</v>
      </c>
      <c r="E7" s="2" t="s">
        <v>911</v>
      </c>
      <c r="F7" s="2" t="s">
        <v>912</v>
      </c>
      <c r="G7" s="2" t="s">
        <v>913</v>
      </c>
      <c r="H7" s="2" t="s">
        <v>914</v>
      </c>
    </row>
    <row r="8" spans="1:8" ht="20.100000000000001" customHeight="1">
      <c r="A8" t="s">
        <v>915</v>
      </c>
      <c r="B8" s="2" t="s">
        <v>916</v>
      </c>
      <c r="C8" s="2" t="s">
        <v>917</v>
      </c>
      <c r="D8" s="2" t="s">
        <v>918</v>
      </c>
      <c r="E8" s="2" t="s">
        <v>919</v>
      </c>
      <c r="F8" s="2" t="s">
        <v>915</v>
      </c>
      <c r="G8" s="2" t="s">
        <v>920</v>
      </c>
      <c r="H8" s="2" t="s">
        <v>921</v>
      </c>
    </row>
    <row r="9" spans="1:8" ht="20.100000000000001" customHeight="1">
      <c r="A9" t="s">
        <v>922</v>
      </c>
      <c r="B9" s="2" t="s">
        <v>923</v>
      </c>
      <c r="C9" s="2" t="s">
        <v>924</v>
      </c>
      <c r="D9" s="2" t="s">
        <v>925</v>
      </c>
      <c r="E9" s="2" t="s">
        <v>926</v>
      </c>
      <c r="F9" s="2" t="s">
        <v>922</v>
      </c>
      <c r="G9" s="2" t="s">
        <v>927</v>
      </c>
      <c r="H9" s="2" t="s">
        <v>928</v>
      </c>
    </row>
    <row r="10" spans="1:8" ht="20.100000000000001" customHeight="1"/>
    <row r="11" spans="1:8" ht="20.100000000000001" customHeight="1"/>
    <row r="12" spans="1:8" ht="20.100000000000001" customHeight="1"/>
    <row r="13" spans="1:8" ht="20.100000000000001" customHeight="1"/>
    <row r="14" spans="1:8" ht="20.100000000000001" customHeight="1"/>
    <row r="15" spans="1:8" ht="20.100000000000001" customHeight="1"/>
    <row r="16" spans="1:8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0"/>
  <sheetViews>
    <sheetView workbookViewId="0"/>
  </sheetViews>
  <sheetFormatPr defaultRowHeight="14.25"/>
  <cols>
    <col min="1" max="1" width="18" customWidth="1"/>
    <col min="2" max="2" width="38" customWidth="1"/>
    <col min="3" max="3" width="54" customWidth="1"/>
    <col min="4" max="4" width="76" customWidth="1"/>
    <col min="5" max="5" width="14" customWidth="1"/>
  </cols>
  <sheetData>
    <row r="1" spans="1:5" ht="20.100000000000001" customHeight="1">
      <c r="A1" s="1" t="s">
        <v>929</v>
      </c>
      <c r="B1" s="1" t="s">
        <v>850</v>
      </c>
      <c r="C1" s="1" t="s">
        <v>930</v>
      </c>
      <c r="D1" s="1" t="s">
        <v>931</v>
      </c>
      <c r="E1" s="1" t="s">
        <v>932</v>
      </c>
    </row>
    <row r="2" spans="1:5" ht="20.100000000000001" customHeight="1">
      <c r="A2" t="s">
        <v>933</v>
      </c>
      <c r="B2" s="2" t="s">
        <v>934</v>
      </c>
      <c r="C2" s="2" t="s">
        <v>935</v>
      </c>
      <c r="D2" s="2" t="s">
        <v>32</v>
      </c>
      <c r="E2" s="3">
        <v>46237</v>
      </c>
    </row>
    <row r="3" spans="1:5" ht="20.100000000000001" customHeight="1">
      <c r="A3" t="s">
        <v>933</v>
      </c>
      <c r="B3" s="2" t="s">
        <v>936</v>
      </c>
      <c r="C3" s="2" t="s">
        <v>937</v>
      </c>
      <c r="D3" s="2" t="s">
        <v>74</v>
      </c>
      <c r="E3" s="3">
        <v>46237</v>
      </c>
    </row>
    <row r="4" spans="1:5" ht="20.100000000000001" customHeight="1">
      <c r="A4" t="s">
        <v>933</v>
      </c>
      <c r="B4" s="2" t="s">
        <v>938</v>
      </c>
      <c r="C4" s="2" t="s">
        <v>939</v>
      </c>
      <c r="D4" s="2" t="s">
        <v>147</v>
      </c>
      <c r="E4" s="3">
        <v>46237</v>
      </c>
    </row>
    <row r="5" spans="1:5" ht="20.100000000000001" customHeight="1">
      <c r="A5" t="s">
        <v>933</v>
      </c>
      <c r="B5" s="2" t="s">
        <v>940</v>
      </c>
      <c r="C5" s="2" t="s">
        <v>941</v>
      </c>
      <c r="D5" s="2" t="s">
        <v>942</v>
      </c>
      <c r="E5" s="3">
        <v>46237</v>
      </c>
    </row>
    <row r="6" spans="1:5" ht="20.100000000000001" customHeight="1">
      <c r="A6" t="s">
        <v>933</v>
      </c>
      <c r="B6" s="2" t="s">
        <v>943</v>
      </c>
      <c r="C6" s="2" t="s">
        <v>944</v>
      </c>
      <c r="D6" s="2" t="s">
        <v>516</v>
      </c>
      <c r="E6" s="3">
        <v>46237</v>
      </c>
    </row>
    <row r="7" spans="1:5" ht="20.100000000000001" customHeight="1">
      <c r="A7" t="s">
        <v>933</v>
      </c>
      <c r="B7" s="2" t="s">
        <v>945</v>
      </c>
      <c r="C7" s="2" t="s">
        <v>946</v>
      </c>
      <c r="D7" s="2" t="s">
        <v>300</v>
      </c>
      <c r="E7" s="3">
        <v>46237</v>
      </c>
    </row>
    <row r="8" spans="1:5" ht="20.100000000000001" customHeight="1">
      <c r="A8" t="s">
        <v>933</v>
      </c>
      <c r="B8" s="2" t="s">
        <v>947</v>
      </c>
      <c r="C8" s="2" t="s">
        <v>948</v>
      </c>
      <c r="D8" s="2" t="s">
        <v>422</v>
      </c>
      <c r="E8" s="3">
        <v>46237</v>
      </c>
    </row>
    <row r="9" spans="1:5" ht="20.100000000000001" customHeight="1">
      <c r="A9" t="s">
        <v>933</v>
      </c>
      <c r="B9" s="2" t="s">
        <v>542</v>
      </c>
      <c r="C9" s="2" t="s">
        <v>949</v>
      </c>
      <c r="D9" s="2" t="s">
        <v>546</v>
      </c>
      <c r="E9" s="3">
        <v>46237</v>
      </c>
    </row>
    <row r="10" spans="1:5" ht="20.100000000000001" customHeight="1">
      <c r="A10" t="s">
        <v>933</v>
      </c>
      <c r="B10" s="2" t="s">
        <v>950</v>
      </c>
      <c r="C10" s="2" t="s">
        <v>951</v>
      </c>
      <c r="D10" s="2" t="s">
        <v>500</v>
      </c>
      <c r="E10" s="3">
        <v>46237</v>
      </c>
    </row>
    <row r="11" spans="1:5" ht="20.100000000000001" customHeight="1">
      <c r="A11" t="s">
        <v>933</v>
      </c>
      <c r="B11" s="2" t="s">
        <v>479</v>
      </c>
      <c r="C11" s="2" t="s">
        <v>952</v>
      </c>
      <c r="D11" s="2" t="s">
        <v>286</v>
      </c>
      <c r="E11" s="3">
        <v>46237</v>
      </c>
    </row>
    <row r="12" spans="1:5" ht="20.100000000000001" customHeight="1">
      <c r="A12" t="s">
        <v>933</v>
      </c>
      <c r="B12" s="2" t="s">
        <v>953</v>
      </c>
      <c r="C12" s="2" t="s">
        <v>954</v>
      </c>
      <c r="D12" s="2" t="s">
        <v>955</v>
      </c>
      <c r="E12" s="3">
        <v>46237</v>
      </c>
    </row>
    <row r="13" spans="1:5" ht="20.100000000000001" customHeight="1">
      <c r="A13" t="s">
        <v>933</v>
      </c>
      <c r="B13" s="2" t="s">
        <v>956</v>
      </c>
      <c r="C13" s="2" t="s">
        <v>957</v>
      </c>
      <c r="D13" s="2" t="s">
        <v>96</v>
      </c>
      <c r="E13" s="3">
        <v>46237</v>
      </c>
    </row>
    <row r="14" spans="1:5" ht="20.100000000000001" customHeight="1">
      <c r="A14" t="s">
        <v>958</v>
      </c>
      <c r="B14" s="2" t="s">
        <v>959</v>
      </c>
      <c r="C14" s="2" t="s">
        <v>960</v>
      </c>
      <c r="D14" s="2" t="s">
        <v>961</v>
      </c>
      <c r="E14" s="3">
        <v>46237</v>
      </c>
    </row>
    <row r="15" spans="1:5" ht="20.100000000000001" customHeight="1">
      <c r="A15" t="s">
        <v>958</v>
      </c>
      <c r="B15" s="2" t="s">
        <v>962</v>
      </c>
      <c r="C15" s="2" t="s">
        <v>963</v>
      </c>
      <c r="D15" s="2" t="s">
        <v>964</v>
      </c>
      <c r="E15" s="3">
        <v>46237</v>
      </c>
    </row>
    <row r="16" spans="1:5" ht="20.100000000000001" customHeight="1">
      <c r="A16" t="s">
        <v>958</v>
      </c>
      <c r="B16" s="2" t="s">
        <v>965</v>
      </c>
      <c r="C16" s="2" t="s">
        <v>966</v>
      </c>
      <c r="D16" s="2" t="s">
        <v>112</v>
      </c>
      <c r="E16" s="3">
        <v>46237</v>
      </c>
    </row>
    <row r="17" spans="1:5" ht="20.100000000000001" customHeight="1">
      <c r="A17" t="s">
        <v>958</v>
      </c>
      <c r="B17" s="2" t="s">
        <v>967</v>
      </c>
      <c r="C17" s="2" t="s">
        <v>968</v>
      </c>
      <c r="D17" s="2" t="s">
        <v>969</v>
      </c>
      <c r="E17" s="3">
        <v>46237</v>
      </c>
    </row>
    <row r="18" spans="1:5" ht="20.100000000000001" customHeight="1">
      <c r="A18" t="s">
        <v>958</v>
      </c>
      <c r="B18" s="2" t="s">
        <v>970</v>
      </c>
      <c r="C18" s="2" t="s">
        <v>971</v>
      </c>
      <c r="D18" s="2" t="s">
        <v>174</v>
      </c>
      <c r="E18" s="3">
        <v>46237</v>
      </c>
    </row>
    <row r="19" spans="1:5" ht="20.100000000000001" customHeight="1">
      <c r="A19" t="s">
        <v>958</v>
      </c>
      <c r="B19" s="2" t="s">
        <v>972</v>
      </c>
      <c r="C19" s="2" t="s">
        <v>973</v>
      </c>
      <c r="D19" s="2" t="s">
        <v>365</v>
      </c>
      <c r="E19" s="3">
        <v>46237</v>
      </c>
    </row>
    <row r="20" spans="1:5" ht="20.100000000000001" customHeight="1">
      <c r="A20" t="s">
        <v>958</v>
      </c>
      <c r="B20" s="2" t="s">
        <v>974</v>
      </c>
      <c r="C20" s="2" t="s">
        <v>975</v>
      </c>
      <c r="D20" s="2" t="s">
        <v>525</v>
      </c>
      <c r="E20" s="3">
        <v>46237</v>
      </c>
    </row>
    <row r="21" spans="1:5" ht="20.100000000000001" customHeight="1">
      <c r="A21" t="s">
        <v>958</v>
      </c>
      <c r="B21" s="2" t="s">
        <v>976</v>
      </c>
      <c r="C21" s="2" t="s">
        <v>977</v>
      </c>
      <c r="D21" s="2" t="s">
        <v>261</v>
      </c>
      <c r="E21" s="3">
        <v>46237</v>
      </c>
    </row>
    <row r="22" spans="1:5" ht="20.100000000000001" customHeight="1"/>
    <row r="23" spans="1:5" ht="20.100000000000001" customHeight="1"/>
    <row r="24" spans="1:5" ht="20.100000000000001" customHeight="1"/>
    <row r="25" spans="1:5" ht="20.100000000000001" customHeight="1"/>
    <row r="26" spans="1:5" ht="20.100000000000001" customHeight="1"/>
    <row r="27" spans="1:5" ht="20.100000000000001" customHeight="1"/>
    <row r="28" spans="1:5" ht="20.100000000000001" customHeight="1"/>
    <row r="29" spans="1:5" ht="20.100000000000001" customHeight="1"/>
    <row r="30" spans="1:5" ht="20.100000000000001" customHeight="1"/>
    <row r="31" spans="1:5" ht="20.100000000000001" customHeight="1"/>
    <row r="32" spans="1: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Detection Catalog</vt:lpstr>
      <vt:lpstr>Threat Hunting</vt:lpstr>
      <vt:lpstr>Attack Chains</vt:lpstr>
      <vt:lpstr>Detection Testing</vt:lpstr>
      <vt:lpstr>Detection Quality</vt:lpstr>
      <vt:lpstr>SOC Dashboard</vt:lpstr>
      <vt:lpstr>Operating Model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Yuval Sinay</cp:lastModifiedBy>
  <dcterms:modified xsi:type="dcterms:W3CDTF">2026-08-03T19:22:15Z</dcterms:modified>
</cp:coreProperties>
</file>