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931e6ff8384ad7" /></Relationships>
</file>

<file path=xl/workbook.xml><?xml version="1.0" encoding="utf-8"?>
<x:workbook xmlns:x="http://schemas.openxmlformats.org/spreadsheetml/2006/main">
  <x:sheets>
    <x:sheet xmlns:r="http://schemas.openxmlformats.org/officeDocument/2006/relationships" name="START HERE" sheetId="1" r:id="R1e2245712b3d4850"/>
    <x:sheet xmlns:r="http://schemas.openxmlformats.org/officeDocument/2006/relationships" name="Executive Dashboard" sheetId="2" r:id="Rdcbe76e7e90248e8"/>
    <x:sheet xmlns:r="http://schemas.openxmlformats.org/officeDocument/2006/relationships" name="KPI Catalog" sheetId="3" r:id="R7fe551d9e19449fc"/>
    <x:sheet xmlns:r="http://schemas.openxmlformats.org/officeDocument/2006/relationships" name="Daily Monitoring" sheetId="4" r:id="Re4335d01c826401f"/>
    <x:sheet xmlns:r="http://schemas.openxmlformats.org/officeDocument/2006/relationships" name="Alert Playbook" sheetId="5" r:id="Rbb740e9cee9343f7"/>
    <x:sheet xmlns:r="http://schemas.openxmlformats.org/officeDocument/2006/relationships" name="Protocol Coverage" sheetId="6" r:id="R95ea6e7156654c1f"/>
    <x:sheet xmlns:r="http://schemas.openxmlformats.org/officeDocument/2006/relationships" name="References" sheetId="7" r:id="R26bd0d5ed696463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dd-mmm-yyyy"/>
    <x:numFmt numFmtId="201" formatCode="0.00"/>
    <x:numFmt numFmtId="202" formatCode="0.00%"/>
    <x:numFmt numFmtId="203" formatCode="0.0"/>
    <x:numFmt numFmtId="204" formatCode="0"/>
  </x:numFmts>
  <x:fonts count="27">
    <x:font>
      <x:sz val="11"/>
      <x:name val="Carlito"/>
    </x:font>
    <x:font>
      <x:b/>
      <x:sz val="20"/>
      <x:color rgb="FFFFFFFF"/>
      <x:name val="Carlito"/>
    </x:font>
    <x:font>
      <x:b/>
      <x:sz val="10"/>
      <x:color rgb="FFFFFFFF"/>
      <x:name val="Carlito"/>
    </x:font>
    <x:font>
      <x:i/>
      <x:sz val="10"/>
      <x:color rgb="FF34495E"/>
      <x:name val="Carlito"/>
    </x:font>
    <x:font>
      <x:sz val="12"/>
      <x:color rgb="FF12324A"/>
      <x:name val="Carlito"/>
    </x:font>
    <x:font>
      <x:b/>
      <x:sz val="12"/>
      <x:color rgb="FF12324A"/>
      <x:name val="Carlito"/>
    </x:font>
    <x:font>
      <x:sz val="10"/>
      <x:name val="Carlito"/>
    </x:font>
    <x:font>
      <x:b/>
      <x:sz val="10"/>
      <x:color rgb="FFA61C00"/>
      <x:name val="Carlito"/>
    </x:font>
    <x:font>
      <x:b/>
      <x:sz val="20"/>
      <x:color rgb="FFFFFFFF"/>
      <x:name val="Aptos"/>
    </x:font>
    <x:font>
      <x:b/>
      <x:sz val="10"/>
      <x:color rgb="FFFFFFFF"/>
      <x:name val="Aptos"/>
    </x:font>
    <x:font>
      <x:i/>
      <x:sz val="10"/>
      <x:color rgb="FF34495E"/>
      <x:name val="Aptos"/>
    </x:font>
    <x:font>
      <x:sz val="11"/>
      <x:name val="Aptos"/>
    </x:font>
    <x:font>
      <x:sz val="12"/>
      <x:color rgb="FF12324A"/>
      <x:name val="Aptos"/>
    </x:font>
    <x:font>
      <x:b/>
      <x:sz val="12"/>
      <x:color rgb="FF12324A"/>
      <x:name val="Aptos"/>
    </x:font>
    <x:font>
      <x:sz val="10"/>
      <x:name val="Aptos"/>
    </x:font>
    <x:font>
      <x:b/>
      <x:sz val="10"/>
      <x:color rgb="FFA61C00"/>
      <x:name val="Aptos"/>
    </x:font>
    <x:font>
      <x:sz val="9"/>
      <x:name val="Carlito"/>
    </x:font>
    <x:font>
      <x:b/>
      <x:sz val="9"/>
      <x:color rgb="FFFFFFFF"/>
      <x:name val="Aptos"/>
    </x:font>
    <x:font>
      <x:sz val="9"/>
      <x:name val="Aptos"/>
    </x:font>
    <x:font>
      <x:b/>
      <x:sz val="11"/>
      <x:color rgb="FFFFFFFF"/>
      <x:name val="Carlito"/>
    </x:font>
    <x:font>
      <x:b/>
      <x:sz val="22"/>
      <x:color rgb="FF12324A"/>
      <x:name val="Carlito"/>
    </x:font>
    <x:font>
      <x:b/>
      <x:sz val="18"/>
      <x:color rgb="FFA61C00"/>
      <x:name val="Carlito"/>
    </x:font>
    <x:font>
      <x:b/>
      <x:sz val="11"/>
      <x:color rgb="FFFFFFFF"/>
      <x:name val="Aptos"/>
    </x:font>
    <x:font>
      <x:b/>
      <x:sz val="22"/>
      <x:color rgb="FF12324A"/>
      <x:name val="Aptos"/>
    </x:font>
    <x:font>
      <x:b/>
      <x:sz val="18"/>
      <x:color rgb="FFA61C00"/>
      <x:name val="Aptos"/>
    </x:font>
    <x:font>
      <x:b/>
      <x:sz val="11"/>
      <x:color rgb="FF12324A"/>
      <x:name val="Carlito"/>
    </x:font>
    <x:font>
      <x:b/>
      <x:sz val="11"/>
      <x:color rgb="FF12324A"/>
      <x:name val="Aptos"/>
    </x:font>
  </x:fonts>
  <x:fills count="8">
    <x:fill>
      <x:patternFill patternType="none"/>
    </x:fill>
    <x:fill>
      <x:patternFill patternType="gray125"/>
    </x:fill>
    <x:fill>
      <x:patternFill patternType="solid">
        <x:fgColor rgb="FF12324A"/>
      </x:patternFill>
    </x:fill>
    <x:fill>
      <x:patternFill patternType="solid">
        <x:fgColor rgb="FF0F6B78"/>
      </x:patternFill>
    </x:fill>
    <x:fill>
      <x:patternFill patternType="solid">
        <x:fgColor rgb="FFDCEAF7"/>
      </x:patternFill>
    </x:fill>
    <x:fill>
      <x:patternFill patternType="solid">
        <x:fgColor rgb="FFDDEFF1"/>
      </x:patternFill>
    </x:fill>
    <x:fill>
      <x:patternFill patternType="solid">
        <x:fgColor rgb="FFFFF2CC"/>
      </x:patternFill>
    </x:fill>
    <x:fill>
      <x:patternFill patternType="solid">
        <x:fgColor rgb="FFEEF2F5"/>
      </x:patternFill>
    </x:fill>
  </x:fills>
  <x:borders count="2">
    <x:border/>
    <x:border/>
  </x:borders>
  <x:cellStyleXfs count="1">
    <x:xf numFmtId="0" fontId="0" fillId="0" borderId="0"/>
  </x:cellStyleXfs>
  <x:cellXfs count="1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5" fillId="4" borderId="0" xfId="0" applyNumberFormat="1" applyFont="1" applyFill="1" applyBorder="1"/>
    <x:xf numFmtId="0" fontId="5" fillId="4" borderId="0" xfId="0" applyNumberFormat="1" applyFont="1" applyFill="1" applyBorder="1" applyAlignment="1">
      <x:alignment vertical="center"/>
    </x:xf>
    <x:xf numFmtId="0" fontId="5" fillId="4" borderId="1" xfId="0" applyNumberFormat="1" applyFont="1" applyFill="1" applyBorder="1"/>
    <x:xf numFmtId="0" fontId="5" fillId="4" borderId="1" xfId="0" applyNumberFormat="1" applyFont="1" applyFill="1" applyBorder="1" applyAlignment="1">
      <x:alignment vertical="center"/>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center" wrapText="1"/>
    </x:xf>
    <x:xf numFmtId="0" fontId="8" fillId="2" borderId="0" xfId="0" applyNumberFormat="1" applyFont="1" applyFill="1" applyBorder="1" applyAlignment="1">
      <x:alignment horizontal="left" vertical="center"/>
    </x:xf>
    <x:xf numFmtId="0" fontId="9" fillId="3" borderId="0" xfId="0" applyNumberFormat="1" applyFont="1" applyFill="1" applyBorder="1" applyAlignment="1">
      <x:alignment horizontal="left" vertical="center"/>
    </x:xf>
    <x:xf numFmtId="0" fontId="10" fillId="4" borderId="0" xfId="0" applyNumberFormat="1" applyFont="1" applyFill="1" applyBorder="1" applyAlignment="1">
      <x:alignment wrapText="1"/>
    </x:xf>
    <x:xf numFmtId="0" fontId="11" fillId="0" borderId="0" xfId="0" applyNumberFormat="1" applyFont="1" applyFill="1" applyBorder="1"/>
    <x:xf numFmtId="0" fontId="12" fillId="5" borderId="0" xfId="0" applyNumberFormat="1" applyFont="1" applyFill="1" applyBorder="1" applyAlignment="1">
      <x:alignment vertical="center" wrapText="1"/>
    </x:xf>
    <x:xf numFmtId="0" fontId="13" fillId="4" borderId="0" xfId="0" applyNumberFormat="1" applyFont="1" applyFill="1" applyBorder="1" applyAlignment="1">
      <x:alignment vertical="center"/>
    </x:xf>
    <x:xf numFmtId="0" fontId="9" fillId="3" borderId="0" xfId="0" applyNumberFormat="1" applyFont="1" applyFill="1" applyBorder="1" applyAlignment="1">
      <x:alignment horizontal="center" vertical="center" wrapText="1"/>
    </x:xf>
    <x:xf numFmtId="0" fontId="14"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5" fillId="6" borderId="0" xfId="0" applyNumberFormat="1" applyFont="1" applyFill="1" applyBorder="1" applyAlignment="1">
      <x:alignment vertical="center" wrapText="1"/>
    </x:xf>
    <x:xf numFmtId="0" fontId="8" fillId="2" borderId="1" xfId="0" applyNumberFormat="1" applyFont="1" applyFill="1" applyBorder="1" applyAlignment="1">
      <x:alignment horizontal="left" vertical="center"/>
    </x:xf>
    <x:xf numFmtId="0" fontId="9" fillId="3" borderId="1" xfId="0" applyNumberFormat="1" applyFont="1" applyFill="1" applyBorder="1" applyAlignment="1">
      <x:alignment horizontal="left" vertical="center"/>
    </x:xf>
    <x:xf numFmtId="0" fontId="10" fillId="4" borderId="1" xfId="0" applyNumberFormat="1" applyFont="1" applyFill="1" applyBorder="1" applyAlignment="1">
      <x:alignment wrapText="1"/>
    </x:xf>
    <x:xf numFmtId="0" fontId="11" fillId="0" borderId="1" xfId="0" applyNumberFormat="1" applyFont="1" applyFill="1" applyBorder="1"/>
    <x:xf numFmtId="0" fontId="12" fillId="5" borderId="1" xfId="0" applyNumberFormat="1" applyFont="1" applyFill="1" applyBorder="1" applyAlignment="1">
      <x:alignment vertical="center" wrapText="1"/>
    </x:xf>
    <x:xf numFmtId="0" fontId="13" fillId="4" borderId="1" xfId="0" applyNumberFormat="1" applyFont="1" applyFill="1" applyBorder="1" applyAlignment="1">
      <x:alignment vertical="center"/>
    </x:xf>
    <x:xf numFmtId="0" fontId="9" fillId="3" borderId="1" xfId="0" applyNumberFormat="1" applyFont="1" applyFill="1" applyBorder="1" applyAlignment="1">
      <x:alignment horizontal="center" vertical="center" wrapText="1"/>
    </x:xf>
    <x:xf numFmtId="0" fontId="14" fillId="0" borderId="1"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5" fillId="6" borderId="1"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wrapText="1"/>
    </x:xf>
    <x:xf numFmtId="0" fontId="16" fillId="0" borderId="0" xfId="0" applyNumberFormat="1" applyFont="1" applyFill="1" applyBorder="1" applyAlignment="1">
      <x:alignment vertical="top" wrapText="1"/>
    </x:xf>
    <x:xf numFmtId="0" fontId="16" fillId="0" borderId="1" xfId="0" applyNumberFormat="1" applyFont="1" applyFill="1" applyBorder="1"/>
    <x:xf numFmtId="0" fontId="16" fillId="0" borderId="1" xfId="0" applyNumberFormat="1" applyFont="1" applyFill="1" applyBorder="1" applyAlignment="1">
      <x:alignment wrapText="1"/>
    </x:xf>
    <x:xf numFmtId="0" fontId="16" fillId="0" borderId="1" xfId="0" applyNumberFormat="1" applyFont="1" applyFill="1" applyBorder="1" applyAlignment="1">
      <x:alignment vertical="top" wrapText="1"/>
    </x:xf>
    <x:xf numFmtId="0" fontId="17" fillId="3" borderId="0" xfId="0" applyNumberFormat="1" applyFont="1" applyFill="1" applyBorder="1" applyAlignment="1">
      <x:alignment horizontal="center" vertical="center" wrapText="1"/>
    </x:xf>
    <x:xf numFmtId="0" fontId="18" fillId="0" borderId="0" xfId="0" applyNumberFormat="1" applyFont="1" applyFill="1" applyBorder="1" applyAlignment="1">
      <x:alignment vertical="top" wrapText="1"/>
    </x:xf>
    <x:xf numFmtId="0" fontId="17" fillId="3" borderId="1" xfId="0" applyNumberFormat="1" applyFont="1" applyFill="1" applyBorder="1" applyAlignment="1">
      <x:alignment horizontal="center" vertical="center" wrapText="1"/>
    </x:xf>
    <x:xf numFmtId="0" fontId="18"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16" fillId="0" borderId="0" xfId="0" applyNumberFormat="1" applyFont="1" applyFill="1" applyBorder="1"/>
    <x:xf numFmtId="201" fontId="16" fillId="0" borderId="0" xfId="0" applyNumberFormat="1" applyFont="1" applyFill="1" applyBorder="1"/>
    <x:xf numFmtId="200" fontId="16" fillId="0" borderId="0" xfId="0" applyNumberFormat="1" applyFont="1" applyFill="1" applyBorder="1" applyAlignment="1">
      <x:alignment wrapText="1"/>
    </x:xf>
    <x:xf numFmtId="201" fontId="16" fillId="0" borderId="0" xfId="0" applyNumberFormat="1" applyFont="1" applyFill="1" applyBorder="1" applyAlignment="1">
      <x:alignment wrapText="1"/>
    </x:xf>
    <x:xf numFmtId="200" fontId="16" fillId="0" borderId="0" xfId="0" applyNumberFormat="1" applyFont="1" applyFill="1" applyBorder="1" applyAlignment="1">
      <x:alignment vertical="center" wrapText="1"/>
    </x:xf>
    <x:xf numFmtId="201" fontId="16" fillId="0" borderId="0" xfId="0" applyNumberFormat="1" applyFont="1" applyFill="1" applyBorder="1" applyAlignment="1">
      <x:alignment vertical="center" wrapText="1"/>
    </x:xf>
    <x:xf numFmtId="0" fontId="16" fillId="0" borderId="0" xfId="0" applyNumberFormat="1" applyFont="1" applyFill="1" applyBorder="1" applyAlignment="1">
      <x:alignment vertical="center" wrapText="1"/>
    </x:xf>
    <x:xf numFmtId="200" fontId="16" fillId="0" borderId="1" xfId="0" applyNumberFormat="1" applyFont="1" applyFill="1" applyBorder="1"/>
    <x:xf numFmtId="201" fontId="16" fillId="0" borderId="1" xfId="0" applyNumberFormat="1" applyFont="1" applyFill="1" applyBorder="1"/>
    <x:xf numFmtId="200" fontId="16" fillId="0" borderId="1" xfId="0" applyNumberFormat="1" applyFont="1" applyFill="1" applyBorder="1" applyAlignment="1">
      <x:alignment wrapText="1"/>
    </x:xf>
    <x:xf numFmtId="201" fontId="16" fillId="0" borderId="1" xfId="0" applyNumberFormat="1" applyFont="1" applyFill="1" applyBorder="1" applyAlignment="1">
      <x:alignment wrapText="1"/>
    </x:xf>
    <x:xf numFmtId="200" fontId="16" fillId="0" borderId="1" xfId="0" applyNumberFormat="1" applyFont="1" applyFill="1" applyBorder="1" applyAlignment="1">
      <x:alignment vertical="center" wrapText="1"/>
    </x:xf>
    <x:xf numFmtId="201" fontId="16" fillId="0" borderId="1" xfId="0" applyNumberFormat="1" applyFont="1" applyFill="1" applyBorder="1" applyAlignment="1">
      <x:alignment vertical="center" wrapText="1"/>
    </x:xf>
    <x:xf numFmtId="0" fontId="16" fillId="0" borderId="1" xfId="0" applyNumberFormat="1" applyFont="1" applyFill="1" applyBorder="1" applyAlignment="1">
      <x:alignment vertical="center" wrapText="1"/>
    </x:xf>
    <x:xf numFmtId="0" fontId="19" fillId="3" borderId="0" xfId="0" applyNumberFormat="1" applyFont="1" applyFill="1" applyBorder="1"/>
    <x:xf numFmtId="0" fontId="19" fillId="3" borderId="0" xfId="0" applyNumberFormat="1" applyFont="1" applyFill="1" applyBorder="1" applyAlignment="1">
      <x:alignment horizontal="center"/>
    </x:xf>
    <x:xf numFmtId="0" fontId="19" fillId="3" borderId="0" xfId="0" applyNumberFormat="1" applyFont="1" applyFill="1" applyBorder="1" applyAlignment="1">
      <x:alignment horizontal="center" vertical="center"/>
    </x:xf>
    <x:xf numFmtId="0" fontId="19" fillId="3" borderId="1" xfId="0" applyNumberFormat="1" applyFont="1" applyFill="1" applyBorder="1"/>
    <x:xf numFmtId="0" fontId="19" fillId="3" borderId="1" xfId="0" applyNumberFormat="1" applyFont="1" applyFill="1" applyBorder="1" applyAlignment="1">
      <x:alignment horizontal="center"/>
    </x:xf>
    <x:xf numFmtId="0" fontId="19" fillId="3" borderId="1" xfId="0" applyNumberFormat="1" applyFont="1" applyFill="1" applyBorder="1" applyAlignment="1">
      <x:alignment horizontal="center" vertical="center"/>
    </x:xf>
    <x:xf numFmtId="0" fontId="0" fillId="7" borderId="0" xfId="0" applyNumberFormat="1" applyFont="1" applyFill="1" applyBorder="1"/>
    <x:xf numFmtId="0" fontId="20" fillId="7" borderId="0" xfId="0" applyNumberFormat="1" applyFont="1" applyFill="1" applyBorder="1"/>
    <x:xf numFmtId="0" fontId="20" fillId="7" borderId="0" xfId="0" applyNumberFormat="1" applyFont="1" applyFill="1" applyBorder="1" applyAlignment="1">
      <x:alignment horizontal="center"/>
    </x:xf>
    <x:xf numFmtId="0" fontId="20" fillId="7" borderId="0" xfId="0" applyNumberFormat="1" applyFont="1" applyFill="1" applyBorder="1" applyAlignment="1">
      <x:alignment horizontal="center" vertical="center"/>
    </x:xf>
    <x:xf numFmtId="0" fontId="0" fillId="7" borderId="1" xfId="0" applyNumberFormat="1" applyFont="1" applyFill="1" applyBorder="1"/>
    <x:xf numFmtId="0" fontId="20" fillId="7" borderId="1" xfId="0" applyNumberFormat="1" applyFont="1" applyFill="1" applyBorder="1"/>
    <x:xf numFmtId="0" fontId="20" fillId="7" borderId="1" xfId="0" applyNumberFormat="1" applyFont="1" applyFill="1" applyBorder="1" applyAlignment="1">
      <x:alignment horizontal="center"/>
    </x:xf>
    <x:xf numFmtId="0" fontId="20" fillId="7" borderId="1" xfId="0" applyNumberFormat="1" applyFont="1" applyFill="1" applyBorder="1" applyAlignment="1">
      <x:alignment horizontal="center" vertical="center"/>
    </x:xf>
    <x:xf numFmtId="202" fontId="20" fillId="7" borderId="0" xfId="0" applyNumberFormat="1" applyFont="1" applyFill="1" applyBorder="1" applyAlignment="1">
      <x:alignment horizontal="center" vertical="center"/>
    </x:xf>
    <x:xf numFmtId="202" fontId="20" fillId="7" borderId="1" xfId="0" applyNumberFormat="1" applyFont="1" applyFill="1" applyBorder="1" applyAlignment="1">
      <x:alignment horizontal="center" vertical="center"/>
    </x:xf>
    <x:xf numFmtId="203" fontId="20" fillId="7" borderId="0" xfId="0" applyNumberFormat="1" applyFont="1" applyFill="1" applyBorder="1" applyAlignment="1">
      <x:alignment horizontal="center" vertical="center"/>
    </x:xf>
    <x:xf numFmtId="203" fontId="20" fillId="7" borderId="1" xfId="0" applyNumberFormat="1" applyFont="1" applyFill="1" applyBorder="1" applyAlignment="1">
      <x:alignment horizontal="center" vertical="center"/>
    </x:xf>
    <x:xf numFmtId="0" fontId="21" fillId="6" borderId="0" xfId="0" applyNumberFormat="1" applyFont="1" applyFill="1" applyBorder="1"/>
    <x:xf numFmtId="0" fontId="21" fillId="6" borderId="0" xfId="0" applyNumberFormat="1" applyFont="1" applyFill="1" applyBorder="1" applyAlignment="1">
      <x:alignment horizontal="center"/>
    </x:xf>
    <x:xf numFmtId="0" fontId="21" fillId="6" borderId="0" xfId="0" applyNumberFormat="1" applyFont="1" applyFill="1" applyBorder="1" applyAlignment="1">
      <x:alignment horizontal="center" vertical="center"/>
    </x:xf>
    <x:xf numFmtId="0" fontId="21" fillId="6" borderId="1" xfId="0" applyNumberFormat="1" applyFont="1" applyFill="1" applyBorder="1"/>
    <x:xf numFmtId="0" fontId="21" fillId="6" borderId="1" xfId="0" applyNumberFormat="1" applyFont="1" applyFill="1" applyBorder="1" applyAlignment="1">
      <x:alignment horizontal="center"/>
    </x:xf>
    <x:xf numFmtId="0" fontId="21" fillId="6" borderId="1" xfId="0" applyNumberFormat="1" applyFont="1" applyFill="1" applyBorder="1" applyAlignment="1">
      <x:alignment horizontal="center" vertical="center"/>
    </x:xf>
    <x:xf numFmtId="0" fontId="22" fillId="3" borderId="0" xfId="0" applyNumberFormat="1" applyFont="1" applyFill="1" applyBorder="1" applyAlignment="1">
      <x:alignment horizontal="center" vertical="center"/>
    </x:xf>
    <x:xf numFmtId="0" fontId="22" fillId="3" borderId="0" xfId="0" applyNumberFormat="1" applyFont="1" applyFill="1" applyBorder="1" applyAlignment="1">
      <x:alignment horizontal="center"/>
    </x:xf>
    <x:xf numFmtId="202" fontId="23" fillId="7" borderId="0" xfId="0" applyNumberFormat="1" applyFont="1" applyFill="1" applyBorder="1" applyAlignment="1">
      <x:alignment horizontal="center" vertical="center"/>
    </x:xf>
    <x:xf numFmtId="0" fontId="23" fillId="7" borderId="0" xfId="0" applyNumberFormat="1" applyFont="1" applyFill="1" applyBorder="1" applyAlignment="1">
      <x:alignment horizontal="center" vertical="center"/>
    </x:xf>
    <x:xf numFmtId="203" fontId="23" fillId="7" borderId="0" xfId="0" applyNumberFormat="1" applyFont="1" applyFill="1" applyBorder="1" applyAlignment="1">
      <x:alignment horizontal="center" vertical="center"/>
    </x:xf>
    <x:xf numFmtId="0" fontId="24" fillId="6" borderId="0" xfId="0" applyNumberFormat="1" applyFont="1" applyFill="1" applyBorder="1" applyAlignment="1">
      <x:alignment horizontal="center" vertical="center"/>
    </x:xf>
    <x:xf numFmtId="0" fontId="22" fillId="3" borderId="1" xfId="0" applyNumberFormat="1" applyFont="1" applyFill="1" applyBorder="1" applyAlignment="1">
      <x:alignment horizontal="center" vertical="center"/>
    </x:xf>
    <x:xf numFmtId="0" fontId="22" fillId="3" borderId="1" xfId="0" applyNumberFormat="1" applyFont="1" applyFill="1" applyBorder="1" applyAlignment="1">
      <x:alignment horizontal="center"/>
    </x:xf>
    <x:xf numFmtId="202" fontId="23" fillId="7" borderId="1" xfId="0" applyNumberFormat="1" applyFont="1" applyFill="1" applyBorder="1" applyAlignment="1">
      <x:alignment horizontal="center" vertical="center"/>
    </x:xf>
    <x:xf numFmtId="0" fontId="23" fillId="7" borderId="1" xfId="0" applyNumberFormat="1" applyFont="1" applyFill="1" applyBorder="1" applyAlignment="1">
      <x:alignment horizontal="center" vertical="center"/>
    </x:xf>
    <x:xf numFmtId="203" fontId="23" fillId="7" borderId="1" xfId="0" applyNumberFormat="1" applyFont="1" applyFill="1" applyBorder="1" applyAlignment="1">
      <x:alignment horizontal="center" vertical="center"/>
    </x:xf>
    <x:xf numFmtId="0" fontId="24" fillId="6" borderId="1" xfId="0" applyNumberFormat="1" applyFont="1" applyFill="1" applyBorder="1" applyAlignment="1">
      <x:alignment horizontal="center" vertical="center"/>
    </x:xf>
    <x:xf numFmtId="0" fontId="25" fillId="4" borderId="0" xfId="0" applyNumberFormat="1" applyFont="1" applyFill="1" applyBorder="1"/>
    <x:xf numFmtId="0" fontId="25" fillId="4" borderId="0" xfId="0" applyNumberFormat="1" applyFont="1" applyFill="1" applyBorder="1" applyAlignment="1">
      <x:alignment horizontal="center"/>
    </x:xf>
    <x:xf numFmtId="0" fontId="25" fillId="4" borderId="1" xfId="0" applyNumberFormat="1" applyFont="1" applyFill="1" applyBorder="1"/>
    <x:xf numFmtId="0" fontId="25" fillId="4" borderId="1" xfId="0" applyNumberFormat="1" applyFont="1" applyFill="1" applyBorder="1" applyAlignment="1">
      <x:alignment horizontal="center"/>
    </x:xf>
    <x:xf numFmtId="200" fontId="18" fillId="0" borderId="0" xfId="0" applyNumberFormat="1" applyFont="1" applyFill="1" applyBorder="1" applyAlignment="1">
      <x:alignment vertical="center" wrapText="1"/>
    </x:xf>
    <x:xf numFmtId="201" fontId="18" fillId="0" borderId="0" xfId="0" applyNumberFormat="1" applyFont="1" applyFill="1" applyBorder="1" applyAlignment="1">
      <x:alignment vertical="center" wrapText="1"/>
    </x:xf>
    <x:xf numFmtId="0" fontId="18" fillId="0" borderId="0" xfId="0" applyNumberFormat="1" applyFont="1" applyFill="1" applyBorder="1" applyAlignment="1">
      <x:alignment vertical="center" wrapText="1"/>
    </x:xf>
    <x:xf numFmtId="200" fontId="18" fillId="0" borderId="1" xfId="0" applyNumberFormat="1" applyFont="1" applyFill="1" applyBorder="1" applyAlignment="1">
      <x:alignment vertical="center" wrapText="1"/>
    </x:xf>
    <x:xf numFmtId="201" fontId="18" fillId="0" borderId="1" xfId="0" applyNumberFormat="1" applyFont="1" applyFill="1" applyBorder="1" applyAlignment="1">
      <x:alignment vertical="center" wrapText="1"/>
    </x:xf>
    <x:xf numFmtId="0" fontId="18" fillId="0" borderId="1" xfId="0" applyNumberFormat="1" applyFont="1" applyFill="1" applyBorder="1" applyAlignment="1">
      <x:alignment vertical="center" wrapText="1"/>
    </x:xf>
    <x:xf numFmtId="0" fontId="26" fillId="4" borderId="0" xfId="0" applyNumberFormat="1" applyFont="1" applyFill="1" applyBorder="1" applyAlignment="1">
      <x:alignment horizontal="center"/>
    </x:xf>
    <x:xf numFmtId="0" fontId="26" fillId="4" borderId="1" xfId="0" applyNumberFormat="1" applyFont="1" applyFill="1" applyBorder="1" applyAlignment="1">
      <x:alignment horizontal="center"/>
    </x:xf>
    <x:xf numFmtId="202" fontId="18" fillId="0" borderId="0" xfId="0" applyNumberFormat="1" applyFont="1" applyFill="1" applyBorder="1" applyAlignment="1">
      <x:alignment vertical="top" wrapText="1"/>
    </x:xf>
    <x:xf numFmtId="202" fontId="18" fillId="0" borderId="1" xfId="0" applyNumberFormat="1" applyFont="1" applyFill="1" applyBorder="1" applyAlignment="1">
      <x:alignment vertical="top" wrapText="1"/>
    </x:xf>
    <x:xf numFmtId="204" fontId="18" fillId="0" borderId="0" xfId="0" applyNumberFormat="1" applyFont="1" applyFill="1" applyBorder="1" applyAlignment="1">
      <x:alignment vertical="top" wrapText="1"/>
    </x:xf>
  </x:cellXfs>
  <x:cellStyles count="1">
    <x:cellStyle name="Normal" xfId="0"/>
  </x:cellStyles>
  <x:dxfs count="16">
    <x:dxf>
      <x:font>
        <x:b/>
        <x:color rgb="FFA61C00"/>
      </x:font>
      <x:fill>
        <x:patternFill patternType="solid">
          <x:bgColor rgb="FFF4CCCC"/>
        </x:patternFill>
      </x:fill>
    </x:dxf>
    <x:dxf>
      <x:font>
        <x:b/>
      </x:font>
      <x:fill>
        <x:patternFill patternType="solid">
          <x:bgColor rgb="FFFFF2CC"/>
        </x:patternFill>
      </x:fill>
    </x:dxf>
    <x:dxf>
      <x:fill>
        <x:patternFill patternType="solid">
          <x:bgColor rgb="FFDCEAF7"/>
        </x:patternFill>
      </x:fill>
    </x:dxf>
    <x:dxf>
      <x:font>
        <x:b/>
        <x:color rgb="FFA61C00"/>
      </x:font>
      <x:fill>
        <x:patternFill patternType="solid">
          <x:bgColor rgb="FFF4CCCC"/>
        </x:patternFill>
      </x:fill>
    </x:dxf>
    <x:dxf>
      <x:font>
        <x:b/>
      </x:font>
      <x:fill>
        <x:patternFill patternType="solid">
          <x:bgColor rgb="FFF4B183"/>
        </x:patternFill>
      </x:fill>
    </x:dxf>
    <x:dxf>
      <x:fill>
        <x:patternFill patternType="solid">
          <x:bgColor rgb="FFFFF2CC"/>
        </x:patternFill>
      </x:fill>
    </x:dxf>
    <x:dxf>
      <x:fill>
        <x:patternFill patternType="solid">
          <x:bgColor rgb="FFD9EAD3"/>
        </x:patternFill>
      </x:fill>
    </x:dxf>
    <x:dxf>
      <x:fill>
        <x:patternFill patternType="solid">
          <x:bgColor rgb="FFF4CCCC"/>
        </x:patternFill>
      </x:fill>
    </x:dxf>
    <x:dxf>
      <x:fill>
        <x:patternFill patternType="solid">
          <x:bgColor rgb="FFF4B183"/>
        </x:patternFill>
      </x:fill>
    </x:dxf>
    <x:dxf>
      <x:fill>
        <x:patternFill patternType="solid">
          <x:bgColor rgb="FFFFF2CC"/>
        </x:patternFill>
      </x:fill>
    </x:dxf>
    <x:dxf>
      <x:font>
        <x:b/>
        <x:color rgb="FF12324A"/>
      </x:font>
      <x:fill>
        <x:patternFill patternType="solid">
          <x:bgColor rgb="FFD9EAD3"/>
        </x:patternFill>
      </x:fill>
    </x:dxf>
    <x:dxf>
      <x:font>
        <x:b/>
        <x:color rgb="FFA61C00"/>
      </x:font>
      <x:fill>
        <x:patternFill patternType="solid">
          <x:bgColor rgb="FFF4CCCC"/>
        </x:patternFill>
      </x:fill>
    </x:dxf>
    <x:dxf>
      <x:font>
        <x:b/>
      </x:font>
      <x:fill>
        <x:patternFill patternType="solid">
          <x:bgColor rgb="FFFFF2CC"/>
        </x:patternFill>
      </x:fill>
    </x:dxf>
    <x:dxf>
      <x:font>
        <x:b/>
        <x:color rgb="FFA61C00"/>
      </x:font>
      <x:fill>
        <x:patternFill patternType="solid">
          <x:bgColor rgb="FFF4CCCC"/>
        </x:patternFill>
      </x:fill>
    </x:dxf>
    <x:dxf>
      <x:font>
        <x:b/>
      </x:font>
      <x:fill>
        <x:patternFill patternType="solid">
          <x:bgColor rgb="FFFFF2CC"/>
        </x:patternFill>
      </x:fill>
    </x:dxf>
    <x:dxf>
      <x:fill>
        <x:patternFill patternType="solid">
          <x:bgColor rgb="FFDC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a4447c363f42ce" /><Relationship Type="http://schemas.openxmlformats.org/officeDocument/2006/relationships/theme" Target="/xl/theme/theme1.xml" Id="Rcc7123a6cec64e4c" /><Relationship Type="http://schemas.openxmlformats.org/officeDocument/2006/relationships/sharedStrings" Target="/xl/sharedStrings.xml" Id="R75e6418a0c3b411d" /><Relationship Type="http://schemas.openxmlformats.org/officeDocument/2006/relationships/worksheet" Target="/xl/worksheets/sheet1.xml" Id="R1e2245712b3d4850" /><Relationship Type="http://schemas.openxmlformats.org/officeDocument/2006/relationships/worksheet" Target="/xl/worksheets/sheet2.xml" Id="Rdcbe76e7e90248e8" /><Relationship Type="http://schemas.openxmlformats.org/officeDocument/2006/relationships/worksheet" Target="/xl/worksheets/sheet3.xml" Id="R7fe551d9e19449fc" /><Relationship Type="http://schemas.openxmlformats.org/officeDocument/2006/relationships/worksheet" Target="/xl/worksheets/sheet4.xml" Id="Re4335d01c826401f" /><Relationship Type="http://schemas.openxmlformats.org/officeDocument/2006/relationships/worksheet" Target="/xl/worksheets/sheet5.xml" Id="Rbb740e9cee9343f7" /><Relationship Type="http://schemas.openxmlformats.org/officeDocument/2006/relationships/worksheet" Target="/xl/worksheets/sheet6.xml" Id="R95ea6e7156654c1f" /><Relationship Type="http://schemas.openxmlformats.org/officeDocument/2006/relationships/worksheet" Target="/xl/worksheets/sheet7.xml" Id="R26bd0d5ed696463d" /></Relationships>
</file>

<file path=xl/drawings/_rels/drawing1.xml.rels>&#65279;<?xml version="1.0" encoding="utf-8"?><Relationships xmlns="http://schemas.openxmlformats.org/package/2006/relationships"><Relationship Type="http://schemas.openxmlformats.org/officeDocument/2006/relationships/chart" Target="/xl/drawings/charts/chart1.xml" Id="R94003661e9b24cd7" /><Relationship Type="http://schemas.openxmlformats.org/officeDocument/2006/relationships/chart" Target="/xl/drawings/charts/chart2.xml" Id="R7820655c546a48a4" /><Relationship Type="http://schemas.openxmlformats.org/officeDocument/2006/relationships/chart" Target="/xl/drawings/charts/chart3.xml" Id="Ra7a29255a048486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30-Day Availability and Telemetry Health</a:t>
            </a:r>
          </a:p>
        </c:rich>
      </c:tx>
      <c:overlay val="0"/>
    </c:title>
    <c:autoTitleDeleted val="0"/>
    <c:plotArea>
      <c:layout/>
      <c:lineChart>
        <c:grouping val="standard"/>
        <c:ser>
          <c:idx val="0"/>
          <c:order val="0"/>
          <c:tx>
            <c:v>Network Availability (%)</c:v>
          </c:tx>
          <c:cat>
            <c:strRef>
              <c:f>='Executive Dashboard'!$O$6:$O$35</c:f>
              <c:strCache>
                <c:ptCount val="0"/>
              </c:strCache>
            </c:strRef>
          </c:cat>
          <c:val>
            <c:numRef>
              <c:f>='Daily Monitoring'!$B$6:$B$35</c:f>
              <c:numCache>
                <c:formatCode>General</c:formatCode>
                <c:ptCount val="0"/>
              </c:numCache>
            </c:numRef>
          </c:val>
          <c:smooth val="0"/>
        </c:ser>
        <c:ser>
          <c:idx val="1"/>
          <c:order val="1"/>
          <c:tx>
            <c:v>Log Source Health (%)</c:v>
          </c:tx>
          <c:cat>
            <c:strRef>
              <c:f>='Executive Dashboard'!$O$6:$O$35</c:f>
              <c:strCache>
                <c:ptCount val="0"/>
              </c:strCache>
            </c:strRef>
          </c:cat>
          <c:val>
            <c:numRef>
              <c:f>='Daily Monitoring'!$J$6:$J$35</c:f>
              <c:numCache>
                <c:formatCode>General</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dd-mmm" sourceLinked="0"/>
        <c:majorTickMark val="none"/>
        <c:minorTickMark val="none"/>
        <c:tickLblPos val="nextTo"/>
        <c:tickLblSkip val="5"/>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Daily OT Risk Score</a:t>
            </a:r>
          </a:p>
        </c:rich>
      </c:tx>
      <c:overlay val="0"/>
    </c:title>
    <c:autoTitleDeleted val="0"/>
    <c:plotArea>
      <c:layout/>
      <c:lineChart>
        <c:grouping val="standard"/>
        <c:ser>
          <c:idx val="0"/>
          <c:order val="0"/>
          <c:tx>
            <c:v>Risk Score</c:v>
          </c:tx>
          <c:cat>
            <c:strRef>
              <c:f>='Executive Dashboard'!$O$6:$O$35</c:f>
              <c:strCache>
                <c:ptCount val="0"/>
              </c:strCache>
            </c:strRef>
          </c:cat>
          <c:val>
            <c:numRef>
              <c:f>='Daily Monitoring'!$L$6:$L$35</c:f>
              <c:numCache>
                <c:formatCode>General</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dd-mmm" sourceLinked="0"/>
        <c:majorTickMark val="none"/>
        <c:minorTickMark val="none"/>
        <c:tickLblPos val="nextTo"/>
        <c:tickLblSkip val="5"/>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30-Day Priority Event Counts</a:t>
            </a:r>
          </a:p>
        </c:rich>
      </c:tx>
      <c:overlay val="0"/>
    </c:title>
    <c:autoTitleDeleted val="0"/>
    <c:plotArea>
      <c:layout/>
      <c:barChart>
        <c:barDir val="col"/>
        <c:grouping val="clustered"/>
        <c:varyColors val="0"/>
        <c:ser>
          <c:idx val="0"/>
          <c:order val="0"/>
          <c:tx>
            <c:v>Events</c:v>
          </c:tx>
          <c:cat>
            <c:strRef>
              <c:f>='Executive Dashboard'!$A$21:$A$25</c:f>
              <c:strCache>
                <c:ptCount val="0"/>
              </c:strCache>
            </c:strRef>
          </c:cat>
          <c:val>
            <c:numRef>
              <c:f>='Executive Dashboard'!$B$21:$B$25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10</xdr:row>
      <xdr:rowOff>0</xdr:rowOff>
    </xdr:from>
    <xdr:to>
      <xdr:col>14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4003661e9b24cd7"/>
        </a:graphicData>
      </a:graphic>
    </xdr:graphicFrame>
    <xdr:clientData/>
  </xdr:twoCellAnchor>
  <xdr:twoCellAnchor>
    <xdr:from>
      <xdr:col>4</xdr:col>
      <xdr:colOff>0</xdr:colOff>
      <xdr:row>24</xdr:row>
      <xdr:rowOff>0</xdr:rowOff>
    </xdr:from>
    <xdr:to>
      <xdr:col>14</xdr:col>
      <xdr:colOff>0</xdr:colOff>
      <xdr:row>38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820655c546a48a4"/>
        </a:graphicData>
      </a:graphic>
    </xdr:graphicFrame>
    <xdr:clientData/>
  </xdr:twoCellAnchor>
  <xdr:twoCellAnchor>
    <xdr:from>
      <xdr:col>0</xdr:col>
      <xdr:colOff>0</xdr:colOff>
      <xdr:row>26</xdr:row>
      <xdr:rowOff>0</xdr:rowOff>
    </xdr:from>
    <xdr:to>
      <xdr:col>4</xdr:col>
      <xdr:colOff>0</xdr:colOff>
      <xdr:row>38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a29255a0484866"/>
        </a:graphicData>
      </a:graphic>
    </xdr:graphicFrame>
    <xdr:clientData/>
  </xdr:twoCellAnchor>
</xdr:wsDr>
</file>

<file path=xl/tables/table1.xml><?xml version="1.0" encoding="utf-8"?>
<x:table xmlns:x="http://schemas.openxmlformats.org/spreadsheetml/2006/main" id="1" name="OTKPICatalog" displayName="OTKPICatalog" ref="A5:O58" headerRowCount="1">
  <x:tableColumns count="15">
    <x:tableColumn id="1" name="ID"/>
    <x:tableColumn id="2" name="Monitoring Domain"/>
    <x:tableColumn id="3" name="KPI / Indicator"/>
    <x:tableColumn id="4" name="What It Measures"/>
    <x:tableColumn id="5" name="Calculation or Detection Logic"/>
    <x:tableColumn id="6" name="Primary Data Sources"/>
    <x:tableColumn id="7" name="Review Frequency"/>
    <x:tableColumn id="8" name="Green / Normal"/>
    <x:tableColumn id="9" name="Amber / Investigate"/>
    <x:tableColumn id="10" name="Red / Critical"/>
    <x:tableColumn id="11" name="Priority"/>
    <x:tableColumn id="12" name="Primary Owner"/>
    <x:tableColumn id="13" name="Immediate Response"/>
    <x:tableColumn id="14" name="Framework Mapping"/>
    <x:tableColumn id="15" name="Unit"/>
  </x:tableColumns>
  <x:tableStyleInfo name="TableStyleMedium2" showRowStripes="1"/>
</x:table>
</file>

<file path=xl/tables/table2.xml><?xml version="1.0" encoding="utf-8"?>
<x:table xmlns:x="http://schemas.openxmlformats.org/spreadsheetml/2006/main" id="2" name="DailyOTMonitoring" displayName="DailyOTMonitoring" ref="A5:N35" headerRowCount="1">
  <x:tableColumns count="14">
    <x:tableColumn id="1" name="Date"/>
    <x:tableColumn id="2" name="Network Availability (%)"/>
    <x:tableColumn id="3" name="Packet Loss (%)"/>
    <x:tableColumn id="4" name="Average Latency (ms)"/>
    <x:tableColumn id="5" name="Unknown Assets"/>
    <x:tableColumn id="6" name="Unauthorized Write Commands"/>
    <x:tableColumn id="7" name="Remote Access Sessions"/>
    <x:tableColumn id="8" name="Segmentation Violations"/>
    <x:tableColumn id="9" name="Frozen / Stale Tags"/>
    <x:tableColumn id="10" name="Log Source Health (%)"/>
    <x:tableColumn id="11" name="Critical Alerts"/>
    <x:tableColumn id="12" name="Risk Score (0-100)"/>
    <x:tableColumn id="13" name="Daily Status"/>
    <x:tableColumn id="14" name="Analyst Notes"/>
  </x:tableColumns>
  <x:tableStyleInfo name="TableStyleMedium2" showRowStripes="1"/>
</x:table>
</file>

<file path=xl/tables/table3.xml><?xml version="1.0" encoding="utf-8"?>
<x:table xmlns:x="http://schemas.openxmlformats.org/spreadsheetml/2006/main" id="3" name="OTAlertPlaybook" displayName="OTAlertPlaybook" ref="A5:K21" headerRowCount="1">
  <x:tableColumns count="11">
    <x:tableColumn id="1" name="Alert ID"/>
    <x:tableColumn id="2" name="Priority Event"/>
    <x:tableColumn id="3" name="Typical Trigger"/>
    <x:tableColumn id="4" name="Default Severity"/>
    <x:tableColumn id="5" name="First 15 Minutes"/>
    <x:tableColumn id="6" name="Technical Investigation"/>
    <x:tableColumn id="7" name="Operational Coordination"/>
    <x:tableColumn id="8" name="Primary Owner"/>
    <x:tableColumn id="9" name="Escalation Trigger"/>
    <x:tableColumn id="10" name="MITRE ATT&amp;CK for ICS / Control Theme"/>
    <x:tableColumn id="11" name="Evidence to Preserve"/>
  </x:tableColumns>
  <x:tableStyleInfo name="TableStyleMedium2" showRowStripes="1"/>
</x:table>
</file>

<file path=xl/tables/table4.xml><?xml version="1.0" encoding="utf-8"?>
<x:table xmlns:x="http://schemas.openxmlformats.org/spreadsheetml/2006/main" id="4" name="OTProtocolCoverage" displayName="OTProtocolCoverage" ref="A5:J20" headerRowCount="1">
  <x:tableColumns count="10">
    <x:tableColumn id="1" name="Protocol / Technology"/>
    <x:tableColumn id="2" name="Typical OT Use"/>
    <x:tableColumn id="3" name="Key Functions or Operations to Monitor"/>
    <x:tableColumn id="4" name="High-Risk Events"/>
    <x:tableColumn id="5" name="Behavioral Baseline"/>
    <x:tableColumn id="6" name="Primary Telemetry"/>
    <x:tableColumn id="7" name="Suggested Priority"/>
    <x:tableColumn id="8" name="Example Detection Question"/>
    <x:tableColumn id="9" name="Common Ports / Transport"/>
    <x:tableColumn id="10"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3846812feac4bf1" /></Relationships>
</file>

<file path=xl/worksheets/_rels/sheet3.xml.rels>&#65279;<?xml version="1.0" encoding="utf-8"?><Relationships xmlns="http://schemas.openxmlformats.org/package/2006/relationships"><Relationship Type="http://schemas.openxmlformats.org/officeDocument/2006/relationships/table" Target="/xl/tables/table1.xml" Id="R79aa5f22d50f4c0f" /></Relationships>
</file>

<file path=xl/worksheets/_rels/sheet4.xml.rels>&#65279;<?xml version="1.0" encoding="utf-8"?><Relationships xmlns="http://schemas.openxmlformats.org/package/2006/relationships"><Relationship Type="http://schemas.openxmlformats.org/officeDocument/2006/relationships/table" Target="/xl/tables/table2.xml" Id="R2a1423cccdd84536" /></Relationships>
</file>

<file path=xl/worksheets/_rels/sheet5.xml.rels>&#65279;<?xml version="1.0" encoding="utf-8"?><Relationships xmlns="http://schemas.openxmlformats.org/package/2006/relationships"><Relationship Type="http://schemas.openxmlformats.org/officeDocument/2006/relationships/table" Target="/xl/tables/table3.xml" Id="R5269ae39d7dd422f" /></Relationships>
</file>

<file path=xl/worksheets/_rels/sheet6.xml.rels>&#65279;<?xml version="1.0" encoding="utf-8"?><Relationships xmlns="http://schemas.openxmlformats.org/package/2006/relationships"><Relationship Type="http://schemas.openxmlformats.org/officeDocument/2006/relationships/table" Target="/xl/tables/table4.xml" Id="Rb71934f02a244598" /></Relationships>
</file>

<file path=xl/worksheets/sheet1.xml><?xml version="1.0" encoding="utf-8"?>
<x:worksheet xmlns:x="http://schemas.openxmlformats.org/spreadsheetml/2006/main">
  <x:sheetFormatPr defaultRowHeight="15"/>
  <x:cols>
    <x:col min="1" max="1" width="20" hidden="0" customWidth="1"/>
    <x:col min="2" max="2" width="64" hidden="0" customWidth="1"/>
    <x:col min="3" max="3" width="34"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s>
  <x:sheetData>
    <x:row r="1" ht="34" customHeight="1">
      <x:c r="A1" s="56" t="str">
        <x:v>OT Network Monitoring Metrics Workbook</x:v>
      </x:c>
      <x:c r="B1" s="56"/>
      <x:c r="C1" s="56"/>
      <x:c r="D1" s="56"/>
      <x:c r="E1" s="56"/>
      <x:c r="F1" s="56"/>
      <x:c r="G1" s="56"/>
      <x:c r="H1" s="56"/>
      <x:c r="I1" s="56"/>
      <x:c r="J1" s="56"/>
      <x:c r="K1" s="59"/>
      <x:c r="L1" s="59"/>
      <x:c r="M1" s="59"/>
      <x:c r="N1" s="59"/>
      <x:c r="O1" s="59"/>
    </x:row>
    <x:row r="2" ht="20" customHeight="1">
      <x:c r="A2" s="57" t="str">
        <x:v>Author: Yuval Sinay | Version 1.0 | 02.08.2026</x:v>
      </x:c>
      <x:c r="B2" s="57"/>
      <x:c r="C2" s="57"/>
      <x:c r="D2" s="57"/>
      <x:c r="E2" s="57"/>
      <x:c r="F2" s="57"/>
      <x:c r="G2" s="57"/>
      <x:c r="H2" s="57"/>
      <x:c r="I2" s="57"/>
      <x:c r="J2" s="57"/>
      <x:c r="K2" s="59"/>
      <x:c r="L2" s="59"/>
      <x:c r="M2" s="59"/>
      <x:c r="N2" s="59"/>
      <x:c r="O2" s="59"/>
    </x:row>
    <x:row r="3" ht="28" customHeight="1">
      <x:c r="A3" s="58" t="str">
        <x:v>A practical reference, assessment aid, monitoring log, and dashboard for operational technology environments.</x:v>
      </x:c>
      <x:c r="B3" s="58"/>
      <x:c r="C3" s="58"/>
      <x:c r="D3" s="58"/>
      <x:c r="E3" s="58"/>
      <x:c r="F3" s="58"/>
      <x:c r="G3" s="58"/>
      <x:c r="H3" s="58"/>
      <x:c r="I3" s="58"/>
      <x:c r="J3" s="58"/>
      <x:c r="K3" s="59"/>
      <x:c r="L3" s="59"/>
      <x:c r="M3" s="59"/>
      <x:c r="N3" s="59"/>
      <x:c r="O3" s="59"/>
    </x:row>
    <x:row r="4">
      <x:c r="A4" s="59"/>
      <x:c r="B4" s="59"/>
      <x:c r="C4" s="59"/>
      <x:c r="D4" s="59"/>
      <x:c r="E4" s="59"/>
      <x:c r="F4" s="59"/>
      <x:c r="G4" s="59"/>
      <x:c r="H4" s="59"/>
      <x:c r="I4" s="59"/>
      <x:c r="J4" s="59"/>
      <x:c r="K4" s="59"/>
      <x:c r="L4" s="59"/>
      <x:c r="M4" s="59"/>
      <x:c r="N4" s="59"/>
      <x:c r="O4" s="59"/>
    </x:row>
    <x:row r="5" ht="28" customHeight="1">
      <x:c r="A5" s="60" t="str">
        <x:v>Purpose
This workbook helps OT security teams define measurable monitoring requirements, establish baselines, identify deviations, prioritize alerts, and communicate operational risk to engineering, SOC, and management stakeholders.</x:v>
      </x:c>
      <x:c r="B5" s="60"/>
      <x:c r="C5" s="60"/>
      <x:c r="D5" s="60"/>
      <x:c r="E5" s="60"/>
      <x:c r="F5" s="60"/>
      <x:c r="G5" s="60"/>
      <x:c r="H5" s="60"/>
      <x:c r="I5" s="60"/>
      <x:c r="J5" s="60"/>
      <x:c r="K5" s="59"/>
      <x:c r="L5" s="59"/>
      <x:c r="M5" s="59"/>
      <x:c r="N5" s="59"/>
      <x:c r="O5" s="59"/>
    </x:row>
    <x:row r="6" ht="28" customHeight="1">
      <x:c r="A6" s="60"/>
      <x:c r="B6" s="60"/>
      <x:c r="C6" s="60"/>
      <x:c r="D6" s="60"/>
      <x:c r="E6" s="60"/>
      <x:c r="F6" s="60"/>
      <x:c r="G6" s="60"/>
      <x:c r="H6" s="60"/>
      <x:c r="I6" s="60"/>
      <x:c r="J6" s="60"/>
      <x:c r="K6" s="59"/>
      <x:c r="L6" s="59"/>
      <x:c r="M6" s="59"/>
      <x:c r="N6" s="59"/>
      <x:c r="O6" s="59"/>
    </x:row>
    <x:row r="7" ht="28" customHeight="1">
      <x:c r="A7" s="60"/>
      <x:c r="B7" s="60"/>
      <x:c r="C7" s="60"/>
      <x:c r="D7" s="60"/>
      <x:c r="E7" s="60"/>
      <x:c r="F7" s="60"/>
      <x:c r="G7" s="60"/>
      <x:c r="H7" s="60"/>
      <x:c r="I7" s="60"/>
      <x:c r="J7" s="60"/>
      <x:c r="K7" s="59"/>
      <x:c r="L7" s="59"/>
      <x:c r="M7" s="59"/>
      <x:c r="N7" s="59"/>
      <x:c r="O7" s="59"/>
    </x:row>
    <x:row r="8">
      <x:c r="A8" s="59"/>
      <x:c r="B8" s="59"/>
      <x:c r="C8" s="59"/>
      <x:c r="D8" s="59"/>
      <x:c r="E8" s="59"/>
      <x:c r="F8" s="59"/>
      <x:c r="G8" s="59"/>
      <x:c r="H8" s="59"/>
      <x:c r="I8" s="59"/>
      <x:c r="J8" s="59"/>
      <x:c r="K8" s="59"/>
      <x:c r="L8" s="59"/>
      <x:c r="M8" s="59"/>
      <x:c r="N8" s="59"/>
      <x:c r="O8" s="59"/>
    </x:row>
    <x:row r="9" ht="24" customHeight="1">
      <x:c r="A9" s="61" t="str">
        <x:v>Workbook Navigation</x:v>
      </x:c>
      <x:c r="B9" s="61"/>
      <x:c r="C9" s="61"/>
      <x:c r="D9" s="61"/>
      <x:c r="E9" s="61"/>
      <x:c r="F9" s="61"/>
      <x:c r="G9" s="61"/>
      <x:c r="H9" s="61"/>
      <x:c r="I9" s="61"/>
      <x:c r="J9" s="61"/>
      <x:c r="K9" s="59"/>
      <x:c r="L9" s="59"/>
      <x:c r="M9" s="59"/>
      <x:c r="N9" s="59"/>
      <x:c r="O9" s="59"/>
    </x:row>
    <x:row r="10" ht="32" customHeight="1">
      <x:c r="A10" s="62" t="str">
        <x:v>Sheet</x:v>
      </x:c>
      <x:c r="B10" s="62" t="str">
        <x:v>Primary Use</x:v>
      </x:c>
      <x:c r="C10" s="62" t="str">
        <x:v>Recommended User</x:v>
      </x:c>
      <x:c r="D10" s="59"/>
      <x:c r="E10" s="59"/>
      <x:c r="F10" s="59"/>
      <x:c r="G10" s="59"/>
      <x:c r="H10" s="59"/>
      <x:c r="I10" s="59"/>
      <x:c r="J10" s="59"/>
      <x:c r="K10" s="59"/>
      <x:c r="L10" s="59"/>
      <x:c r="M10" s="59"/>
      <x:c r="N10" s="59"/>
      <x:c r="O10" s="59"/>
    </x:row>
    <x:row r="11" ht="42" customHeight="1">
      <x:c r="A11" s="63" t="str">
        <x:v>Executive Dashboard</x:v>
      </x:c>
      <x:c r="B11" s="63" t="str">
        <x:v>Current-state indicators, 30-day trends, and management overview.</x:v>
      </x:c>
      <x:c r="C11" s="63" t="str">
        <x:v>OT SOC lead, CISO, plant manager</x:v>
      </x:c>
      <x:c r="D11" s="59"/>
      <x:c r="E11" s="59"/>
      <x:c r="F11" s="59"/>
      <x:c r="G11" s="59"/>
      <x:c r="H11" s="59"/>
      <x:c r="I11" s="59"/>
      <x:c r="J11" s="59"/>
      <x:c r="K11" s="59"/>
      <x:c r="L11" s="59"/>
      <x:c r="M11" s="59"/>
      <x:c r="N11" s="59"/>
      <x:c r="O11" s="59"/>
    </x:row>
    <x:row r="12" ht="42" customHeight="1">
      <x:c r="A12" s="63" t="str">
        <x:v>KPI Catalog</x:v>
      </x:c>
      <x:c r="B12" s="63" t="str">
        <x:v>Detailed definitions, thresholds, data sources, ownership, and response guidance.</x:v>
      </x:c>
      <x:c r="C12" s="63" t="str">
        <x:v>OT security architect, SOC engineering</x:v>
      </x:c>
      <x:c r="D12" s="59"/>
      <x:c r="E12" s="59"/>
      <x:c r="F12" s="59"/>
      <x:c r="G12" s="59"/>
      <x:c r="H12" s="59"/>
      <x:c r="I12" s="59"/>
      <x:c r="J12" s="59"/>
      <x:c r="K12" s="59"/>
      <x:c r="L12" s="59"/>
      <x:c r="M12" s="59"/>
      <x:c r="N12" s="59"/>
      <x:c r="O12" s="59"/>
    </x:row>
    <x:row r="13" ht="42" customHeight="1">
      <x:c r="A13" s="63" t="str">
        <x:v>Daily Monitoring</x:v>
      </x:c>
      <x:c r="B13" s="63" t="str">
        <x:v>Example 30-day dataset with formulas for daily risk scoring and status classification.</x:v>
      </x:c>
      <x:c r="C13" s="63" t="str">
        <x:v>SOC analyst, control engineer</x:v>
      </x:c>
      <x:c r="D13" s="59"/>
      <x:c r="E13" s="59"/>
      <x:c r="F13" s="59"/>
      <x:c r="G13" s="59"/>
      <x:c r="H13" s="59"/>
      <x:c r="I13" s="59"/>
      <x:c r="J13" s="59"/>
      <x:c r="K13" s="59"/>
      <x:c r="L13" s="59"/>
      <x:c r="M13" s="59"/>
      <x:c r="N13" s="59"/>
      <x:c r="O13" s="59"/>
    </x:row>
    <x:row r="14" ht="42" customHeight="1">
      <x:c r="A14" s="63" t="str">
        <x:v>Alert Playbook</x:v>
      </x:c>
      <x:c r="B14" s="63" t="str">
        <x:v>Priority events, trigger logic, immediate actions, escalation, and risk matrix.</x:v>
      </x:c>
      <x:c r="C14" s="63" t="str">
        <x:v>Incident responder, shift supervisor</x:v>
      </x:c>
      <x:c r="D14" s="59"/>
      <x:c r="E14" s="59"/>
      <x:c r="F14" s="59"/>
      <x:c r="G14" s="59"/>
      <x:c r="H14" s="59"/>
      <x:c r="I14" s="59"/>
      <x:c r="J14" s="59"/>
      <x:c r="K14" s="59"/>
      <x:c r="L14" s="59"/>
      <x:c r="M14" s="59"/>
      <x:c r="N14" s="59"/>
      <x:c r="O14" s="59"/>
    </x:row>
    <x:row r="15" ht="42" customHeight="1">
      <x:c r="A15" s="63" t="str">
        <x:v>Protocol Coverage</x:v>
      </x:c>
      <x:c r="B15" s="63" t="str">
        <x:v>Protocol-specific operations, functions, and anomalies that should be monitored.</x:v>
      </x:c>
      <x:c r="C15" s="63" t="str">
        <x:v>Network engineer, detection engineer</x:v>
      </x:c>
      <x:c r="D15" s="59"/>
      <x:c r="E15" s="59"/>
      <x:c r="F15" s="59"/>
      <x:c r="G15" s="59"/>
      <x:c r="H15" s="59"/>
      <x:c r="I15" s="59"/>
      <x:c r="J15" s="59"/>
      <x:c r="K15" s="59"/>
      <x:c r="L15" s="59"/>
      <x:c r="M15" s="59"/>
      <x:c r="N15" s="59"/>
      <x:c r="O15" s="59"/>
    </x:row>
    <x:row r="16" ht="42" customHeight="1">
      <x:c r="A16" s="63" t="str">
        <x:v>References</x:v>
      </x:c>
      <x:c r="B16" s="63" t="str">
        <x:v>Usage guidance, assumptions, and authoritative sources in APA 7 format.</x:v>
      </x:c>
      <x:c r="C16" s="63" t="str">
        <x:v>All users</x:v>
      </x:c>
      <x:c r="D16" s="59"/>
      <x:c r="E16" s="59"/>
      <x:c r="F16" s="59"/>
      <x:c r="G16" s="59"/>
      <x:c r="H16" s="59"/>
      <x:c r="I16" s="59"/>
      <x:c r="J16" s="59"/>
      <x:c r="K16" s="59"/>
      <x:c r="L16" s="59"/>
      <x:c r="M16" s="59"/>
      <x:c r="N16" s="59"/>
      <x:c r="O16" s="59"/>
    </x:row>
    <x:row r="17">
      <x:c r="A17" s="59"/>
      <x:c r="B17" s="59"/>
      <x:c r="C17" s="59"/>
      <x:c r="D17" s="59"/>
      <x:c r="E17" s="59"/>
      <x:c r="F17" s="59"/>
      <x:c r="G17" s="59"/>
      <x:c r="H17" s="59"/>
      <x:c r="I17" s="59"/>
      <x:c r="J17" s="59"/>
      <x:c r="K17" s="59"/>
      <x:c r="L17" s="59"/>
      <x:c r="M17" s="59"/>
      <x:c r="N17" s="59"/>
      <x:c r="O17" s="59"/>
    </x:row>
    <x:row r="18" ht="24" customHeight="1">
      <x:c r="A18" s="61" t="str">
        <x:v>Recommended Operating Model</x:v>
      </x:c>
      <x:c r="B18" s="61"/>
      <x:c r="C18" s="61"/>
      <x:c r="D18" s="61"/>
      <x:c r="E18" s="61"/>
      <x:c r="F18" s="61"/>
      <x:c r="G18" s="61"/>
      <x:c r="H18" s="61"/>
      <x:c r="I18" s="61"/>
      <x:c r="J18" s="61"/>
      <x:c r="K18" s="59"/>
      <x:c r="L18" s="59"/>
      <x:c r="M18" s="59"/>
      <x:c r="N18" s="59"/>
      <x:c r="O18" s="59"/>
    </x:row>
    <x:row r="19" ht="32" customHeight="1">
      <x:c r="A19" s="62" t="str">
        <x:v>Step</x:v>
      </x:c>
      <x:c r="B19" s="62" t="str">
        <x:v>Action</x:v>
      </x:c>
      <x:c r="C19" s="62" t="str">
        <x:v>Expected Output</x:v>
      </x:c>
      <x:c r="D19" s="59"/>
      <x:c r="E19" s="59"/>
      <x:c r="F19" s="59"/>
      <x:c r="G19" s="59"/>
      <x:c r="H19" s="59"/>
      <x:c r="I19" s="59"/>
      <x:c r="J19" s="59"/>
      <x:c r="K19" s="59"/>
      <x:c r="L19" s="59"/>
      <x:c r="M19" s="59"/>
      <x:c r="N19" s="59"/>
      <x:c r="O19" s="59"/>
    </x:row>
    <x:row r="20" ht="48" customHeight="1">
      <x:c r="A20" s="64" t="str">
        <x:v>1</x:v>
      </x:c>
      <x:c r="B20" s="64" t="str">
        <x:v>Inventory assets and identify zones, conduits, safety systems, control servers, engineering workstations, and remote access paths.</x:v>
      </x:c>
      <x:c r="C20" s="64" t="str">
        <x:v>Approved OT asset and communication baseline</x:v>
      </x:c>
      <x:c r="D20" s="59"/>
      <x:c r="E20" s="59"/>
      <x:c r="F20" s="59"/>
      <x:c r="G20" s="59"/>
      <x:c r="H20" s="59"/>
      <x:c r="I20" s="59"/>
      <x:c r="J20" s="59"/>
      <x:c r="K20" s="59"/>
      <x:c r="L20" s="59"/>
      <x:c r="M20" s="59"/>
      <x:c r="N20" s="59"/>
      <x:c r="O20" s="59"/>
    </x:row>
    <x:row r="21" ht="48" customHeight="1">
      <x:c r="A21" s="64" t="str">
        <x:v>2</x:v>
      </x:c>
      <x:c r="B21" s="64" t="str">
        <x:v>Select relevant metrics from the KPI Catalog and tailor thresholds to each production state.</x:v>
      </x:c>
      <x:c r="C21" s="64" t="str">
        <x:v>Site-specific KPI profile</x:v>
      </x:c>
      <x:c r="D21" s="59"/>
      <x:c r="E21" s="59"/>
      <x:c r="F21" s="59"/>
      <x:c r="G21" s="59"/>
      <x:c r="H21" s="59"/>
      <x:c r="I21" s="59"/>
      <x:c r="J21" s="59"/>
      <x:c r="K21" s="59"/>
      <x:c r="L21" s="59"/>
      <x:c r="M21" s="59"/>
      <x:c r="N21" s="59"/>
      <x:c r="O21" s="59"/>
    </x:row>
    <x:row r="22" ht="48" customHeight="1">
      <x:c r="A22" s="64" t="str">
        <x:v>3</x:v>
      </x:c>
      <x:c r="B22" s="64" t="str">
        <x:v>Collect passive network telemetry, device logs, authentication events, process historian data, and change-management records.</x:v>
      </x:c>
      <x:c r="C22" s="64" t="str">
        <x:v>Correlated monitoring dataset</x:v>
      </x:c>
      <x:c r="D22" s="59"/>
      <x:c r="E22" s="59"/>
      <x:c r="F22" s="59"/>
      <x:c r="G22" s="59"/>
      <x:c r="H22" s="59"/>
      <x:c r="I22" s="59"/>
      <x:c r="J22" s="59"/>
      <x:c r="K22" s="59"/>
      <x:c r="L22" s="59"/>
      <x:c r="M22" s="59"/>
      <x:c r="N22" s="59"/>
      <x:c r="O22" s="59"/>
    </x:row>
    <x:row r="23" ht="48" customHeight="1">
      <x:c r="A23" s="64" t="str">
        <x:v>4</x:v>
      </x:c>
      <x:c r="B23" s="64" t="str">
        <x:v>Review the Executive Dashboard daily and investigate deviations using the Alert Playbook.</x:v>
      </x:c>
      <x:c r="C23" s="64" t="str">
        <x:v>Prioritized investigation queue</x:v>
      </x:c>
      <x:c r="D23" s="59"/>
      <x:c r="E23" s="59"/>
      <x:c r="F23" s="59"/>
      <x:c r="G23" s="59"/>
      <x:c r="H23" s="59"/>
      <x:c r="I23" s="59"/>
      <x:c r="J23" s="59"/>
      <x:c r="K23" s="59"/>
      <x:c r="L23" s="59"/>
      <x:c r="M23" s="59"/>
      <x:c r="N23" s="59"/>
      <x:c r="O23" s="59"/>
    </x:row>
    <x:row r="24" ht="48" customHeight="1">
      <x:c r="A24" s="64" t="str">
        <x:v>5</x:v>
      </x:c>
      <x:c r="B24" s="64" t="str">
        <x:v>Revalidate thresholds after process, firmware, topology, vendor, or operating-mode changes.</x:v>
      </x:c>
      <x:c r="C24" s="64" t="str">
        <x:v>Controlled and current baseline</x:v>
      </x:c>
      <x:c r="D24" s="59"/>
      <x:c r="E24" s="59"/>
      <x:c r="F24" s="59"/>
      <x:c r="G24" s="59"/>
      <x:c r="H24" s="59"/>
      <x:c r="I24" s="59"/>
      <x:c r="J24" s="59"/>
      <x:c r="K24" s="59"/>
      <x:c r="L24" s="59"/>
      <x:c r="M24" s="59"/>
      <x:c r="N24" s="59"/>
      <x:c r="O24" s="59"/>
    </x:row>
    <x:row r="25">
      <x:c r="A25" s="59"/>
      <x:c r="B25" s="59"/>
      <x:c r="C25" s="59"/>
      <x:c r="D25" s="59"/>
      <x:c r="E25" s="59"/>
      <x:c r="F25" s="59"/>
      <x:c r="G25" s="59"/>
      <x:c r="H25" s="59"/>
      <x:c r="I25" s="59"/>
      <x:c r="J25" s="59"/>
      <x:c r="K25" s="59"/>
      <x:c r="L25" s="59"/>
      <x:c r="M25" s="59"/>
      <x:c r="N25" s="59"/>
      <x:c r="O25" s="59"/>
    </x:row>
    <x:row r="26">
      <x:c r="A26" s="65" t="str">
        <x:v>Important: OT monitoring thresholds must be validated with control engineers and asset owners. Passive monitoring is generally preferred for initial visibility. Active discovery or scanning should be tested and approved before use on production control networks.</x:v>
      </x:c>
      <x:c r="B26" s="65"/>
      <x:c r="C26" s="65"/>
      <x:c r="D26" s="65"/>
      <x:c r="E26" s="65"/>
      <x:c r="F26" s="65"/>
      <x:c r="G26" s="65"/>
      <x:c r="H26" s="65"/>
      <x:c r="I26" s="65"/>
      <x:c r="J26" s="65"/>
      <x:c r="K26" s="59"/>
      <x:c r="L26" s="59"/>
      <x:c r="M26" s="59"/>
      <x:c r="N26" s="59"/>
      <x:c r="O26" s="59"/>
    </x:row>
    <x:row r="27">
      <x:c r="A27" s="65"/>
      <x:c r="B27" s="65"/>
      <x:c r="C27" s="65"/>
      <x:c r="D27" s="65"/>
      <x:c r="E27" s="65"/>
      <x:c r="F27" s="65"/>
      <x:c r="G27" s="65"/>
      <x:c r="H27" s="65"/>
      <x:c r="I27" s="65"/>
      <x:c r="J27" s="65"/>
      <x:c r="K27" s="59"/>
      <x:c r="L27" s="59"/>
      <x:c r="M27" s="59"/>
      <x:c r="N27" s="59"/>
      <x:c r="O27" s="59"/>
    </x:row>
    <x:row r="28">
      <x:c r="A28" s="65"/>
      <x:c r="B28" s="65"/>
      <x:c r="C28" s="65"/>
      <x:c r="D28" s="65"/>
      <x:c r="E28" s="65"/>
      <x:c r="F28" s="65"/>
      <x:c r="G28" s="65"/>
      <x:c r="H28" s="65"/>
      <x:c r="I28" s="65"/>
      <x:c r="J28" s="65"/>
      <x:c r="K28" s="59"/>
      <x:c r="L28" s="59"/>
      <x:c r="M28" s="59"/>
      <x:c r="N28" s="59"/>
      <x:c r="O28" s="59"/>
    </x:row>
    <x:row r="29">
      <x:c r="A29" s="59"/>
      <x:c r="B29" s="59"/>
      <x:c r="C29" s="59"/>
      <x:c r="D29" s="59"/>
      <x:c r="E29" s="59"/>
      <x:c r="F29" s="59"/>
      <x:c r="G29" s="59"/>
      <x:c r="H29" s="59"/>
      <x:c r="I29" s="59"/>
      <x:c r="J29" s="59"/>
      <x:c r="K29" s="59"/>
      <x:c r="L29" s="59"/>
      <x:c r="M29" s="59"/>
      <x:c r="N29" s="59"/>
      <x:c r="O29" s="59"/>
    </x:row>
    <x:row r="30">
      <x:c r="A30" s="59"/>
      <x:c r="B30" s="59"/>
      <x:c r="C30" s="59"/>
      <x:c r="D30" s="59"/>
      <x:c r="E30" s="59"/>
      <x:c r="F30" s="59"/>
      <x:c r="G30" s="59"/>
      <x:c r="H30" s="59"/>
      <x:c r="I30" s="59"/>
      <x:c r="J30" s="59"/>
      <x:c r="K30" s="59"/>
      <x:c r="L30" s="59"/>
      <x:c r="M30" s="59"/>
      <x:c r="N30" s="59"/>
      <x:c r="O30" s="59"/>
    </x:row>
    <x:row r="31">
      <x:c r="A31" s="59"/>
      <x:c r="B31" s="59"/>
      <x:c r="C31" s="59"/>
      <x:c r="D31" s="59"/>
      <x:c r="E31" s="59"/>
      <x:c r="F31" s="59"/>
      <x:c r="G31" s="59"/>
      <x:c r="H31" s="59"/>
      <x:c r="I31" s="59"/>
      <x:c r="J31" s="59"/>
      <x:c r="K31" s="59"/>
      <x:c r="L31" s="59"/>
      <x:c r="M31" s="59"/>
      <x:c r="N31" s="59"/>
      <x:c r="O31" s="59"/>
    </x:row>
    <x:row r="32">
      <x:c r="A32" s="59"/>
      <x:c r="B32" s="59"/>
      <x:c r="C32" s="59"/>
      <x:c r="D32" s="59"/>
      <x:c r="E32" s="59"/>
      <x:c r="F32" s="59"/>
      <x:c r="G32" s="59"/>
      <x:c r="H32" s="59"/>
      <x:c r="I32" s="59"/>
      <x:c r="J32" s="59"/>
      <x:c r="K32" s="59"/>
      <x:c r="L32" s="59"/>
      <x:c r="M32" s="59"/>
      <x:c r="N32" s="59"/>
      <x:c r="O32" s="59"/>
    </x:row>
    <x:row r="33">
      <x:c r="A33" s="59"/>
      <x:c r="B33" s="59"/>
      <x:c r="C33" s="59"/>
      <x:c r="D33" s="59"/>
      <x:c r="E33" s="59"/>
      <x:c r="F33" s="59"/>
      <x:c r="G33" s="59"/>
      <x:c r="H33" s="59"/>
      <x:c r="I33" s="59"/>
      <x:c r="J33" s="59"/>
      <x:c r="K33" s="59"/>
      <x:c r="L33" s="59"/>
      <x:c r="M33" s="59"/>
      <x:c r="N33" s="59"/>
      <x:c r="O33" s="59"/>
    </x:row>
    <x:row r="34">
      <x:c r="A34" s="59"/>
      <x:c r="B34" s="59"/>
      <x:c r="C34" s="59"/>
      <x:c r="D34" s="59"/>
      <x:c r="E34" s="59"/>
      <x:c r="F34" s="59"/>
      <x:c r="G34" s="59"/>
      <x:c r="H34" s="59"/>
      <x:c r="I34" s="59"/>
      <x:c r="J34" s="59"/>
      <x:c r="K34" s="59"/>
      <x:c r="L34" s="59"/>
      <x:c r="M34" s="59"/>
      <x:c r="N34" s="59"/>
      <x:c r="O34" s="59"/>
    </x:row>
    <x:row r="35">
      <x:c r="A35" s="59"/>
      <x:c r="B35" s="59"/>
      <x:c r="C35" s="59"/>
      <x:c r="D35" s="59"/>
      <x:c r="E35" s="59"/>
      <x:c r="F35" s="59"/>
      <x:c r="G35" s="59"/>
      <x:c r="H35" s="59"/>
      <x:c r="I35" s="59"/>
      <x:c r="J35" s="59"/>
      <x:c r="K35" s="59"/>
      <x:c r="L35" s="59"/>
      <x:c r="M35" s="59"/>
      <x:c r="N35" s="59"/>
      <x:c r="O35" s="59"/>
    </x:row>
    <x:row r="36">
      <x:c r="A36" s="59"/>
      <x:c r="B36" s="59"/>
      <x:c r="C36" s="59"/>
      <x:c r="D36" s="59"/>
      <x:c r="E36" s="59"/>
      <x:c r="F36" s="59"/>
      <x:c r="G36" s="59"/>
      <x:c r="H36" s="59"/>
      <x:c r="I36" s="59"/>
      <x:c r="J36" s="59"/>
      <x:c r="K36" s="59"/>
      <x:c r="L36" s="59"/>
      <x:c r="M36" s="59"/>
      <x:c r="N36" s="59"/>
      <x:c r="O36" s="59"/>
    </x:row>
    <x:row r="37">
      <x:c r="A37" s="59"/>
      <x:c r="B37" s="59"/>
      <x:c r="C37" s="59"/>
      <x:c r="D37" s="59"/>
      <x:c r="E37" s="59"/>
      <x:c r="F37" s="59"/>
      <x:c r="G37" s="59"/>
      <x:c r="H37" s="59"/>
      <x:c r="I37" s="59"/>
      <x:c r="J37" s="59"/>
      <x:c r="K37" s="59"/>
      <x:c r="L37" s="59"/>
      <x:c r="M37" s="59"/>
      <x:c r="N37" s="59"/>
      <x:c r="O37" s="59"/>
    </x:row>
    <x:row r="38">
      <x:c r="A38" s="59"/>
      <x:c r="B38" s="59"/>
      <x:c r="C38" s="59"/>
      <x:c r="D38" s="59"/>
      <x:c r="E38" s="59"/>
      <x:c r="F38" s="59"/>
      <x:c r="G38" s="59"/>
      <x:c r="H38" s="59"/>
      <x:c r="I38" s="59"/>
      <x:c r="J38" s="59"/>
      <x:c r="K38" s="59"/>
      <x:c r="L38" s="59"/>
      <x:c r="M38" s="59"/>
      <x:c r="N38" s="59"/>
      <x:c r="O38" s="59"/>
    </x:row>
    <x:row r="39">
      <x:c r="A39" s="59"/>
      <x:c r="B39" s="59"/>
      <x:c r="C39" s="59"/>
      <x:c r="D39" s="59"/>
      <x:c r="E39" s="59"/>
      <x:c r="F39" s="59"/>
      <x:c r="G39" s="59"/>
      <x:c r="H39" s="59"/>
      <x:c r="I39" s="59"/>
      <x:c r="J39" s="59"/>
      <x:c r="K39" s="59"/>
      <x:c r="L39" s="59"/>
      <x:c r="M39" s="59"/>
      <x:c r="N39" s="59"/>
      <x:c r="O39" s="59"/>
    </x:row>
    <x:row r="40">
      <x:c r="A40" s="59"/>
      <x:c r="B40" s="59"/>
      <x:c r="C40" s="59"/>
      <x:c r="D40" s="59"/>
      <x:c r="E40" s="59"/>
      <x:c r="F40" s="59"/>
      <x:c r="G40" s="59"/>
      <x:c r="H40" s="59"/>
      <x:c r="I40" s="59"/>
      <x:c r="J40" s="59"/>
      <x:c r="K40" s="59"/>
      <x:c r="L40" s="59"/>
      <x:c r="M40" s="59"/>
      <x:c r="N40" s="59"/>
      <x:c r="O40" s="59"/>
    </x:row>
    <x:row r="41">
      <x:c r="A41" s="59"/>
      <x:c r="B41" s="59"/>
      <x:c r="C41" s="59"/>
      <x:c r="D41" s="59"/>
      <x:c r="E41" s="59"/>
      <x:c r="F41" s="59"/>
      <x:c r="G41" s="59"/>
      <x:c r="H41" s="59"/>
      <x:c r="I41" s="59"/>
      <x:c r="J41" s="59"/>
      <x:c r="K41" s="59"/>
      <x:c r="L41" s="59"/>
      <x:c r="M41" s="59"/>
      <x:c r="N41" s="59"/>
      <x:c r="O41" s="59"/>
    </x:row>
    <x:row r="42">
      <x:c r="A42" s="59"/>
      <x:c r="B42" s="59"/>
      <x:c r="C42" s="59"/>
      <x:c r="D42" s="59"/>
      <x:c r="E42" s="59"/>
      <x:c r="F42" s="59"/>
      <x:c r="G42" s="59"/>
      <x:c r="H42" s="59"/>
      <x:c r="I42" s="59"/>
      <x:c r="J42" s="59"/>
      <x:c r="K42" s="59"/>
      <x:c r="L42" s="59"/>
      <x:c r="M42" s="59"/>
      <x:c r="N42" s="59"/>
      <x:c r="O42" s="59"/>
    </x:row>
    <x:row r="43">
      <x:c r="A43" s="59"/>
      <x:c r="B43" s="59"/>
      <x:c r="C43" s="59"/>
      <x:c r="D43" s="59"/>
      <x:c r="E43" s="59"/>
      <x:c r="F43" s="59"/>
      <x:c r="G43" s="59"/>
      <x:c r="H43" s="59"/>
      <x:c r="I43" s="59"/>
      <x:c r="J43" s="59"/>
      <x:c r="K43" s="59"/>
      <x:c r="L43" s="59"/>
      <x:c r="M43" s="59"/>
      <x:c r="N43" s="59"/>
      <x:c r="O43" s="59"/>
    </x:row>
    <x:row r="44">
      <x:c r="A44" s="59"/>
      <x:c r="B44" s="59"/>
      <x:c r="C44" s="59"/>
      <x:c r="D44" s="59"/>
      <x:c r="E44" s="59"/>
      <x:c r="F44" s="59"/>
      <x:c r="G44" s="59"/>
      <x:c r="H44" s="59"/>
      <x:c r="I44" s="59"/>
      <x:c r="J44" s="59"/>
      <x:c r="K44" s="59"/>
      <x:c r="L44" s="59"/>
      <x:c r="M44" s="59"/>
      <x:c r="N44" s="59"/>
      <x:c r="O44" s="59"/>
    </x:row>
    <x:row r="45">
      <x:c r="A45" s="59"/>
      <x:c r="B45" s="59"/>
      <x:c r="C45" s="59"/>
      <x:c r="D45" s="59"/>
      <x:c r="E45" s="59"/>
      <x:c r="F45" s="59"/>
      <x:c r="G45" s="59"/>
      <x:c r="H45" s="59"/>
      <x:c r="I45" s="59"/>
      <x:c r="J45" s="59"/>
      <x:c r="K45" s="59"/>
      <x:c r="L45" s="59"/>
      <x:c r="M45" s="59"/>
      <x:c r="N45" s="59"/>
      <x:c r="O45" s="59"/>
    </x:row>
    <x:row r="46">
      <x:c r="A46" s="59"/>
      <x:c r="B46" s="59"/>
      <x:c r="C46" s="59"/>
      <x:c r="D46" s="59"/>
      <x:c r="E46" s="59"/>
      <x:c r="F46" s="59"/>
      <x:c r="G46" s="59"/>
      <x:c r="H46" s="59"/>
      <x:c r="I46" s="59"/>
      <x:c r="J46" s="59"/>
      <x:c r="K46" s="59"/>
      <x:c r="L46" s="59"/>
      <x:c r="M46" s="59"/>
      <x:c r="N46" s="59"/>
      <x:c r="O46" s="59"/>
    </x:row>
    <x:row r="47">
      <x:c r="A47" s="59"/>
      <x:c r="B47" s="59"/>
      <x:c r="C47" s="59"/>
      <x:c r="D47" s="59"/>
      <x:c r="E47" s="59"/>
      <x:c r="F47" s="59"/>
      <x:c r="G47" s="59"/>
      <x:c r="H47" s="59"/>
      <x:c r="I47" s="59"/>
      <x:c r="J47" s="59"/>
      <x:c r="K47" s="59"/>
      <x:c r="L47" s="59"/>
      <x:c r="M47" s="59"/>
      <x:c r="N47" s="59"/>
      <x:c r="O47" s="59"/>
    </x:row>
    <x:row r="48">
      <x:c r="A48" s="59"/>
      <x:c r="B48" s="59"/>
      <x:c r="C48" s="59"/>
      <x:c r="D48" s="59"/>
      <x:c r="E48" s="59"/>
      <x:c r="F48" s="59"/>
      <x:c r="G48" s="59"/>
      <x:c r="H48" s="59"/>
      <x:c r="I48" s="59"/>
      <x:c r="J48" s="59"/>
      <x:c r="K48" s="59"/>
      <x:c r="L48" s="59"/>
      <x:c r="M48" s="59"/>
      <x:c r="N48" s="59"/>
      <x:c r="O48" s="59"/>
    </x:row>
    <x:row r="49">
      <x:c r="A49" s="59"/>
      <x:c r="B49" s="59"/>
      <x:c r="C49" s="59"/>
      <x:c r="D49" s="59"/>
      <x:c r="E49" s="59"/>
      <x:c r="F49" s="59"/>
      <x:c r="G49" s="59"/>
      <x:c r="H49" s="59"/>
      <x:c r="I49" s="59"/>
      <x:c r="J49" s="59"/>
      <x:c r="K49" s="59"/>
      <x:c r="L49" s="59"/>
      <x:c r="M49" s="59"/>
      <x:c r="N49" s="59"/>
      <x:c r="O49" s="59"/>
    </x:row>
    <x:row r="50">
      <x:c r="A50" s="59"/>
      <x:c r="B50" s="59"/>
      <x:c r="C50" s="59"/>
      <x:c r="D50" s="59"/>
      <x:c r="E50" s="59"/>
      <x:c r="F50" s="59"/>
      <x:c r="G50" s="59"/>
      <x:c r="H50" s="59"/>
      <x:c r="I50" s="59"/>
      <x:c r="J50" s="59"/>
      <x:c r="K50" s="59"/>
      <x:c r="L50" s="59"/>
      <x:c r="M50" s="59"/>
      <x:c r="N50" s="59"/>
      <x:c r="O50" s="59"/>
    </x:row>
    <x:row r="51">
      <x:c r="A51" s="59"/>
      <x:c r="B51" s="59"/>
      <x:c r="C51" s="59"/>
      <x:c r="D51" s="59"/>
      <x:c r="E51" s="59"/>
      <x:c r="F51" s="59"/>
      <x:c r="G51" s="59"/>
      <x:c r="H51" s="59"/>
      <x:c r="I51" s="59"/>
      <x:c r="J51" s="59"/>
      <x:c r="K51" s="59"/>
      <x:c r="L51" s="59"/>
      <x:c r="M51" s="59"/>
      <x:c r="N51" s="59"/>
      <x:c r="O51" s="59"/>
    </x:row>
    <x:row r="52">
      <x:c r="A52" s="59"/>
      <x:c r="B52" s="59"/>
      <x:c r="C52" s="59"/>
      <x:c r="D52" s="59"/>
      <x:c r="E52" s="59"/>
      <x:c r="F52" s="59"/>
      <x:c r="G52" s="59"/>
      <x:c r="H52" s="59"/>
      <x:c r="I52" s="59"/>
      <x:c r="J52" s="59"/>
      <x:c r="K52" s="59"/>
      <x:c r="L52" s="59"/>
      <x:c r="M52" s="59"/>
      <x:c r="N52" s="59"/>
      <x:c r="O52" s="59"/>
    </x:row>
    <x:row r="53">
      <x:c r="A53" s="59"/>
      <x:c r="B53" s="59"/>
      <x:c r="C53" s="59"/>
      <x:c r="D53" s="59"/>
      <x:c r="E53" s="59"/>
      <x:c r="F53" s="59"/>
      <x:c r="G53" s="59"/>
      <x:c r="H53" s="59"/>
      <x:c r="I53" s="59"/>
      <x:c r="J53" s="59"/>
      <x:c r="K53" s="59"/>
      <x:c r="L53" s="59"/>
      <x:c r="M53" s="59"/>
      <x:c r="N53" s="59"/>
      <x:c r="O53" s="59"/>
    </x:row>
    <x:row r="54">
      <x:c r="A54" s="59"/>
      <x:c r="B54" s="59"/>
      <x:c r="C54" s="59"/>
      <x:c r="D54" s="59"/>
      <x:c r="E54" s="59"/>
      <x:c r="F54" s="59"/>
      <x:c r="G54" s="59"/>
      <x:c r="H54" s="59"/>
      <x:c r="I54" s="59"/>
      <x:c r="J54" s="59"/>
      <x:c r="K54" s="59"/>
      <x:c r="L54" s="59"/>
      <x:c r="M54" s="59"/>
      <x:c r="N54" s="59"/>
      <x:c r="O54" s="59"/>
    </x:row>
    <x:row r="55">
      <x:c r="A55" s="59"/>
      <x:c r="B55" s="59"/>
      <x:c r="C55" s="59"/>
      <x:c r="D55" s="59"/>
      <x:c r="E55" s="59"/>
      <x:c r="F55" s="59"/>
      <x:c r="G55" s="59"/>
      <x:c r="H55" s="59"/>
      <x:c r="I55" s="59"/>
      <x:c r="J55" s="59"/>
      <x:c r="K55" s="59"/>
      <x:c r="L55" s="59"/>
      <x:c r="M55" s="59"/>
      <x:c r="N55" s="59"/>
      <x:c r="O55" s="59"/>
    </x:row>
    <x:row r="56">
      <x:c r="A56" s="59"/>
      <x:c r="B56" s="59"/>
      <x:c r="C56" s="59"/>
      <x:c r="D56" s="59"/>
      <x:c r="E56" s="59"/>
      <x:c r="F56" s="59"/>
      <x:c r="G56" s="59"/>
      <x:c r="H56" s="59"/>
      <x:c r="I56" s="59"/>
      <x:c r="J56" s="59"/>
      <x:c r="K56" s="59"/>
      <x:c r="L56" s="59"/>
      <x:c r="M56" s="59"/>
      <x:c r="N56" s="59"/>
      <x:c r="O56" s="59"/>
    </x:row>
    <x:row r="57">
      <x:c r="A57" s="59"/>
      <x:c r="B57" s="59"/>
      <x:c r="C57" s="59"/>
      <x:c r="D57" s="59"/>
      <x:c r="E57" s="59"/>
      <x:c r="F57" s="59"/>
      <x:c r="G57" s="59"/>
      <x:c r="H57" s="59"/>
      <x:c r="I57" s="59"/>
      <x:c r="J57" s="59"/>
      <x:c r="K57" s="59"/>
      <x:c r="L57" s="59"/>
      <x:c r="M57" s="59"/>
      <x:c r="N57" s="59"/>
      <x:c r="O57" s="59"/>
    </x:row>
    <x:row r="58">
      <x:c r="A58" s="59"/>
      <x:c r="B58" s="59"/>
      <x:c r="C58" s="59"/>
      <x:c r="D58" s="59"/>
      <x:c r="E58" s="59"/>
      <x:c r="F58" s="59"/>
      <x:c r="G58" s="59"/>
      <x:c r="H58" s="59"/>
      <x:c r="I58" s="59"/>
      <x:c r="J58" s="59"/>
      <x:c r="K58" s="59"/>
      <x:c r="L58" s="59"/>
      <x:c r="M58" s="59"/>
      <x:c r="N58" s="59"/>
      <x:c r="O58" s="59"/>
    </x:row>
    <x:row r="59">
      <x:c r="A59" s="59"/>
      <x:c r="B59" s="59"/>
      <x:c r="C59" s="59"/>
      <x:c r="D59" s="59"/>
      <x:c r="E59" s="59"/>
      <x:c r="F59" s="59"/>
      <x:c r="G59" s="59"/>
      <x:c r="H59" s="59"/>
      <x:c r="I59" s="59"/>
      <x:c r="J59" s="59"/>
      <x:c r="K59" s="59"/>
      <x:c r="L59" s="59"/>
      <x:c r="M59" s="59"/>
      <x:c r="N59" s="59"/>
      <x:c r="O59" s="59"/>
    </x:row>
    <x:row r="60">
      <x:c r="A60" s="59"/>
      <x:c r="B60" s="59"/>
      <x:c r="C60" s="59"/>
      <x:c r="D60" s="59"/>
      <x:c r="E60" s="59"/>
      <x:c r="F60" s="59"/>
      <x:c r="G60" s="59"/>
      <x:c r="H60" s="59"/>
      <x:c r="I60" s="59"/>
      <x:c r="J60" s="59"/>
      <x:c r="K60" s="59"/>
      <x:c r="L60" s="59"/>
      <x:c r="M60" s="59"/>
      <x:c r="N60" s="59"/>
      <x:c r="O60" s="59"/>
    </x:row>
    <x:row r="61">
      <x:c r="A61" s="59"/>
      <x:c r="B61" s="59"/>
      <x:c r="C61" s="59"/>
      <x:c r="D61" s="59"/>
      <x:c r="E61" s="59"/>
      <x:c r="F61" s="59"/>
      <x:c r="G61" s="59"/>
      <x:c r="H61" s="59"/>
      <x:c r="I61" s="59"/>
      <x:c r="J61" s="59"/>
      <x:c r="K61" s="59"/>
      <x:c r="L61" s="59"/>
      <x:c r="M61" s="59"/>
      <x:c r="N61" s="59"/>
      <x:c r="O61" s="59"/>
    </x:row>
    <x:row r="62">
      <x:c r="A62" s="59"/>
      <x:c r="B62" s="59"/>
      <x:c r="C62" s="59"/>
      <x:c r="D62" s="59"/>
      <x:c r="E62" s="59"/>
      <x:c r="F62" s="59"/>
      <x:c r="G62" s="59"/>
      <x:c r="H62" s="59"/>
      <x:c r="I62" s="59"/>
      <x:c r="J62" s="59"/>
      <x:c r="K62" s="59"/>
      <x:c r="L62" s="59"/>
      <x:c r="M62" s="59"/>
      <x:c r="N62" s="59"/>
      <x:c r="O62" s="59"/>
    </x:row>
    <x:row r="63">
      <x:c r="A63" s="59"/>
      <x:c r="B63" s="59"/>
      <x:c r="C63" s="59"/>
      <x:c r="D63" s="59"/>
      <x:c r="E63" s="59"/>
      <x:c r="F63" s="59"/>
      <x:c r="G63" s="59"/>
      <x:c r="H63" s="59"/>
      <x:c r="I63" s="59"/>
      <x:c r="J63" s="59"/>
      <x:c r="K63" s="59"/>
      <x:c r="L63" s="59"/>
      <x:c r="M63" s="59"/>
      <x:c r="N63" s="59"/>
      <x:c r="O63" s="59"/>
    </x:row>
    <x:row r="64">
      <x:c r="A64" s="59"/>
      <x:c r="B64" s="59"/>
      <x:c r="C64" s="59"/>
      <x:c r="D64" s="59"/>
      <x:c r="E64" s="59"/>
      <x:c r="F64" s="59"/>
      <x:c r="G64" s="59"/>
      <x:c r="H64" s="59"/>
      <x:c r="I64" s="59"/>
      <x:c r="J64" s="59"/>
      <x:c r="K64" s="59"/>
      <x:c r="L64" s="59"/>
      <x:c r="M64" s="59"/>
      <x:c r="N64" s="59"/>
      <x:c r="O64" s="59"/>
    </x:row>
    <x:row r="65">
      <x:c r="A65" s="59"/>
      <x:c r="B65" s="59"/>
      <x:c r="C65" s="59"/>
      <x:c r="D65" s="59"/>
      <x:c r="E65" s="59"/>
      <x:c r="F65" s="59"/>
      <x:c r="G65" s="59"/>
      <x:c r="H65" s="59"/>
      <x:c r="I65" s="59"/>
      <x:c r="J65" s="59"/>
      <x:c r="K65" s="59"/>
      <x:c r="L65" s="59"/>
      <x:c r="M65" s="59"/>
      <x:c r="N65" s="59"/>
      <x:c r="O65" s="59"/>
    </x:row>
    <x:row r="66">
      <x:c r="A66" s="59"/>
      <x:c r="B66" s="59"/>
      <x:c r="C66" s="59"/>
      <x:c r="D66" s="59"/>
      <x:c r="E66" s="59"/>
      <x:c r="F66" s="59"/>
      <x:c r="G66" s="59"/>
      <x:c r="H66" s="59"/>
      <x:c r="I66" s="59"/>
      <x:c r="J66" s="59"/>
      <x:c r="K66" s="59"/>
      <x:c r="L66" s="59"/>
      <x:c r="M66" s="59"/>
      <x:c r="N66" s="59"/>
      <x:c r="O66" s="59"/>
    </x:row>
    <x:row r="67">
      <x:c r="A67" s="59"/>
      <x:c r="B67" s="59"/>
      <x:c r="C67" s="59"/>
      <x:c r="D67" s="59"/>
      <x:c r="E67" s="59"/>
      <x:c r="F67" s="59"/>
      <x:c r="G67" s="59"/>
      <x:c r="H67" s="59"/>
      <x:c r="I67" s="59"/>
      <x:c r="J67" s="59"/>
      <x:c r="K67" s="59"/>
      <x:c r="L67" s="59"/>
      <x:c r="M67" s="59"/>
      <x:c r="N67" s="59"/>
      <x:c r="O67" s="59"/>
    </x:row>
    <x:row r="68">
      <x:c r="A68" s="59"/>
      <x:c r="B68" s="59"/>
      <x:c r="C68" s="59"/>
      <x:c r="D68" s="59"/>
      <x:c r="E68" s="59"/>
      <x:c r="F68" s="59"/>
      <x:c r="G68" s="59"/>
      <x:c r="H68" s="59"/>
      <x:c r="I68" s="59"/>
      <x:c r="J68" s="59"/>
      <x:c r="K68" s="59"/>
      <x:c r="L68" s="59"/>
      <x:c r="M68" s="59"/>
      <x:c r="N68" s="59"/>
      <x:c r="O68" s="59"/>
    </x:row>
    <x:row r="69">
      <x:c r="A69" s="59"/>
      <x:c r="B69" s="59"/>
      <x:c r="C69" s="59"/>
      <x:c r="D69" s="59"/>
      <x:c r="E69" s="59"/>
      <x:c r="F69" s="59"/>
      <x:c r="G69" s="59"/>
      <x:c r="H69" s="59"/>
      <x:c r="I69" s="59"/>
      <x:c r="J69" s="59"/>
      <x:c r="K69" s="59"/>
      <x:c r="L69" s="59"/>
      <x:c r="M69" s="59"/>
      <x:c r="N69" s="59"/>
      <x:c r="O69" s="59"/>
    </x:row>
    <x:row r="70">
      <x:c r="A70" s="59"/>
      <x:c r="B70" s="59"/>
      <x:c r="C70" s="59"/>
      <x:c r="D70" s="59"/>
      <x:c r="E70" s="59"/>
      <x:c r="F70" s="59"/>
      <x:c r="G70" s="59"/>
      <x:c r="H70" s="59"/>
      <x:c r="I70" s="59"/>
      <x:c r="J70" s="59"/>
      <x:c r="K70" s="59"/>
      <x:c r="L70" s="59"/>
      <x:c r="M70" s="59"/>
      <x:c r="N70" s="59"/>
      <x:c r="O70" s="59"/>
    </x:row>
    <x:row r="71">
      <x:c r="A71" s="59"/>
      <x:c r="B71" s="59"/>
      <x:c r="C71" s="59"/>
      <x:c r="D71" s="59"/>
      <x:c r="E71" s="59"/>
      <x:c r="F71" s="59"/>
      <x:c r="G71" s="59"/>
      <x:c r="H71" s="59"/>
      <x:c r="I71" s="59"/>
      <x:c r="J71" s="59"/>
      <x:c r="K71" s="59"/>
      <x:c r="L71" s="59"/>
      <x:c r="M71" s="59"/>
      <x:c r="N71" s="59"/>
      <x:c r="O71" s="59"/>
    </x:row>
    <x:row r="72">
      <x:c r="A72" s="59"/>
      <x:c r="B72" s="59"/>
      <x:c r="C72" s="59"/>
      <x:c r="D72" s="59"/>
      <x:c r="E72" s="59"/>
      <x:c r="F72" s="59"/>
      <x:c r="G72" s="59"/>
      <x:c r="H72" s="59"/>
      <x:c r="I72" s="59"/>
      <x:c r="J72" s="59"/>
      <x:c r="K72" s="59"/>
      <x:c r="L72" s="59"/>
      <x:c r="M72" s="59"/>
      <x:c r="N72" s="59"/>
      <x:c r="O72" s="59"/>
    </x:row>
    <x:row r="73">
      <x:c r="A73" s="59"/>
      <x:c r="B73" s="59"/>
      <x:c r="C73" s="59"/>
      <x:c r="D73" s="59"/>
      <x:c r="E73" s="59"/>
      <x:c r="F73" s="59"/>
      <x:c r="G73" s="59"/>
      <x:c r="H73" s="59"/>
      <x:c r="I73" s="59"/>
      <x:c r="J73" s="59"/>
      <x:c r="K73" s="59"/>
      <x:c r="L73" s="59"/>
      <x:c r="M73" s="59"/>
      <x:c r="N73" s="59"/>
      <x:c r="O73" s="59"/>
    </x:row>
    <x:row r="74">
      <x:c r="A74" s="59"/>
      <x:c r="B74" s="59"/>
      <x:c r="C74" s="59"/>
      <x:c r="D74" s="59"/>
      <x:c r="E74" s="59"/>
      <x:c r="F74" s="59"/>
      <x:c r="G74" s="59"/>
      <x:c r="H74" s="59"/>
      <x:c r="I74" s="59"/>
      <x:c r="J74" s="59"/>
      <x:c r="K74" s="59"/>
      <x:c r="L74" s="59"/>
      <x:c r="M74" s="59"/>
      <x:c r="N74" s="59"/>
      <x:c r="O74" s="59"/>
    </x:row>
    <x:row r="75">
      <x:c r="A75" s="59"/>
      <x:c r="B75" s="59"/>
      <x:c r="C75" s="59"/>
      <x:c r="D75" s="59"/>
      <x:c r="E75" s="59"/>
      <x:c r="F75" s="59"/>
      <x:c r="G75" s="59"/>
      <x:c r="H75" s="59"/>
      <x:c r="I75" s="59"/>
      <x:c r="J75" s="59"/>
      <x:c r="K75" s="59"/>
      <x:c r="L75" s="59"/>
      <x:c r="M75" s="59"/>
      <x:c r="N75" s="59"/>
      <x:c r="O75" s="59"/>
    </x:row>
    <x:row r="76">
      <x:c r="A76" s="59"/>
      <x:c r="B76" s="59"/>
      <x:c r="C76" s="59"/>
      <x:c r="D76" s="59"/>
      <x:c r="E76" s="59"/>
      <x:c r="F76" s="59"/>
      <x:c r="G76" s="59"/>
      <x:c r="H76" s="59"/>
      <x:c r="I76" s="59"/>
      <x:c r="J76" s="59"/>
      <x:c r="K76" s="59"/>
      <x:c r="L76" s="59"/>
      <x:c r="M76" s="59"/>
      <x:c r="N76" s="59"/>
      <x:c r="O76" s="59"/>
    </x:row>
    <x:row r="77">
      <x:c r="A77" s="59"/>
      <x:c r="B77" s="59"/>
      <x:c r="C77" s="59"/>
      <x:c r="D77" s="59"/>
      <x:c r="E77" s="59"/>
      <x:c r="F77" s="59"/>
      <x:c r="G77" s="59"/>
      <x:c r="H77" s="59"/>
      <x:c r="I77" s="59"/>
      <x:c r="J77" s="59"/>
      <x:c r="K77" s="59"/>
      <x:c r="L77" s="59"/>
      <x:c r="M77" s="59"/>
      <x:c r="N77" s="59"/>
      <x:c r="O77" s="59"/>
    </x:row>
    <x:row r="78">
      <x:c r="A78" s="59"/>
      <x:c r="B78" s="59"/>
      <x:c r="C78" s="59"/>
      <x:c r="D78" s="59"/>
      <x:c r="E78" s="59"/>
      <x:c r="F78" s="59"/>
      <x:c r="G78" s="59"/>
      <x:c r="H78" s="59"/>
      <x:c r="I78" s="59"/>
      <x:c r="J78" s="59"/>
      <x:c r="K78" s="59"/>
      <x:c r="L78" s="59"/>
      <x:c r="M78" s="59"/>
      <x:c r="N78" s="59"/>
      <x:c r="O78" s="59"/>
    </x:row>
    <x:row r="79">
      <x:c r="A79" s="59"/>
      <x:c r="B79" s="59"/>
      <x:c r="C79" s="59"/>
      <x:c r="D79" s="59"/>
      <x:c r="E79" s="59"/>
      <x:c r="F79" s="59"/>
      <x:c r="G79" s="59"/>
      <x:c r="H79" s="59"/>
      <x:c r="I79" s="59"/>
      <x:c r="J79" s="59"/>
      <x:c r="K79" s="59"/>
      <x:c r="L79" s="59"/>
      <x:c r="M79" s="59"/>
      <x:c r="N79" s="59"/>
      <x:c r="O79" s="59"/>
    </x:row>
    <x:row r="80">
      <x:c r="A80" s="59"/>
      <x:c r="B80" s="59"/>
      <x:c r="C80" s="59"/>
      <x:c r="D80" s="59"/>
      <x:c r="E80" s="59"/>
      <x:c r="F80" s="59"/>
      <x:c r="G80" s="59"/>
      <x:c r="H80" s="59"/>
      <x:c r="I80" s="59"/>
      <x:c r="J80" s="59"/>
      <x:c r="K80" s="59"/>
      <x:c r="L80" s="59"/>
      <x:c r="M80" s="59"/>
      <x:c r="N80" s="59"/>
      <x:c r="O80" s="59"/>
    </x:row>
    <x:row r="81">
      <x:c r="A81" s="59"/>
      <x:c r="B81" s="59"/>
      <x:c r="C81" s="59"/>
      <x:c r="D81" s="59"/>
      <x:c r="E81" s="59"/>
      <x:c r="F81" s="59"/>
      <x:c r="G81" s="59"/>
      <x:c r="H81" s="59"/>
      <x:c r="I81" s="59"/>
      <x:c r="J81" s="59"/>
      <x:c r="K81" s="59"/>
      <x:c r="L81" s="59"/>
      <x:c r="M81" s="59"/>
      <x:c r="N81" s="59"/>
      <x:c r="O81" s="59"/>
    </x:row>
    <x:row r="82">
      <x:c r="A82" s="59"/>
      <x:c r="B82" s="59"/>
      <x:c r="C82" s="59"/>
      <x:c r="D82" s="59"/>
      <x:c r="E82" s="59"/>
      <x:c r="F82" s="59"/>
      <x:c r="G82" s="59"/>
      <x:c r="H82" s="59"/>
      <x:c r="I82" s="59"/>
      <x:c r="J82" s="59"/>
      <x:c r="K82" s="59"/>
      <x:c r="L82" s="59"/>
      <x:c r="M82" s="59"/>
      <x:c r="N82" s="59"/>
      <x:c r="O82" s="59"/>
    </x:row>
    <x:row r="83">
      <x:c r="A83" s="59"/>
      <x:c r="B83" s="59"/>
      <x:c r="C83" s="59"/>
      <x:c r="D83" s="59"/>
      <x:c r="E83" s="59"/>
      <x:c r="F83" s="59"/>
      <x:c r="G83" s="59"/>
      <x:c r="H83" s="59"/>
      <x:c r="I83" s="59"/>
      <x:c r="J83" s="59"/>
      <x:c r="K83" s="59"/>
      <x:c r="L83" s="59"/>
      <x:c r="M83" s="59"/>
      <x:c r="N83" s="59"/>
      <x:c r="O83" s="59"/>
    </x:row>
    <x:row r="84">
      <x:c r="A84" s="59"/>
      <x:c r="B84" s="59"/>
      <x:c r="C84" s="59"/>
      <x:c r="D84" s="59"/>
      <x:c r="E84" s="59"/>
      <x:c r="F84" s="59"/>
      <x:c r="G84" s="59"/>
      <x:c r="H84" s="59"/>
      <x:c r="I84" s="59"/>
      <x:c r="J84" s="59"/>
      <x:c r="K84" s="59"/>
      <x:c r="L84" s="59"/>
      <x:c r="M84" s="59"/>
      <x:c r="N84" s="59"/>
      <x:c r="O84" s="59"/>
    </x:row>
    <x:row r="85">
      <x:c r="A85" s="59"/>
      <x:c r="B85" s="59"/>
      <x:c r="C85" s="59"/>
      <x:c r="D85" s="59"/>
      <x:c r="E85" s="59"/>
      <x:c r="F85" s="59"/>
      <x:c r="G85" s="59"/>
      <x:c r="H85" s="59"/>
      <x:c r="I85" s="59"/>
      <x:c r="J85" s="59"/>
      <x:c r="K85" s="59"/>
      <x:c r="L85" s="59"/>
      <x:c r="M85" s="59"/>
      <x:c r="N85" s="59"/>
      <x:c r="O85" s="59"/>
    </x:row>
    <x:row r="86">
      <x:c r="A86" s="59"/>
      <x:c r="B86" s="59"/>
      <x:c r="C86" s="59"/>
      <x:c r="D86" s="59"/>
      <x:c r="E86" s="59"/>
      <x:c r="F86" s="59"/>
      <x:c r="G86" s="59"/>
      <x:c r="H86" s="59"/>
      <x:c r="I86" s="59"/>
      <x:c r="J86" s="59"/>
      <x:c r="K86" s="59"/>
      <x:c r="L86" s="59"/>
      <x:c r="M86" s="59"/>
      <x:c r="N86" s="59"/>
      <x:c r="O86" s="59"/>
    </x:row>
    <x:row r="87">
      <x:c r="A87" s="59"/>
      <x:c r="B87" s="59"/>
      <x:c r="C87" s="59"/>
      <x:c r="D87" s="59"/>
      <x:c r="E87" s="59"/>
      <x:c r="F87" s="59"/>
      <x:c r="G87" s="59"/>
      <x:c r="H87" s="59"/>
      <x:c r="I87" s="59"/>
      <x:c r="J87" s="59"/>
      <x:c r="K87" s="59"/>
      <x:c r="L87" s="59"/>
      <x:c r="M87" s="59"/>
      <x:c r="N87" s="59"/>
      <x:c r="O87" s="59"/>
    </x:row>
    <x:row r="88">
      <x:c r="A88" s="59"/>
      <x:c r="B88" s="59"/>
      <x:c r="C88" s="59"/>
      <x:c r="D88" s="59"/>
      <x:c r="E88" s="59"/>
      <x:c r="F88" s="59"/>
      <x:c r="G88" s="59"/>
      <x:c r="H88" s="59"/>
      <x:c r="I88" s="59"/>
      <x:c r="J88" s="59"/>
      <x:c r="K88" s="59"/>
      <x:c r="L88" s="59"/>
      <x:c r="M88" s="59"/>
      <x:c r="N88" s="59"/>
      <x:c r="O88" s="59"/>
    </x:row>
    <x:row r="89">
      <x:c r="A89" s="59"/>
      <x:c r="B89" s="59"/>
      <x:c r="C89" s="59"/>
      <x:c r="D89" s="59"/>
      <x:c r="E89" s="59"/>
      <x:c r="F89" s="59"/>
      <x:c r="G89" s="59"/>
      <x:c r="H89" s="59"/>
      <x:c r="I89" s="59"/>
      <x:c r="J89" s="59"/>
      <x:c r="K89" s="59"/>
      <x:c r="L89" s="59"/>
      <x:c r="M89" s="59"/>
      <x:c r="N89" s="59"/>
      <x:c r="O89" s="59"/>
    </x:row>
    <x:row r="90">
      <x:c r="A90" s="59"/>
      <x:c r="B90" s="59"/>
      <x:c r="C90" s="59"/>
      <x:c r="D90" s="59"/>
      <x:c r="E90" s="59"/>
      <x:c r="F90" s="59"/>
      <x:c r="G90" s="59"/>
      <x:c r="H90" s="59"/>
      <x:c r="I90" s="59"/>
      <x:c r="J90" s="59"/>
      <x:c r="K90" s="59"/>
      <x:c r="L90" s="59"/>
      <x:c r="M90" s="59"/>
      <x:c r="N90" s="59"/>
      <x:c r="O90" s="59"/>
    </x:row>
    <x:row r="91">
      <x:c r="A91" s="59"/>
      <x:c r="B91" s="59"/>
      <x:c r="C91" s="59"/>
      <x:c r="D91" s="59"/>
      <x:c r="E91" s="59"/>
      <x:c r="F91" s="59"/>
      <x:c r="G91" s="59"/>
      <x:c r="H91" s="59"/>
      <x:c r="I91" s="59"/>
      <x:c r="J91" s="59"/>
      <x:c r="K91" s="59"/>
      <x:c r="L91" s="59"/>
      <x:c r="M91" s="59"/>
      <x:c r="N91" s="59"/>
      <x:c r="O91" s="59"/>
    </x:row>
    <x:row r="92">
      <x:c r="A92" s="59"/>
      <x:c r="B92" s="59"/>
      <x:c r="C92" s="59"/>
      <x:c r="D92" s="59"/>
      <x:c r="E92" s="59"/>
      <x:c r="F92" s="59"/>
      <x:c r="G92" s="59"/>
      <x:c r="H92" s="59"/>
      <x:c r="I92" s="59"/>
      <x:c r="J92" s="59"/>
      <x:c r="K92" s="59"/>
      <x:c r="L92" s="59"/>
      <x:c r="M92" s="59"/>
      <x:c r="N92" s="59"/>
      <x:c r="O92" s="59"/>
    </x:row>
    <x:row r="93">
      <x:c r="A93" s="59"/>
      <x:c r="B93" s="59"/>
      <x:c r="C93" s="59"/>
      <x:c r="D93" s="59"/>
      <x:c r="E93" s="59"/>
      <x:c r="F93" s="59"/>
      <x:c r="G93" s="59"/>
      <x:c r="H93" s="59"/>
      <x:c r="I93" s="59"/>
      <x:c r="J93" s="59"/>
      <x:c r="K93" s="59"/>
      <x:c r="L93" s="59"/>
      <x:c r="M93" s="59"/>
      <x:c r="N93" s="59"/>
      <x:c r="O93" s="59"/>
    </x:row>
    <x:row r="94">
      <x:c r="A94" s="59"/>
      <x:c r="B94" s="59"/>
      <x:c r="C94" s="59"/>
      <x:c r="D94" s="59"/>
      <x:c r="E94" s="59"/>
      <x:c r="F94" s="59"/>
      <x:c r="G94" s="59"/>
      <x:c r="H94" s="59"/>
      <x:c r="I94" s="59"/>
      <x:c r="J94" s="59"/>
      <x:c r="K94" s="59"/>
      <x:c r="L94" s="59"/>
      <x:c r="M94" s="59"/>
      <x:c r="N94" s="59"/>
      <x:c r="O94" s="59"/>
    </x:row>
    <x:row r="95">
      <x:c r="A95" s="59"/>
      <x:c r="B95" s="59"/>
      <x:c r="C95" s="59"/>
      <x:c r="D95" s="59"/>
      <x:c r="E95" s="59"/>
      <x:c r="F95" s="59"/>
      <x:c r="G95" s="59"/>
      <x:c r="H95" s="59"/>
      <x:c r="I95" s="59"/>
      <x:c r="J95" s="59"/>
      <x:c r="K95" s="59"/>
      <x:c r="L95" s="59"/>
      <x:c r="M95" s="59"/>
      <x:c r="N95" s="59"/>
      <x:c r="O95" s="59"/>
    </x:row>
    <x:row r="96">
      <x:c r="A96" s="59"/>
      <x:c r="B96" s="59"/>
      <x:c r="C96" s="59"/>
      <x:c r="D96" s="59"/>
      <x:c r="E96" s="59"/>
      <x:c r="F96" s="59"/>
      <x:c r="G96" s="59"/>
      <x:c r="H96" s="59"/>
      <x:c r="I96" s="59"/>
      <x:c r="J96" s="59"/>
      <x:c r="K96" s="59"/>
      <x:c r="L96" s="59"/>
      <x:c r="M96" s="59"/>
      <x:c r="N96" s="59"/>
      <x:c r="O96" s="59"/>
    </x:row>
    <x:row r="97">
      <x:c r="A97" s="59"/>
      <x:c r="B97" s="59"/>
      <x:c r="C97" s="59"/>
      <x:c r="D97" s="59"/>
      <x:c r="E97" s="59"/>
      <x:c r="F97" s="59"/>
      <x:c r="G97" s="59"/>
      <x:c r="H97" s="59"/>
      <x:c r="I97" s="59"/>
      <x:c r="J97" s="59"/>
      <x:c r="K97" s="59"/>
      <x:c r="L97" s="59"/>
      <x:c r="M97" s="59"/>
      <x:c r="N97" s="59"/>
      <x:c r="O97" s="59"/>
    </x:row>
    <x:row r="98">
      <x:c r="A98" s="59"/>
      <x:c r="B98" s="59"/>
      <x:c r="C98" s="59"/>
      <x:c r="D98" s="59"/>
      <x:c r="E98" s="59"/>
      <x:c r="F98" s="59"/>
      <x:c r="G98" s="59"/>
      <x:c r="H98" s="59"/>
      <x:c r="I98" s="59"/>
      <x:c r="J98" s="59"/>
      <x:c r="K98" s="59"/>
      <x:c r="L98" s="59"/>
      <x:c r="M98" s="59"/>
      <x:c r="N98" s="59"/>
      <x:c r="O98" s="59"/>
    </x:row>
    <x:row r="99">
      <x:c r="A99" s="59"/>
      <x:c r="B99" s="59"/>
      <x:c r="C99" s="59"/>
      <x:c r="D99" s="59"/>
      <x:c r="E99" s="59"/>
      <x:c r="F99" s="59"/>
      <x:c r="G99" s="59"/>
      <x:c r="H99" s="59"/>
      <x:c r="I99" s="59"/>
      <x:c r="J99" s="59"/>
      <x:c r="K99" s="59"/>
      <x:c r="L99" s="59"/>
      <x:c r="M99" s="59"/>
      <x:c r="N99" s="59"/>
      <x:c r="O99" s="59"/>
    </x:row>
    <x:row r="100">
      <x:c r="A100" s="59"/>
      <x:c r="B100" s="59"/>
      <x:c r="C100" s="59"/>
      <x:c r="D100" s="59"/>
      <x:c r="E100" s="59"/>
      <x:c r="F100" s="59"/>
      <x:c r="G100" s="59"/>
      <x:c r="H100" s="59"/>
      <x:c r="I100" s="59"/>
      <x:c r="J100" s="59"/>
      <x:c r="K100" s="59"/>
      <x:c r="L100" s="59"/>
      <x:c r="M100" s="59"/>
      <x:c r="N100" s="59"/>
      <x:c r="O100" s="59"/>
    </x:row>
    <x:row r="101">
      <x:c r="A101" s="59"/>
      <x:c r="B101" s="59"/>
      <x:c r="C101" s="59"/>
      <x:c r="D101" s="59"/>
      <x:c r="E101" s="59"/>
      <x:c r="F101" s="59"/>
      <x:c r="G101" s="59"/>
      <x:c r="H101" s="59"/>
      <x:c r="I101" s="59"/>
      <x:c r="J101" s="59"/>
      <x:c r="K101" s="59"/>
      <x:c r="L101" s="59"/>
      <x:c r="M101" s="59"/>
      <x:c r="N101" s="59"/>
      <x:c r="O101" s="59"/>
    </x:row>
    <x:row r="102">
      <x:c r="A102" s="59"/>
      <x:c r="B102" s="59"/>
      <x:c r="C102" s="59"/>
      <x:c r="D102" s="59"/>
      <x:c r="E102" s="59"/>
      <x:c r="F102" s="59"/>
      <x:c r="G102" s="59"/>
      <x:c r="H102" s="59"/>
      <x:c r="I102" s="59"/>
      <x:c r="J102" s="59"/>
      <x:c r="K102" s="59"/>
      <x:c r="L102" s="59"/>
      <x:c r="M102" s="59"/>
      <x:c r="N102" s="59"/>
      <x:c r="O102" s="59"/>
    </x:row>
    <x:row r="103">
      <x:c r="A103" s="59"/>
      <x:c r="B103" s="59"/>
      <x:c r="C103" s="59"/>
      <x:c r="D103" s="59"/>
      <x:c r="E103" s="59"/>
      <x:c r="F103" s="59"/>
      <x:c r="G103" s="59"/>
      <x:c r="H103" s="59"/>
      <x:c r="I103" s="59"/>
      <x:c r="J103" s="59"/>
      <x:c r="K103" s="59"/>
      <x:c r="L103" s="59"/>
      <x:c r="M103" s="59"/>
      <x:c r="N103" s="59"/>
      <x:c r="O103" s="59"/>
    </x:row>
    <x:row r="104">
      <x:c r="A104" s="59"/>
      <x:c r="B104" s="59"/>
      <x:c r="C104" s="59"/>
      <x:c r="D104" s="59"/>
      <x:c r="E104" s="59"/>
      <x:c r="F104" s="59"/>
      <x:c r="G104" s="59"/>
      <x:c r="H104" s="59"/>
      <x:c r="I104" s="59"/>
      <x:c r="J104" s="59"/>
      <x:c r="K104" s="59"/>
      <x:c r="L104" s="59"/>
      <x:c r="M104" s="59"/>
      <x:c r="N104" s="59"/>
      <x:c r="O104" s="59"/>
    </x:row>
    <x:row r="105">
      <x:c r="A105" s="59"/>
      <x:c r="B105" s="59"/>
      <x:c r="C105" s="59"/>
      <x:c r="D105" s="59"/>
      <x:c r="E105" s="59"/>
      <x:c r="F105" s="59"/>
      <x:c r="G105" s="59"/>
      <x:c r="H105" s="59"/>
      <x:c r="I105" s="59"/>
      <x:c r="J105" s="59"/>
      <x:c r="K105" s="59"/>
      <x:c r="L105" s="59"/>
      <x:c r="M105" s="59"/>
      <x:c r="N105" s="59"/>
      <x:c r="O105" s="59"/>
    </x:row>
    <x:row r="106">
      <x:c r="A106" s="59"/>
      <x:c r="B106" s="59"/>
      <x:c r="C106" s="59"/>
      <x:c r="D106" s="59"/>
      <x:c r="E106" s="59"/>
      <x:c r="F106" s="59"/>
      <x:c r="G106" s="59"/>
      <x:c r="H106" s="59"/>
      <x:c r="I106" s="59"/>
      <x:c r="J106" s="59"/>
      <x:c r="K106" s="59"/>
      <x:c r="L106" s="59"/>
      <x:c r="M106" s="59"/>
      <x:c r="N106" s="59"/>
      <x:c r="O106" s="59"/>
    </x:row>
    <x:row r="107">
      <x:c r="A107" s="59"/>
      <x:c r="B107" s="59"/>
      <x:c r="C107" s="59"/>
      <x:c r="D107" s="59"/>
      <x:c r="E107" s="59"/>
      <x:c r="F107" s="59"/>
      <x:c r="G107" s="59"/>
      <x:c r="H107" s="59"/>
      <x:c r="I107" s="59"/>
      <x:c r="J107" s="59"/>
      <x:c r="K107" s="59"/>
      <x:c r="L107" s="59"/>
      <x:c r="M107" s="59"/>
      <x:c r="N107" s="59"/>
      <x:c r="O107" s="59"/>
    </x:row>
    <x:row r="108">
      <x:c r="A108" s="59"/>
      <x:c r="B108" s="59"/>
      <x:c r="C108" s="59"/>
      <x:c r="D108" s="59"/>
      <x:c r="E108" s="59"/>
      <x:c r="F108" s="59"/>
      <x:c r="G108" s="59"/>
      <x:c r="H108" s="59"/>
      <x:c r="I108" s="59"/>
      <x:c r="J108" s="59"/>
      <x:c r="K108" s="59"/>
      <x:c r="L108" s="59"/>
      <x:c r="M108" s="59"/>
      <x:c r="N108" s="59"/>
      <x:c r="O108" s="59"/>
    </x:row>
    <x:row r="109">
      <x:c r="A109" s="59"/>
      <x:c r="B109" s="59"/>
      <x:c r="C109" s="59"/>
      <x:c r="D109" s="59"/>
      <x:c r="E109" s="59"/>
      <x:c r="F109" s="59"/>
      <x:c r="G109" s="59"/>
      <x:c r="H109" s="59"/>
      <x:c r="I109" s="59"/>
      <x:c r="J109" s="59"/>
      <x:c r="K109" s="59"/>
      <x:c r="L109" s="59"/>
      <x:c r="M109" s="59"/>
      <x:c r="N109" s="59"/>
      <x:c r="O109" s="59"/>
    </x:row>
    <x:row r="110">
      <x:c r="A110" s="59"/>
      <x:c r="B110" s="59"/>
      <x:c r="C110" s="59"/>
      <x:c r="D110" s="59"/>
      <x:c r="E110" s="59"/>
      <x:c r="F110" s="59"/>
      <x:c r="G110" s="59"/>
      <x:c r="H110" s="59"/>
      <x:c r="I110" s="59"/>
      <x:c r="J110" s="59"/>
      <x:c r="K110" s="59"/>
      <x:c r="L110" s="59"/>
      <x:c r="M110" s="59"/>
      <x:c r="N110" s="59"/>
      <x:c r="O110" s="59"/>
    </x:row>
    <x:row r="111">
      <x:c r="A111" s="59"/>
      <x:c r="B111" s="59"/>
      <x:c r="C111" s="59"/>
      <x:c r="D111" s="59"/>
      <x:c r="E111" s="59"/>
      <x:c r="F111" s="59"/>
      <x:c r="G111" s="59"/>
      <x:c r="H111" s="59"/>
      <x:c r="I111" s="59"/>
      <x:c r="J111" s="59"/>
      <x:c r="K111" s="59"/>
      <x:c r="L111" s="59"/>
      <x:c r="M111" s="59"/>
      <x:c r="N111" s="59"/>
      <x:c r="O111" s="59"/>
    </x:row>
    <x:row r="112">
      <x:c r="A112" s="59"/>
      <x:c r="B112" s="59"/>
      <x:c r="C112" s="59"/>
      <x:c r="D112" s="59"/>
      <x:c r="E112" s="59"/>
      <x:c r="F112" s="59"/>
      <x:c r="G112" s="59"/>
      <x:c r="H112" s="59"/>
      <x:c r="I112" s="59"/>
      <x:c r="J112" s="59"/>
      <x:c r="K112" s="59"/>
      <x:c r="L112" s="59"/>
      <x:c r="M112" s="59"/>
      <x:c r="N112" s="59"/>
      <x:c r="O112" s="59"/>
    </x:row>
    <x:row r="113">
      <x:c r="A113" s="59"/>
      <x:c r="B113" s="59"/>
      <x:c r="C113" s="59"/>
      <x:c r="D113" s="59"/>
      <x:c r="E113" s="59"/>
      <x:c r="F113" s="59"/>
      <x:c r="G113" s="59"/>
      <x:c r="H113" s="59"/>
      <x:c r="I113" s="59"/>
      <x:c r="J113" s="59"/>
      <x:c r="K113" s="59"/>
      <x:c r="L113" s="59"/>
      <x:c r="M113" s="59"/>
      <x:c r="N113" s="59"/>
      <x:c r="O113" s="59"/>
    </x:row>
    <x:row r="114">
      <x:c r="A114" s="59"/>
      <x:c r="B114" s="59"/>
      <x:c r="C114" s="59"/>
      <x:c r="D114" s="59"/>
      <x:c r="E114" s="59"/>
      <x:c r="F114" s="59"/>
      <x:c r="G114" s="59"/>
      <x:c r="H114" s="59"/>
      <x:c r="I114" s="59"/>
      <x:c r="J114" s="59"/>
      <x:c r="K114" s="59"/>
      <x:c r="L114" s="59"/>
      <x:c r="M114" s="59"/>
      <x:c r="N114" s="59"/>
      <x:c r="O114" s="59"/>
    </x:row>
    <x:row r="115">
      <x:c r="A115" s="59"/>
      <x:c r="B115" s="59"/>
      <x:c r="C115" s="59"/>
      <x:c r="D115" s="59"/>
      <x:c r="E115" s="59"/>
      <x:c r="F115" s="59"/>
      <x:c r="G115" s="59"/>
      <x:c r="H115" s="59"/>
      <x:c r="I115" s="59"/>
      <x:c r="J115" s="59"/>
      <x:c r="K115" s="59"/>
      <x:c r="L115" s="59"/>
      <x:c r="M115" s="59"/>
      <x:c r="N115" s="59"/>
      <x:c r="O115" s="59"/>
    </x:row>
    <x:row r="116">
      <x:c r="A116" s="59"/>
      <x:c r="B116" s="59"/>
      <x:c r="C116" s="59"/>
      <x:c r="D116" s="59"/>
      <x:c r="E116" s="59"/>
      <x:c r="F116" s="59"/>
      <x:c r="G116" s="59"/>
      <x:c r="H116" s="59"/>
      <x:c r="I116" s="59"/>
      <x:c r="J116" s="59"/>
      <x:c r="K116" s="59"/>
      <x:c r="L116" s="59"/>
      <x:c r="M116" s="59"/>
      <x:c r="N116" s="59"/>
      <x:c r="O116" s="59"/>
    </x:row>
    <x:row r="117">
      <x:c r="A117" s="59"/>
      <x:c r="B117" s="59"/>
      <x:c r="C117" s="59"/>
      <x:c r="D117" s="59"/>
      <x:c r="E117" s="59"/>
      <x:c r="F117" s="59"/>
      <x:c r="G117" s="59"/>
      <x:c r="H117" s="59"/>
      <x:c r="I117" s="59"/>
      <x:c r="J117" s="59"/>
      <x:c r="K117" s="59"/>
      <x:c r="L117" s="59"/>
      <x:c r="M117" s="59"/>
      <x:c r="N117" s="59"/>
      <x:c r="O117" s="59"/>
    </x:row>
    <x:row r="118">
      <x:c r="A118" s="59"/>
      <x:c r="B118" s="59"/>
      <x:c r="C118" s="59"/>
      <x:c r="D118" s="59"/>
      <x:c r="E118" s="59"/>
      <x:c r="F118" s="59"/>
      <x:c r="G118" s="59"/>
      <x:c r="H118" s="59"/>
      <x:c r="I118" s="59"/>
      <x:c r="J118" s="59"/>
      <x:c r="K118" s="59"/>
      <x:c r="L118" s="59"/>
      <x:c r="M118" s="59"/>
      <x:c r="N118" s="59"/>
      <x:c r="O118" s="59"/>
    </x:row>
    <x:row r="119">
      <x:c r="A119" s="59"/>
      <x:c r="B119" s="59"/>
      <x:c r="C119" s="59"/>
      <x:c r="D119" s="59"/>
      <x:c r="E119" s="59"/>
      <x:c r="F119" s="59"/>
      <x:c r="G119" s="59"/>
      <x:c r="H119" s="59"/>
      <x:c r="I119" s="59"/>
      <x:c r="J119" s="59"/>
      <x:c r="K119" s="59"/>
      <x:c r="L119" s="59"/>
      <x:c r="M119" s="59"/>
      <x:c r="N119" s="59"/>
      <x:c r="O119" s="59"/>
    </x:row>
    <x:row r="120">
      <x:c r="A120" s="59"/>
      <x:c r="B120" s="59"/>
      <x:c r="C120" s="59"/>
      <x:c r="D120" s="59"/>
      <x:c r="E120" s="59"/>
      <x:c r="F120" s="59"/>
      <x:c r="G120" s="59"/>
      <x:c r="H120" s="59"/>
      <x:c r="I120" s="59"/>
      <x:c r="J120" s="59"/>
      <x:c r="K120" s="59"/>
      <x:c r="L120" s="59"/>
      <x:c r="M120" s="59"/>
      <x:c r="N120" s="59"/>
      <x:c r="O120" s="59"/>
    </x:row>
    <x:row r="121">
      <x:c r="A121" s="59"/>
      <x:c r="B121" s="59"/>
      <x:c r="C121" s="59"/>
      <x:c r="D121" s="59"/>
      <x:c r="E121" s="59"/>
      <x:c r="F121" s="59"/>
      <x:c r="G121" s="59"/>
      <x:c r="H121" s="59"/>
      <x:c r="I121" s="59"/>
      <x:c r="J121" s="59"/>
      <x:c r="K121" s="59"/>
      <x:c r="L121" s="59"/>
      <x:c r="M121" s="59"/>
      <x:c r="N121" s="59"/>
      <x:c r="O121" s="59"/>
    </x:row>
    <x:row r="122">
      <x:c r="A122" s="59"/>
      <x:c r="B122" s="59"/>
      <x:c r="C122" s="59"/>
      <x:c r="D122" s="59"/>
      <x:c r="E122" s="59"/>
      <x:c r="F122" s="59"/>
      <x:c r="G122" s="59"/>
      <x:c r="H122" s="59"/>
      <x:c r="I122" s="59"/>
      <x:c r="J122" s="59"/>
      <x:c r="K122" s="59"/>
      <x:c r="L122" s="59"/>
      <x:c r="M122" s="59"/>
      <x:c r="N122" s="59"/>
      <x:c r="O122" s="59"/>
    </x:row>
    <x:row r="123">
      <x:c r="A123" s="59"/>
      <x:c r="B123" s="59"/>
      <x:c r="C123" s="59"/>
      <x:c r="D123" s="59"/>
      <x:c r="E123" s="59"/>
      <x:c r="F123" s="59"/>
      <x:c r="G123" s="59"/>
      <x:c r="H123" s="59"/>
      <x:c r="I123" s="59"/>
      <x:c r="J123" s="59"/>
      <x:c r="K123" s="59"/>
      <x:c r="L123" s="59"/>
      <x:c r="M123" s="59"/>
      <x:c r="N123" s="59"/>
      <x:c r="O123" s="59"/>
    </x:row>
    <x:row r="124">
      <x:c r="A124" s="59"/>
      <x:c r="B124" s="59"/>
      <x:c r="C124" s="59"/>
      <x:c r="D124" s="59"/>
      <x:c r="E124" s="59"/>
      <x:c r="F124" s="59"/>
      <x:c r="G124" s="59"/>
      <x:c r="H124" s="59"/>
      <x:c r="I124" s="59"/>
      <x:c r="J124" s="59"/>
      <x:c r="K124" s="59"/>
      <x:c r="L124" s="59"/>
      <x:c r="M124" s="59"/>
      <x:c r="N124" s="59"/>
      <x:c r="O124" s="59"/>
    </x:row>
    <x:row r="125">
      <x:c r="A125" s="59"/>
      <x:c r="B125" s="59"/>
      <x:c r="C125" s="59"/>
      <x:c r="D125" s="59"/>
      <x:c r="E125" s="59"/>
      <x:c r="F125" s="59"/>
      <x:c r="G125" s="59"/>
      <x:c r="H125" s="59"/>
      <x:c r="I125" s="59"/>
      <x:c r="J125" s="59"/>
      <x:c r="K125" s="59"/>
      <x:c r="L125" s="59"/>
      <x:c r="M125" s="59"/>
      <x:c r="N125" s="59"/>
      <x:c r="O125" s="59"/>
    </x:row>
    <x:row r="126">
      <x:c r="A126" s="59"/>
      <x:c r="B126" s="59"/>
      <x:c r="C126" s="59"/>
      <x:c r="D126" s="59"/>
      <x:c r="E126" s="59"/>
      <x:c r="F126" s="59"/>
      <x:c r="G126" s="59"/>
      <x:c r="H126" s="59"/>
      <x:c r="I126" s="59"/>
      <x:c r="J126" s="59"/>
      <x:c r="K126" s="59"/>
      <x:c r="L126" s="59"/>
      <x:c r="M126" s="59"/>
      <x:c r="N126" s="59"/>
      <x:c r="O126" s="59"/>
    </x:row>
    <x:row r="127">
      <x:c r="A127" s="59"/>
      <x:c r="B127" s="59"/>
      <x:c r="C127" s="59"/>
      <x:c r="D127" s="59"/>
      <x:c r="E127" s="59"/>
      <x:c r="F127" s="59"/>
      <x:c r="G127" s="59"/>
      <x:c r="H127" s="59"/>
      <x:c r="I127" s="59"/>
      <x:c r="J127" s="59"/>
      <x:c r="K127" s="59"/>
      <x:c r="L127" s="59"/>
      <x:c r="M127" s="59"/>
      <x:c r="N127" s="59"/>
      <x:c r="O127" s="59"/>
    </x:row>
    <x:row r="128">
      <x:c r="A128" s="59"/>
      <x:c r="B128" s="59"/>
      <x:c r="C128" s="59"/>
      <x:c r="D128" s="59"/>
      <x:c r="E128" s="59"/>
      <x:c r="F128" s="59"/>
      <x:c r="G128" s="59"/>
      <x:c r="H128" s="59"/>
      <x:c r="I128" s="59"/>
      <x:c r="J128" s="59"/>
      <x:c r="K128" s="59"/>
      <x:c r="L128" s="59"/>
      <x:c r="M128" s="59"/>
      <x:c r="N128" s="59"/>
      <x:c r="O128" s="59"/>
    </x:row>
    <x:row r="129">
      <x:c r="A129" s="59"/>
      <x:c r="B129" s="59"/>
      <x:c r="C129" s="59"/>
      <x:c r="D129" s="59"/>
      <x:c r="E129" s="59"/>
      <x:c r="F129" s="59"/>
      <x:c r="G129" s="59"/>
      <x:c r="H129" s="59"/>
      <x:c r="I129" s="59"/>
      <x:c r="J129" s="59"/>
      <x:c r="K129" s="59"/>
      <x:c r="L129" s="59"/>
      <x:c r="M129" s="59"/>
      <x:c r="N129" s="59"/>
      <x:c r="O129" s="59"/>
    </x:row>
    <x:row r="130">
      <x:c r="A130" s="59"/>
      <x:c r="B130" s="59"/>
      <x:c r="C130" s="59"/>
      <x:c r="D130" s="59"/>
      <x:c r="E130" s="59"/>
      <x:c r="F130" s="59"/>
      <x:c r="G130" s="59"/>
      <x:c r="H130" s="59"/>
      <x:c r="I130" s="59"/>
      <x:c r="J130" s="59"/>
      <x:c r="K130" s="59"/>
      <x:c r="L130" s="59"/>
      <x:c r="M130" s="59"/>
      <x:c r="N130" s="59"/>
      <x:c r="O130" s="59"/>
    </x:row>
    <x:row r="131">
      <x:c r="A131" s="59"/>
      <x:c r="B131" s="59"/>
      <x:c r="C131" s="59"/>
      <x:c r="D131" s="59"/>
      <x:c r="E131" s="59"/>
      <x:c r="F131" s="59"/>
      <x:c r="G131" s="59"/>
      <x:c r="H131" s="59"/>
      <x:c r="I131" s="59"/>
      <x:c r="J131" s="59"/>
      <x:c r="K131" s="59"/>
      <x:c r="L131" s="59"/>
      <x:c r="M131" s="59"/>
      <x:c r="N131" s="59"/>
      <x:c r="O131" s="59"/>
    </x:row>
    <x:row r="132">
      <x:c r="A132" s="59"/>
      <x:c r="B132" s="59"/>
      <x:c r="C132" s="59"/>
      <x:c r="D132" s="59"/>
      <x:c r="E132" s="59"/>
      <x:c r="F132" s="59"/>
      <x:c r="G132" s="59"/>
      <x:c r="H132" s="59"/>
      <x:c r="I132" s="59"/>
      <x:c r="J132" s="59"/>
      <x:c r="K132" s="59"/>
      <x:c r="L132" s="59"/>
      <x:c r="M132" s="59"/>
      <x:c r="N132" s="59"/>
      <x:c r="O132" s="59"/>
    </x:row>
    <x:row r="133">
      <x:c r="A133" s="59"/>
      <x:c r="B133" s="59"/>
      <x:c r="C133" s="59"/>
      <x:c r="D133" s="59"/>
      <x:c r="E133" s="59"/>
      <x:c r="F133" s="59"/>
      <x:c r="G133" s="59"/>
      <x:c r="H133" s="59"/>
      <x:c r="I133" s="59"/>
      <x:c r="J133" s="59"/>
      <x:c r="K133" s="59"/>
      <x:c r="L133" s="59"/>
      <x:c r="M133" s="59"/>
      <x:c r="N133" s="59"/>
      <x:c r="O133" s="59"/>
    </x:row>
    <x:row r="134">
      <x:c r="A134" s="59"/>
      <x:c r="B134" s="59"/>
      <x:c r="C134" s="59"/>
      <x:c r="D134" s="59"/>
      <x:c r="E134" s="59"/>
      <x:c r="F134" s="59"/>
      <x:c r="G134" s="59"/>
      <x:c r="H134" s="59"/>
      <x:c r="I134" s="59"/>
      <x:c r="J134" s="59"/>
      <x:c r="K134" s="59"/>
      <x:c r="L134" s="59"/>
      <x:c r="M134" s="59"/>
      <x:c r="N134" s="59"/>
      <x:c r="O134" s="59"/>
    </x:row>
    <x:row r="135">
      <x:c r="A135" s="59"/>
      <x:c r="B135" s="59"/>
      <x:c r="C135" s="59"/>
      <x:c r="D135" s="59"/>
      <x:c r="E135" s="59"/>
      <x:c r="F135" s="59"/>
      <x:c r="G135" s="59"/>
      <x:c r="H135" s="59"/>
      <x:c r="I135" s="59"/>
      <x:c r="J135" s="59"/>
      <x:c r="K135" s="59"/>
      <x:c r="L135" s="59"/>
      <x:c r="M135" s="59"/>
      <x:c r="N135" s="59"/>
      <x:c r="O135" s="59"/>
    </x:row>
    <x:row r="136">
      <x:c r="A136" s="59"/>
      <x:c r="B136" s="59"/>
      <x:c r="C136" s="59"/>
      <x:c r="D136" s="59"/>
      <x:c r="E136" s="59"/>
      <x:c r="F136" s="59"/>
      <x:c r="G136" s="59"/>
      <x:c r="H136" s="59"/>
      <x:c r="I136" s="59"/>
      <x:c r="J136" s="59"/>
      <x:c r="K136" s="59"/>
      <x:c r="L136" s="59"/>
      <x:c r="M136" s="59"/>
      <x:c r="N136" s="59"/>
      <x:c r="O136" s="59"/>
    </x:row>
    <x:row r="137">
      <x:c r="A137" s="59"/>
      <x:c r="B137" s="59"/>
      <x:c r="C137" s="59"/>
      <x:c r="D137" s="59"/>
      <x:c r="E137" s="59"/>
      <x:c r="F137" s="59"/>
      <x:c r="G137" s="59"/>
      <x:c r="H137" s="59"/>
      <x:c r="I137" s="59"/>
      <x:c r="J137" s="59"/>
      <x:c r="K137" s="59"/>
      <x:c r="L137" s="59"/>
      <x:c r="M137" s="59"/>
      <x:c r="N137" s="59"/>
      <x:c r="O137" s="59"/>
    </x:row>
    <x:row r="138">
      <x:c r="A138" s="59"/>
      <x:c r="B138" s="59"/>
      <x:c r="C138" s="59"/>
      <x:c r="D138" s="59"/>
      <x:c r="E138" s="59"/>
      <x:c r="F138" s="59"/>
      <x:c r="G138" s="59"/>
      <x:c r="H138" s="59"/>
      <x:c r="I138" s="59"/>
      <x:c r="J138" s="59"/>
      <x:c r="K138" s="59"/>
      <x:c r="L138" s="59"/>
      <x:c r="M138" s="59"/>
      <x:c r="N138" s="59"/>
      <x:c r="O138" s="59"/>
    </x:row>
    <x:row r="139">
      <x:c r="A139" s="59"/>
      <x:c r="B139" s="59"/>
      <x:c r="C139" s="59"/>
      <x:c r="D139" s="59"/>
      <x:c r="E139" s="59"/>
      <x:c r="F139" s="59"/>
      <x:c r="G139" s="59"/>
      <x:c r="H139" s="59"/>
      <x:c r="I139" s="59"/>
      <x:c r="J139" s="59"/>
      <x:c r="K139" s="59"/>
      <x:c r="L139" s="59"/>
      <x:c r="M139" s="59"/>
      <x:c r="N139" s="59"/>
      <x:c r="O139" s="59"/>
    </x:row>
    <x:row r="140">
      <x:c r="A140" s="59"/>
      <x:c r="B140" s="59"/>
      <x:c r="C140" s="59"/>
      <x:c r="D140" s="59"/>
      <x:c r="E140" s="59"/>
      <x:c r="F140" s="59"/>
      <x:c r="G140" s="59"/>
      <x:c r="H140" s="59"/>
      <x:c r="I140" s="59"/>
      <x:c r="J140" s="59"/>
      <x:c r="K140" s="59"/>
      <x:c r="L140" s="59"/>
      <x:c r="M140" s="59"/>
      <x:c r="N140" s="59"/>
      <x:c r="O140" s="59"/>
    </x:row>
    <x:row r="141">
      <x:c r="A141" s="59"/>
      <x:c r="B141" s="59"/>
      <x:c r="C141" s="59"/>
      <x:c r="D141" s="59"/>
      <x:c r="E141" s="59"/>
      <x:c r="F141" s="59"/>
      <x:c r="G141" s="59"/>
      <x:c r="H141" s="59"/>
      <x:c r="I141" s="59"/>
      <x:c r="J141" s="59"/>
      <x:c r="K141" s="59"/>
      <x:c r="L141" s="59"/>
      <x:c r="M141" s="59"/>
      <x:c r="N141" s="59"/>
      <x:c r="O141" s="59"/>
    </x:row>
    <x:row r="142">
      <x:c r="A142" s="59"/>
      <x:c r="B142" s="59"/>
      <x:c r="C142" s="59"/>
      <x:c r="D142" s="59"/>
      <x:c r="E142" s="59"/>
      <x:c r="F142" s="59"/>
      <x:c r="G142" s="59"/>
      <x:c r="H142" s="59"/>
      <x:c r="I142" s="59"/>
      <x:c r="J142" s="59"/>
      <x:c r="K142" s="59"/>
      <x:c r="L142" s="59"/>
      <x:c r="M142" s="59"/>
      <x:c r="N142" s="59"/>
      <x:c r="O142" s="59"/>
    </x:row>
    <x:row r="143">
      <x:c r="A143" s="59"/>
      <x:c r="B143" s="59"/>
      <x:c r="C143" s="59"/>
      <x:c r="D143" s="59"/>
      <x:c r="E143" s="59"/>
      <x:c r="F143" s="59"/>
      <x:c r="G143" s="59"/>
      <x:c r="H143" s="59"/>
      <x:c r="I143" s="59"/>
      <x:c r="J143" s="59"/>
      <x:c r="K143" s="59"/>
      <x:c r="L143" s="59"/>
      <x:c r="M143" s="59"/>
      <x:c r="N143" s="59"/>
      <x:c r="O143" s="59"/>
    </x:row>
    <x:row r="144">
      <x:c r="A144" s="59"/>
      <x:c r="B144" s="59"/>
      <x:c r="C144" s="59"/>
      <x:c r="D144" s="59"/>
      <x:c r="E144" s="59"/>
      <x:c r="F144" s="59"/>
      <x:c r="G144" s="59"/>
      <x:c r="H144" s="59"/>
      <x:c r="I144" s="59"/>
      <x:c r="J144" s="59"/>
      <x:c r="K144" s="59"/>
      <x:c r="L144" s="59"/>
      <x:c r="M144" s="59"/>
      <x:c r="N144" s="59"/>
      <x:c r="O144" s="59"/>
    </x:row>
    <x:row r="145">
      <x:c r="A145" s="59"/>
      <x:c r="B145" s="59"/>
      <x:c r="C145" s="59"/>
      <x:c r="D145" s="59"/>
      <x:c r="E145" s="59"/>
      <x:c r="F145" s="59"/>
      <x:c r="G145" s="59"/>
      <x:c r="H145" s="59"/>
      <x:c r="I145" s="59"/>
      <x:c r="J145" s="59"/>
      <x:c r="K145" s="59"/>
      <x:c r="L145" s="59"/>
      <x:c r="M145" s="59"/>
      <x:c r="N145" s="59"/>
      <x:c r="O145" s="59"/>
    </x:row>
    <x:row r="146">
      <x:c r="A146" s="59"/>
      <x:c r="B146" s="59"/>
      <x:c r="C146" s="59"/>
      <x:c r="D146" s="59"/>
      <x:c r="E146" s="59"/>
      <x:c r="F146" s="59"/>
      <x:c r="G146" s="59"/>
      <x:c r="H146" s="59"/>
      <x:c r="I146" s="59"/>
      <x:c r="J146" s="59"/>
      <x:c r="K146" s="59"/>
      <x:c r="L146" s="59"/>
      <x:c r="M146" s="59"/>
      <x:c r="N146" s="59"/>
      <x:c r="O146" s="59"/>
    </x:row>
    <x:row r="147">
      <x:c r="A147" s="59"/>
      <x:c r="B147" s="59"/>
      <x:c r="C147" s="59"/>
      <x:c r="D147" s="59"/>
      <x:c r="E147" s="59"/>
      <x:c r="F147" s="59"/>
      <x:c r="G147" s="59"/>
      <x:c r="H147" s="59"/>
      <x:c r="I147" s="59"/>
      <x:c r="J147" s="59"/>
      <x:c r="K147" s="59"/>
      <x:c r="L147" s="59"/>
      <x:c r="M147" s="59"/>
      <x:c r="N147" s="59"/>
      <x:c r="O147" s="59"/>
    </x:row>
    <x:row r="148">
      <x:c r="A148" s="59"/>
      <x:c r="B148" s="59"/>
      <x:c r="C148" s="59"/>
      <x:c r="D148" s="59"/>
      <x:c r="E148" s="59"/>
      <x:c r="F148" s="59"/>
      <x:c r="G148" s="59"/>
      <x:c r="H148" s="59"/>
      <x:c r="I148" s="59"/>
      <x:c r="J148" s="59"/>
      <x:c r="K148" s="59"/>
      <x:c r="L148" s="59"/>
      <x:c r="M148" s="59"/>
      <x:c r="N148" s="59"/>
      <x:c r="O148" s="59"/>
    </x:row>
    <x:row r="149">
      <x:c r="A149" s="59"/>
      <x:c r="B149" s="59"/>
      <x:c r="C149" s="59"/>
      <x:c r="D149" s="59"/>
      <x:c r="E149" s="59"/>
      <x:c r="F149" s="59"/>
      <x:c r="G149" s="59"/>
      <x:c r="H149" s="59"/>
      <x:c r="I149" s="59"/>
      <x:c r="J149" s="59"/>
      <x:c r="K149" s="59"/>
      <x:c r="L149" s="59"/>
      <x:c r="M149" s="59"/>
      <x:c r="N149" s="59"/>
      <x:c r="O149" s="59"/>
    </x:row>
    <x:row r="150">
      <x:c r="A150" s="59"/>
      <x:c r="B150" s="59"/>
      <x:c r="C150" s="59"/>
      <x:c r="D150" s="59"/>
      <x:c r="E150" s="59"/>
      <x:c r="F150" s="59"/>
      <x:c r="G150" s="59"/>
      <x:c r="H150" s="59"/>
      <x:c r="I150" s="59"/>
      <x:c r="J150" s="59"/>
      <x:c r="K150" s="59"/>
      <x:c r="L150" s="59"/>
      <x:c r="M150" s="59"/>
      <x:c r="N150" s="59"/>
      <x:c r="O150" s="59"/>
    </x:row>
    <x:row r="151">
      <x:c r="A151" s="59"/>
      <x:c r="B151" s="59"/>
      <x:c r="C151" s="59"/>
      <x:c r="D151" s="59"/>
      <x:c r="E151" s="59"/>
      <x:c r="F151" s="59"/>
      <x:c r="G151" s="59"/>
      <x:c r="H151" s="59"/>
      <x:c r="I151" s="59"/>
      <x:c r="J151" s="59"/>
      <x:c r="K151" s="59"/>
      <x:c r="L151" s="59"/>
      <x:c r="M151" s="59"/>
      <x:c r="N151" s="59"/>
      <x:c r="O151" s="59"/>
    </x:row>
    <x:row r="152">
      <x:c r="A152" s="59"/>
      <x:c r="B152" s="59"/>
      <x:c r="C152" s="59"/>
      <x:c r="D152" s="59"/>
      <x:c r="E152" s="59"/>
      <x:c r="F152" s="59"/>
      <x:c r="G152" s="59"/>
      <x:c r="H152" s="59"/>
      <x:c r="I152" s="59"/>
      <x:c r="J152" s="59"/>
      <x:c r="K152" s="59"/>
      <x:c r="L152" s="59"/>
      <x:c r="M152" s="59"/>
      <x:c r="N152" s="59"/>
      <x:c r="O152" s="59"/>
    </x:row>
    <x:row r="153">
      <x:c r="A153" s="59"/>
      <x:c r="B153" s="59"/>
      <x:c r="C153" s="59"/>
      <x:c r="D153" s="59"/>
      <x:c r="E153" s="59"/>
      <x:c r="F153" s="59"/>
      <x:c r="G153" s="59"/>
      <x:c r="H153" s="59"/>
      <x:c r="I153" s="59"/>
      <x:c r="J153" s="59"/>
      <x:c r="K153" s="59"/>
      <x:c r="L153" s="59"/>
      <x:c r="M153" s="59"/>
      <x:c r="N153" s="59"/>
      <x:c r="O153" s="59"/>
    </x:row>
    <x:row r="154">
      <x:c r="A154" s="59"/>
      <x:c r="B154" s="59"/>
      <x:c r="C154" s="59"/>
      <x:c r="D154" s="59"/>
      <x:c r="E154" s="59"/>
      <x:c r="F154" s="59"/>
      <x:c r="G154" s="59"/>
      <x:c r="H154" s="59"/>
      <x:c r="I154" s="59"/>
      <x:c r="J154" s="59"/>
      <x:c r="K154" s="59"/>
      <x:c r="L154" s="59"/>
      <x:c r="M154" s="59"/>
      <x:c r="N154" s="59"/>
      <x:c r="O154" s="59"/>
    </x:row>
    <x:row r="155">
      <x:c r="A155" s="59"/>
      <x:c r="B155" s="59"/>
      <x:c r="C155" s="59"/>
      <x:c r="D155" s="59"/>
      <x:c r="E155" s="59"/>
      <x:c r="F155" s="59"/>
      <x:c r="G155" s="59"/>
      <x:c r="H155" s="59"/>
      <x:c r="I155" s="59"/>
      <x:c r="J155" s="59"/>
      <x:c r="K155" s="59"/>
      <x:c r="L155" s="59"/>
      <x:c r="M155" s="59"/>
      <x:c r="N155" s="59"/>
      <x:c r="O155" s="59"/>
    </x:row>
    <x:row r="156">
      <x:c r="A156" s="59"/>
      <x:c r="B156" s="59"/>
      <x:c r="C156" s="59"/>
      <x:c r="D156" s="59"/>
      <x:c r="E156" s="59"/>
      <x:c r="F156" s="59"/>
      <x:c r="G156" s="59"/>
      <x:c r="H156" s="59"/>
      <x:c r="I156" s="59"/>
      <x:c r="J156" s="59"/>
      <x:c r="K156" s="59"/>
      <x:c r="L156" s="59"/>
      <x:c r="M156" s="59"/>
      <x:c r="N156" s="59"/>
      <x:c r="O156" s="59"/>
    </x:row>
    <x:row r="157">
      <x:c r="A157" s="59"/>
      <x:c r="B157" s="59"/>
      <x:c r="C157" s="59"/>
      <x:c r="D157" s="59"/>
      <x:c r="E157" s="59"/>
      <x:c r="F157" s="59"/>
      <x:c r="G157" s="59"/>
      <x:c r="H157" s="59"/>
      <x:c r="I157" s="59"/>
      <x:c r="J157" s="59"/>
      <x:c r="K157" s="59"/>
      <x:c r="L157" s="59"/>
      <x:c r="M157" s="59"/>
      <x:c r="N157" s="59"/>
      <x:c r="O157" s="59"/>
    </x:row>
    <x:row r="158">
      <x:c r="A158" s="59"/>
      <x:c r="B158" s="59"/>
      <x:c r="C158" s="59"/>
      <x:c r="D158" s="59"/>
      <x:c r="E158" s="59"/>
      <x:c r="F158" s="59"/>
      <x:c r="G158" s="59"/>
      <x:c r="H158" s="59"/>
      <x:c r="I158" s="59"/>
      <x:c r="J158" s="59"/>
      <x:c r="K158" s="59"/>
      <x:c r="L158" s="59"/>
      <x:c r="M158" s="59"/>
      <x:c r="N158" s="59"/>
      <x:c r="O158" s="59"/>
    </x:row>
    <x:row r="159">
      <x:c r="A159" s="59"/>
      <x:c r="B159" s="59"/>
      <x:c r="C159" s="59"/>
      <x:c r="D159" s="59"/>
      <x:c r="E159" s="59"/>
      <x:c r="F159" s="59"/>
      <x:c r="G159" s="59"/>
      <x:c r="H159" s="59"/>
      <x:c r="I159" s="59"/>
      <x:c r="J159" s="59"/>
      <x:c r="K159" s="59"/>
      <x:c r="L159" s="59"/>
      <x:c r="M159" s="59"/>
      <x:c r="N159" s="59"/>
      <x:c r="O159" s="59"/>
    </x:row>
    <x:row r="160">
      <x:c r="A160" s="59"/>
      <x:c r="B160" s="59"/>
      <x:c r="C160" s="59"/>
      <x:c r="D160" s="59"/>
      <x:c r="E160" s="59"/>
      <x:c r="F160" s="59"/>
      <x:c r="G160" s="59"/>
      <x:c r="H160" s="59"/>
      <x:c r="I160" s="59"/>
      <x:c r="J160" s="59"/>
      <x:c r="K160" s="59"/>
      <x:c r="L160" s="59"/>
      <x:c r="M160" s="59"/>
      <x:c r="N160" s="59"/>
      <x:c r="O160" s="59"/>
    </x:row>
    <x:row r="161">
      <x:c r="A161" s="59"/>
      <x:c r="B161" s="59"/>
      <x:c r="C161" s="59"/>
      <x:c r="D161" s="59"/>
      <x:c r="E161" s="59"/>
      <x:c r="F161" s="59"/>
      <x:c r="G161" s="59"/>
      <x:c r="H161" s="59"/>
      <x:c r="I161" s="59"/>
      <x:c r="J161" s="59"/>
      <x:c r="K161" s="59"/>
      <x:c r="L161" s="59"/>
      <x:c r="M161" s="59"/>
      <x:c r="N161" s="59"/>
      <x:c r="O161" s="59"/>
    </x:row>
    <x:row r="162">
      <x:c r="A162" s="59"/>
      <x:c r="B162" s="59"/>
      <x:c r="C162" s="59"/>
      <x:c r="D162" s="59"/>
      <x:c r="E162" s="59"/>
      <x:c r="F162" s="59"/>
      <x:c r="G162" s="59"/>
      <x:c r="H162" s="59"/>
      <x:c r="I162" s="59"/>
      <x:c r="J162" s="59"/>
      <x:c r="K162" s="59"/>
      <x:c r="L162" s="59"/>
      <x:c r="M162" s="59"/>
      <x:c r="N162" s="59"/>
      <x:c r="O162" s="59"/>
    </x:row>
    <x:row r="163">
      <x:c r="A163" s="59"/>
      <x:c r="B163" s="59"/>
      <x:c r="C163" s="59"/>
      <x:c r="D163" s="59"/>
      <x:c r="E163" s="59"/>
      <x:c r="F163" s="59"/>
      <x:c r="G163" s="59"/>
      <x:c r="H163" s="59"/>
      <x:c r="I163" s="59"/>
      <x:c r="J163" s="59"/>
      <x:c r="K163" s="59"/>
      <x:c r="L163" s="59"/>
      <x:c r="M163" s="59"/>
      <x:c r="N163" s="59"/>
      <x:c r="O163" s="59"/>
    </x:row>
    <x:row r="164">
      <x:c r="A164" s="59"/>
      <x:c r="B164" s="59"/>
      <x:c r="C164" s="59"/>
      <x:c r="D164" s="59"/>
      <x:c r="E164" s="59"/>
      <x:c r="F164" s="59"/>
      <x:c r="G164" s="59"/>
      <x:c r="H164" s="59"/>
      <x:c r="I164" s="59"/>
      <x:c r="J164" s="59"/>
      <x:c r="K164" s="59"/>
      <x:c r="L164" s="59"/>
      <x:c r="M164" s="59"/>
      <x:c r="N164" s="59"/>
      <x:c r="O164" s="59"/>
    </x:row>
    <x:row r="165">
      <x:c r="A165" s="59"/>
      <x:c r="B165" s="59"/>
      <x:c r="C165" s="59"/>
      <x:c r="D165" s="59"/>
      <x:c r="E165" s="59"/>
      <x:c r="F165" s="59"/>
      <x:c r="G165" s="59"/>
      <x:c r="H165" s="59"/>
      <x:c r="I165" s="59"/>
      <x:c r="J165" s="59"/>
      <x:c r="K165" s="59"/>
      <x:c r="L165" s="59"/>
      <x:c r="M165" s="59"/>
      <x:c r="N165" s="59"/>
      <x:c r="O165" s="59"/>
    </x:row>
    <x:row r="166">
      <x:c r="A166" s="59"/>
      <x:c r="B166" s="59"/>
      <x:c r="C166" s="59"/>
      <x:c r="D166" s="59"/>
      <x:c r="E166" s="59"/>
      <x:c r="F166" s="59"/>
      <x:c r="G166" s="59"/>
      <x:c r="H166" s="59"/>
      <x:c r="I166" s="59"/>
      <x:c r="J166" s="59"/>
      <x:c r="K166" s="59"/>
      <x:c r="L166" s="59"/>
      <x:c r="M166" s="59"/>
      <x:c r="N166" s="59"/>
      <x:c r="O166" s="59"/>
    </x:row>
    <x:row r="167">
      <x:c r="A167" s="59"/>
      <x:c r="B167" s="59"/>
      <x:c r="C167" s="59"/>
      <x:c r="D167" s="59"/>
      <x:c r="E167" s="59"/>
      <x:c r="F167" s="59"/>
      <x:c r="G167" s="59"/>
      <x:c r="H167" s="59"/>
      <x:c r="I167" s="59"/>
      <x:c r="J167" s="59"/>
      <x:c r="K167" s="59"/>
      <x:c r="L167" s="59"/>
      <x:c r="M167" s="59"/>
      <x:c r="N167" s="59"/>
      <x:c r="O167" s="59"/>
    </x:row>
    <x:row r="168">
      <x:c r="A168" s="59"/>
      <x:c r="B168" s="59"/>
      <x:c r="C168" s="59"/>
      <x:c r="D168" s="59"/>
      <x:c r="E168" s="59"/>
      <x:c r="F168" s="59"/>
      <x:c r="G168" s="59"/>
      <x:c r="H168" s="59"/>
      <x:c r="I168" s="59"/>
      <x:c r="J168" s="59"/>
      <x:c r="K168" s="59"/>
      <x:c r="L168" s="59"/>
      <x:c r="M168" s="59"/>
      <x:c r="N168" s="59"/>
      <x:c r="O168" s="59"/>
    </x:row>
    <x:row r="169">
      <x:c r="A169" s="59"/>
      <x:c r="B169" s="59"/>
      <x:c r="C169" s="59"/>
      <x:c r="D169" s="59"/>
      <x:c r="E169" s="59"/>
      <x:c r="F169" s="59"/>
      <x:c r="G169" s="59"/>
      <x:c r="H169" s="59"/>
      <x:c r="I169" s="59"/>
      <x:c r="J169" s="59"/>
      <x:c r="K169" s="59"/>
      <x:c r="L169" s="59"/>
      <x:c r="M169" s="59"/>
      <x:c r="N169" s="59"/>
      <x:c r="O169" s="59"/>
    </x:row>
    <x:row r="170">
      <x:c r="A170" s="59"/>
      <x:c r="B170" s="59"/>
      <x:c r="C170" s="59"/>
      <x:c r="D170" s="59"/>
      <x:c r="E170" s="59"/>
      <x:c r="F170" s="59"/>
      <x:c r="G170" s="59"/>
      <x:c r="H170" s="59"/>
      <x:c r="I170" s="59"/>
      <x:c r="J170" s="59"/>
      <x:c r="K170" s="59"/>
      <x:c r="L170" s="59"/>
      <x:c r="M170" s="59"/>
      <x:c r="N170" s="59"/>
      <x:c r="O170" s="59"/>
    </x:row>
    <x:row r="171">
      <x:c r="A171" s="59"/>
      <x:c r="B171" s="59"/>
      <x:c r="C171" s="59"/>
      <x:c r="D171" s="59"/>
      <x:c r="E171" s="59"/>
      <x:c r="F171" s="59"/>
      <x:c r="G171" s="59"/>
      <x:c r="H171" s="59"/>
      <x:c r="I171" s="59"/>
      <x:c r="J171" s="59"/>
      <x:c r="K171" s="59"/>
      <x:c r="L171" s="59"/>
      <x:c r="M171" s="59"/>
      <x:c r="N171" s="59"/>
      <x:c r="O171" s="59"/>
    </x:row>
    <x:row r="172">
      <x:c r="A172" s="59"/>
      <x:c r="B172" s="59"/>
      <x:c r="C172" s="59"/>
      <x:c r="D172" s="59"/>
      <x:c r="E172" s="59"/>
      <x:c r="F172" s="59"/>
      <x:c r="G172" s="59"/>
      <x:c r="H172" s="59"/>
      <x:c r="I172" s="59"/>
      <x:c r="J172" s="59"/>
      <x:c r="K172" s="59"/>
      <x:c r="L172" s="59"/>
      <x:c r="M172" s="59"/>
      <x:c r="N172" s="59"/>
      <x:c r="O172" s="59"/>
    </x:row>
    <x:row r="173">
      <x:c r="A173" s="59"/>
      <x:c r="B173" s="59"/>
      <x:c r="C173" s="59"/>
      <x:c r="D173" s="59"/>
      <x:c r="E173" s="59"/>
      <x:c r="F173" s="59"/>
      <x:c r="G173" s="59"/>
      <x:c r="H173" s="59"/>
      <x:c r="I173" s="59"/>
      <x:c r="J173" s="59"/>
      <x:c r="K173" s="59"/>
      <x:c r="L173" s="59"/>
      <x:c r="M173" s="59"/>
      <x:c r="N173" s="59"/>
      <x:c r="O173" s="59"/>
    </x:row>
    <x:row r="174">
      <x:c r="A174" s="59"/>
      <x:c r="B174" s="59"/>
      <x:c r="C174" s="59"/>
      <x:c r="D174" s="59"/>
      <x:c r="E174" s="59"/>
      <x:c r="F174" s="59"/>
      <x:c r="G174" s="59"/>
      <x:c r="H174" s="59"/>
      <x:c r="I174" s="59"/>
      <x:c r="J174" s="59"/>
      <x:c r="K174" s="59"/>
      <x:c r="L174" s="59"/>
      <x:c r="M174" s="59"/>
      <x:c r="N174" s="59"/>
      <x:c r="O174" s="59"/>
    </x:row>
    <x:row r="175">
      <x:c r="A175" s="59"/>
      <x:c r="B175" s="59"/>
      <x:c r="C175" s="59"/>
      <x:c r="D175" s="59"/>
      <x:c r="E175" s="59"/>
      <x:c r="F175" s="59"/>
      <x:c r="G175" s="59"/>
      <x:c r="H175" s="59"/>
      <x:c r="I175" s="59"/>
      <x:c r="J175" s="59"/>
      <x:c r="K175" s="59"/>
      <x:c r="L175" s="59"/>
      <x:c r="M175" s="59"/>
      <x:c r="N175" s="59"/>
      <x:c r="O175" s="59"/>
    </x:row>
    <x:row r="176">
      <x:c r="A176" s="59"/>
      <x:c r="B176" s="59"/>
      <x:c r="C176" s="59"/>
      <x:c r="D176" s="59"/>
      <x:c r="E176" s="59"/>
      <x:c r="F176" s="59"/>
      <x:c r="G176" s="59"/>
      <x:c r="H176" s="59"/>
      <x:c r="I176" s="59"/>
      <x:c r="J176" s="59"/>
      <x:c r="K176" s="59"/>
      <x:c r="L176" s="59"/>
      <x:c r="M176" s="59"/>
      <x:c r="N176" s="59"/>
      <x:c r="O176" s="59"/>
    </x:row>
    <x:row r="177">
      <x:c r="A177" s="59"/>
      <x:c r="B177" s="59"/>
      <x:c r="C177" s="59"/>
      <x:c r="D177" s="59"/>
      <x:c r="E177" s="59"/>
      <x:c r="F177" s="59"/>
      <x:c r="G177" s="59"/>
      <x:c r="H177" s="59"/>
      <x:c r="I177" s="59"/>
      <x:c r="J177" s="59"/>
      <x:c r="K177" s="59"/>
      <x:c r="L177" s="59"/>
      <x:c r="M177" s="59"/>
      <x:c r="N177" s="59"/>
      <x:c r="O177" s="59"/>
    </x:row>
    <x:row r="178">
      <x:c r="A178" s="59"/>
      <x:c r="B178" s="59"/>
      <x:c r="C178" s="59"/>
      <x:c r="D178" s="59"/>
      <x:c r="E178" s="59"/>
      <x:c r="F178" s="59"/>
      <x:c r="G178" s="59"/>
      <x:c r="H178" s="59"/>
      <x:c r="I178" s="59"/>
      <x:c r="J178" s="59"/>
      <x:c r="K178" s="59"/>
      <x:c r="L178" s="59"/>
      <x:c r="M178" s="59"/>
      <x:c r="N178" s="59"/>
      <x:c r="O178" s="59"/>
    </x:row>
    <x:row r="179">
      <x:c r="A179" s="59"/>
      <x:c r="B179" s="59"/>
      <x:c r="C179" s="59"/>
      <x:c r="D179" s="59"/>
      <x:c r="E179" s="59"/>
      <x:c r="F179" s="59"/>
      <x:c r="G179" s="59"/>
      <x:c r="H179" s="59"/>
      <x:c r="I179" s="59"/>
      <x:c r="J179" s="59"/>
      <x:c r="K179" s="59"/>
      <x:c r="L179" s="59"/>
      <x:c r="M179" s="59"/>
      <x:c r="N179" s="59"/>
      <x:c r="O179" s="59"/>
    </x:row>
    <x:row r="180">
      <x:c r="A180" s="59"/>
      <x:c r="B180" s="59"/>
      <x:c r="C180" s="59"/>
      <x:c r="D180" s="59"/>
      <x:c r="E180" s="59"/>
      <x:c r="F180" s="59"/>
      <x:c r="G180" s="59"/>
      <x:c r="H180" s="59"/>
      <x:c r="I180" s="59"/>
      <x:c r="J180" s="59"/>
      <x:c r="K180" s="59"/>
      <x:c r="L180" s="59"/>
      <x:c r="M180" s="59"/>
      <x:c r="N180" s="59"/>
      <x:c r="O180" s="59"/>
    </x:row>
    <x:row r="181">
      <x:c r="A181" s="59"/>
      <x:c r="B181" s="59"/>
      <x:c r="C181" s="59"/>
      <x:c r="D181" s="59"/>
      <x:c r="E181" s="59"/>
      <x:c r="F181" s="59"/>
      <x:c r="G181" s="59"/>
      <x:c r="H181" s="59"/>
      <x:c r="I181" s="59"/>
      <x:c r="J181" s="59"/>
      <x:c r="K181" s="59"/>
      <x:c r="L181" s="59"/>
      <x:c r="M181" s="59"/>
      <x:c r="N181" s="59"/>
      <x:c r="O181" s="59"/>
    </x:row>
    <x:row r="182">
      <x:c r="A182" s="59"/>
      <x:c r="B182" s="59"/>
      <x:c r="C182" s="59"/>
      <x:c r="D182" s="59"/>
      <x:c r="E182" s="59"/>
      <x:c r="F182" s="59"/>
      <x:c r="G182" s="59"/>
      <x:c r="H182" s="59"/>
      <x:c r="I182" s="59"/>
      <x:c r="J182" s="59"/>
      <x:c r="K182" s="59"/>
      <x:c r="L182" s="59"/>
      <x:c r="M182" s="59"/>
      <x:c r="N182" s="59"/>
      <x:c r="O182" s="59"/>
    </x:row>
    <x:row r="183">
      <x:c r="A183" s="59"/>
      <x:c r="B183" s="59"/>
      <x:c r="C183" s="59"/>
      <x:c r="D183" s="59"/>
      <x:c r="E183" s="59"/>
      <x:c r="F183" s="59"/>
      <x:c r="G183" s="59"/>
      <x:c r="H183" s="59"/>
      <x:c r="I183" s="59"/>
      <x:c r="J183" s="59"/>
      <x:c r="K183" s="59"/>
      <x:c r="L183" s="59"/>
      <x:c r="M183" s="59"/>
      <x:c r="N183" s="59"/>
      <x:c r="O183" s="59"/>
    </x:row>
    <x:row r="184">
      <x:c r="A184" s="59"/>
      <x:c r="B184" s="59"/>
      <x:c r="C184" s="59"/>
      <x:c r="D184" s="59"/>
      <x:c r="E184" s="59"/>
      <x:c r="F184" s="59"/>
      <x:c r="G184" s="59"/>
      <x:c r="H184" s="59"/>
      <x:c r="I184" s="59"/>
      <x:c r="J184" s="59"/>
      <x:c r="K184" s="59"/>
      <x:c r="L184" s="59"/>
      <x:c r="M184" s="59"/>
      <x:c r="N184" s="59"/>
      <x:c r="O184" s="59"/>
    </x:row>
    <x:row r="185">
      <x:c r="A185" s="59"/>
      <x:c r="B185" s="59"/>
      <x:c r="C185" s="59"/>
      <x:c r="D185" s="59"/>
      <x:c r="E185" s="59"/>
      <x:c r="F185" s="59"/>
      <x:c r="G185" s="59"/>
      <x:c r="H185" s="59"/>
      <x:c r="I185" s="59"/>
      <x:c r="J185" s="59"/>
      <x:c r="K185" s="59"/>
      <x:c r="L185" s="59"/>
      <x:c r="M185" s="59"/>
      <x:c r="N185" s="59"/>
      <x:c r="O185" s="59"/>
    </x:row>
    <x:row r="186">
      <x:c r="A186" s="59"/>
      <x:c r="B186" s="59"/>
      <x:c r="C186" s="59"/>
      <x:c r="D186" s="59"/>
      <x:c r="E186" s="59"/>
      <x:c r="F186" s="59"/>
      <x:c r="G186" s="59"/>
      <x:c r="H186" s="59"/>
      <x:c r="I186" s="59"/>
      <x:c r="J186" s="59"/>
      <x:c r="K186" s="59"/>
      <x:c r="L186" s="59"/>
      <x:c r="M186" s="59"/>
      <x:c r="N186" s="59"/>
      <x:c r="O186" s="59"/>
    </x:row>
    <x:row r="187">
      <x:c r="A187" s="59"/>
      <x:c r="B187" s="59"/>
      <x:c r="C187" s="59"/>
      <x:c r="D187" s="59"/>
      <x:c r="E187" s="59"/>
      <x:c r="F187" s="59"/>
      <x:c r="G187" s="59"/>
      <x:c r="H187" s="59"/>
      <x:c r="I187" s="59"/>
      <x:c r="J187" s="59"/>
      <x:c r="K187" s="59"/>
      <x:c r="L187" s="59"/>
      <x:c r="M187" s="59"/>
      <x:c r="N187" s="59"/>
      <x:c r="O187" s="59"/>
    </x:row>
    <x:row r="188">
      <x:c r="A188" s="59"/>
      <x:c r="B188" s="59"/>
      <x:c r="C188" s="59"/>
      <x:c r="D188" s="59"/>
      <x:c r="E188" s="59"/>
      <x:c r="F188" s="59"/>
      <x:c r="G188" s="59"/>
      <x:c r="H188" s="59"/>
      <x:c r="I188" s="59"/>
      <x:c r="J188" s="59"/>
      <x:c r="K188" s="59"/>
      <x:c r="L188" s="59"/>
      <x:c r="M188" s="59"/>
      <x:c r="N188" s="59"/>
      <x:c r="O188" s="59"/>
    </x:row>
    <x:row r="189">
      <x:c r="A189" s="59"/>
      <x:c r="B189" s="59"/>
      <x:c r="C189" s="59"/>
      <x:c r="D189" s="59"/>
      <x:c r="E189" s="59"/>
      <x:c r="F189" s="59"/>
      <x:c r="G189" s="59"/>
      <x:c r="H189" s="59"/>
      <x:c r="I189" s="59"/>
      <x:c r="J189" s="59"/>
      <x:c r="K189" s="59"/>
      <x:c r="L189" s="59"/>
      <x:c r="M189" s="59"/>
      <x:c r="N189" s="59"/>
      <x:c r="O189" s="59"/>
    </x:row>
    <x:row r="190">
      <x:c r="A190" s="59"/>
      <x:c r="B190" s="59"/>
      <x:c r="C190" s="59"/>
      <x:c r="D190" s="59"/>
      <x:c r="E190" s="59"/>
      <x:c r="F190" s="59"/>
      <x:c r="G190" s="59"/>
      <x:c r="H190" s="59"/>
      <x:c r="I190" s="59"/>
      <x:c r="J190" s="59"/>
      <x:c r="K190" s="59"/>
      <x:c r="L190" s="59"/>
      <x:c r="M190" s="59"/>
      <x:c r="N190" s="59"/>
      <x:c r="O190" s="59"/>
    </x:row>
    <x:row r="191">
      <x:c r="A191" s="59"/>
      <x:c r="B191" s="59"/>
      <x:c r="C191" s="59"/>
      <x:c r="D191" s="59"/>
      <x:c r="E191" s="59"/>
      <x:c r="F191" s="59"/>
      <x:c r="G191" s="59"/>
      <x:c r="H191" s="59"/>
      <x:c r="I191" s="59"/>
      <x:c r="J191" s="59"/>
      <x:c r="K191" s="59"/>
      <x:c r="L191" s="59"/>
      <x:c r="M191" s="59"/>
      <x:c r="N191" s="59"/>
      <x:c r="O191" s="59"/>
    </x:row>
    <x:row r="192">
      <x:c r="A192" s="59"/>
      <x:c r="B192" s="59"/>
      <x:c r="C192" s="59"/>
      <x:c r="D192" s="59"/>
      <x:c r="E192" s="59"/>
      <x:c r="F192" s="59"/>
      <x:c r="G192" s="59"/>
      <x:c r="H192" s="59"/>
      <x:c r="I192" s="59"/>
      <x:c r="J192" s="59"/>
      <x:c r="K192" s="59"/>
      <x:c r="L192" s="59"/>
      <x:c r="M192" s="59"/>
      <x:c r="N192" s="59"/>
      <x:c r="O192" s="59"/>
    </x:row>
    <x:row r="193">
      <x:c r="A193" s="59"/>
      <x:c r="B193" s="59"/>
      <x:c r="C193" s="59"/>
      <x:c r="D193" s="59"/>
      <x:c r="E193" s="59"/>
      <x:c r="F193" s="59"/>
      <x:c r="G193" s="59"/>
      <x:c r="H193" s="59"/>
      <x:c r="I193" s="59"/>
      <x:c r="J193" s="59"/>
      <x:c r="K193" s="59"/>
      <x:c r="L193" s="59"/>
      <x:c r="M193" s="59"/>
      <x:c r="N193" s="59"/>
      <x:c r="O193" s="59"/>
    </x:row>
    <x:row r="194">
      <x:c r="A194" s="59"/>
      <x:c r="B194" s="59"/>
      <x:c r="C194" s="59"/>
      <x:c r="D194" s="59"/>
      <x:c r="E194" s="59"/>
      <x:c r="F194" s="59"/>
      <x:c r="G194" s="59"/>
      <x:c r="H194" s="59"/>
      <x:c r="I194" s="59"/>
      <x:c r="J194" s="59"/>
      <x:c r="K194" s="59"/>
      <x:c r="L194" s="59"/>
      <x:c r="M194" s="59"/>
      <x:c r="N194" s="59"/>
      <x:c r="O194" s="59"/>
    </x:row>
    <x:row r="195">
      <x:c r="A195" s="59"/>
      <x:c r="B195" s="59"/>
      <x:c r="C195" s="59"/>
      <x:c r="D195" s="59"/>
      <x:c r="E195" s="59"/>
      <x:c r="F195" s="59"/>
      <x:c r="G195" s="59"/>
      <x:c r="H195" s="59"/>
      <x:c r="I195" s="59"/>
      <x:c r="J195" s="59"/>
      <x:c r="K195" s="59"/>
      <x:c r="L195" s="59"/>
      <x:c r="M195" s="59"/>
      <x:c r="N195" s="59"/>
      <x:c r="O195" s="59"/>
    </x:row>
    <x:row r="196">
      <x:c r="A196" s="59"/>
      <x:c r="B196" s="59"/>
      <x:c r="C196" s="59"/>
      <x:c r="D196" s="59"/>
      <x:c r="E196" s="59"/>
      <x:c r="F196" s="59"/>
      <x:c r="G196" s="59"/>
      <x:c r="H196" s="59"/>
      <x:c r="I196" s="59"/>
      <x:c r="J196" s="59"/>
      <x:c r="K196" s="59"/>
      <x:c r="L196" s="59"/>
      <x:c r="M196" s="59"/>
      <x:c r="N196" s="59"/>
      <x:c r="O196" s="59"/>
    </x:row>
    <x:row r="197">
      <x:c r="A197" s="59"/>
      <x:c r="B197" s="59"/>
      <x:c r="C197" s="59"/>
      <x:c r="D197" s="59"/>
      <x:c r="E197" s="59"/>
      <x:c r="F197" s="59"/>
      <x:c r="G197" s="59"/>
      <x:c r="H197" s="59"/>
      <x:c r="I197" s="59"/>
      <x:c r="J197" s="59"/>
      <x:c r="K197" s="59"/>
      <x:c r="L197" s="59"/>
      <x:c r="M197" s="59"/>
      <x:c r="N197" s="59"/>
      <x:c r="O197" s="59"/>
    </x:row>
    <x:row r="198">
      <x:c r="A198" s="59"/>
      <x:c r="B198" s="59"/>
      <x:c r="C198" s="59"/>
      <x:c r="D198" s="59"/>
      <x:c r="E198" s="59"/>
      <x:c r="F198" s="59"/>
      <x:c r="G198" s="59"/>
      <x:c r="H198" s="59"/>
      <x:c r="I198" s="59"/>
      <x:c r="J198" s="59"/>
      <x:c r="K198" s="59"/>
      <x:c r="L198" s="59"/>
      <x:c r="M198" s="59"/>
      <x:c r="N198" s="59"/>
      <x:c r="O198" s="59"/>
    </x:row>
    <x:row r="199">
      <x:c r="A199" s="59"/>
      <x:c r="B199" s="59"/>
      <x:c r="C199" s="59"/>
      <x:c r="D199" s="59"/>
      <x:c r="E199" s="59"/>
      <x:c r="F199" s="59"/>
      <x:c r="G199" s="59"/>
      <x:c r="H199" s="59"/>
      <x:c r="I199" s="59"/>
      <x:c r="J199" s="59"/>
      <x:c r="K199" s="59"/>
      <x:c r="L199" s="59"/>
      <x:c r="M199" s="59"/>
      <x:c r="N199" s="59"/>
      <x:c r="O199" s="59"/>
    </x:row>
    <x:row r="200">
      <x:c r="A200" s="59"/>
      <x:c r="B200" s="59"/>
      <x:c r="C200" s="59"/>
      <x:c r="D200" s="59"/>
      <x:c r="E200" s="59"/>
      <x:c r="F200" s="59"/>
      <x:c r="G200" s="59"/>
      <x:c r="H200" s="59"/>
      <x:c r="I200" s="59"/>
      <x:c r="J200" s="59"/>
      <x:c r="K200" s="59"/>
      <x:c r="L200" s="59"/>
      <x:c r="M200" s="59"/>
      <x:c r="N200" s="59"/>
      <x:c r="O200" s="59"/>
    </x:row>
  </x:sheetData>
  <x:mergeCells>
    <x:mergeCell ref="A1:J1"/>
    <x:mergeCell ref="A2:J2"/>
    <x:mergeCell ref="A3:J3"/>
    <x:mergeCell ref="A5:J7"/>
    <x:mergeCell ref="A9:J9"/>
    <x:mergeCell ref="A18:J18"/>
    <x:mergeCell ref="A26:J28"/>
  </x:mergeCells>
  <x:pageMargins left="0.7" right="0.7" top="0.75" bottom="0.75" header="0.3" footer="0.3"/>
</x:worksheet>
</file>

<file path=xl/worksheets/sheet2.xml><?xml version="1.0" encoding="utf-8"?>
<x:worksheet xmlns:x="http://schemas.openxmlformats.org/spreadsheetml/2006/main">
  <x:sheetFormatPr defaultRowHeight="15"/>
  <x:cols>
    <x:col min="1" max="1" width="29" hidden="0" customWidth="1"/>
    <x:col min="2" max="2" width="18" hidden="0" customWidth="1"/>
    <x:col min="3" max="3" width="56"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2" hidden="0" customWidth="1"/>
  </x:cols>
  <x:sheetData>
    <x:row r="1" ht="34" customHeight="1">
      <x:c r="A1" s="56" t="str">
        <x:v>Executive OT Monitoring Dashboard</x:v>
      </x:c>
      <x:c r="B1" s="56"/>
      <x:c r="C1" s="56"/>
      <x:c r="D1" s="56"/>
      <x:c r="E1" s="56"/>
      <x:c r="F1" s="56"/>
      <x:c r="G1" s="56"/>
      <x:c r="H1" s="56"/>
      <x:c r="I1" s="56"/>
      <x:c r="J1" s="56"/>
      <x:c r="K1" s="56"/>
      <x:c r="L1" s="56"/>
      <x:c r="M1" s="56"/>
      <x:c r="N1" s="56"/>
      <x:c r="O1" s="59"/>
    </x:row>
    <x:row r="2" ht="20" customHeight="1">
      <x:c r="A2" s="57" t="str">
        <x:v>Author: Yuval Sinay | Version 1.0 | 02.08.2026</x:v>
      </x:c>
      <x:c r="B2" s="57"/>
      <x:c r="C2" s="57"/>
      <x:c r="D2" s="57"/>
      <x:c r="E2" s="57"/>
      <x:c r="F2" s="57"/>
      <x:c r="G2" s="57"/>
      <x:c r="H2" s="57"/>
      <x:c r="I2" s="57"/>
      <x:c r="J2" s="57"/>
      <x:c r="K2" s="57"/>
      <x:c r="L2" s="57"/>
      <x:c r="M2" s="57"/>
      <x:c r="N2" s="57"/>
      <x:c r="O2" s="59"/>
    </x:row>
    <x:row r="3" ht="28" customHeight="1">
      <x:c r="A3" s="58" t="str">
        <x:v>Illustrative management dashboard linked to the latest row and 30-day data in the Daily Monitoring sheet.</x:v>
      </x:c>
      <x:c r="B3" s="58"/>
      <x:c r="C3" s="58"/>
      <x:c r="D3" s="58"/>
      <x:c r="E3" s="58"/>
      <x:c r="F3" s="58"/>
      <x:c r="G3" s="58"/>
      <x:c r="H3" s="58"/>
      <x:c r="I3" s="58"/>
      <x:c r="J3" s="58"/>
      <x:c r="K3" s="58"/>
      <x:c r="L3" s="58"/>
      <x:c r="M3" s="58"/>
      <x:c r="N3" s="58"/>
      <x:c r="O3" s="59"/>
    </x:row>
    <x:row r="4">
      <x:c r="A4" s="59"/>
      <x:c r="B4" s="59"/>
      <x:c r="C4" s="59"/>
      <x:c r="D4" s="59"/>
      <x:c r="E4" s="59"/>
      <x:c r="F4" s="59"/>
      <x:c r="G4" s="59"/>
      <x:c r="H4" s="59"/>
      <x:c r="I4" s="59"/>
      <x:c r="J4" s="59"/>
      <x:c r="K4" s="59"/>
      <x:c r="L4" s="59"/>
      <x:c r="M4" s="59"/>
      <x:c r="N4" s="59"/>
      <x:c r="O4" s="59"/>
    </x:row>
    <x:row r="5">
      <x:c r="A5" s="128" t="str">
        <x:v>Network Availability</x:v>
      </x:c>
      <x:c r="B5" s="128"/>
      <x:c r="C5" s="128"/>
      <x:c r="D5" s="128" t="str">
        <x:v>Packet Loss</x:v>
      </x:c>
      <x:c r="E5" s="128"/>
      <x:c r="F5" s="128"/>
      <x:c r="G5" s="128" t="str">
        <x:v>Log Source Health</x:v>
      </x:c>
      <x:c r="H5" s="128"/>
      <x:c r="I5" s="128"/>
      <x:c r="J5" s="128" t="str">
        <x:v>Daily Risk Score</x:v>
      </x:c>
      <x:c r="K5" s="128"/>
      <x:c r="L5" s="128"/>
      <x:c r="M5" s="129" t="str">
        <x:v>Latest Status</x:v>
      </x:c>
      <x:c r="N5" s="129"/>
      <x:c r="O5" s="59" t="str">
        <x:v>Chart Date</x:v>
      </x:c>
    </x:row>
    <x:row r="6">
      <x:c r="A6" s="130" t="n">
        <x:f>'Daily Monitoring'!B35/100</x:f>
        <x:v>0.9998699999999999</x:v>
      </x:c>
      <x:c r="B6" s="131"/>
      <x:c r="C6" s="131"/>
      <x:c r="D6" s="130" t="n">
        <x:f>'Daily Monitoring'!C35/100</x:f>
        <x:v>0.00042</x:v>
      </x:c>
      <x:c r="E6" s="131"/>
      <x:c r="F6" s="131"/>
      <x:c r="G6" s="130" t="n">
        <x:f>'Daily Monitoring'!J35/100</x:f>
        <x:v>0.9876</x:v>
      </x:c>
      <x:c r="H6" s="131"/>
      <x:c r="I6" s="131"/>
      <x:c r="J6" s="132" t="n">
        <x:f>'Daily Monitoring'!L35</x:f>
        <x:v>6.368000000000011</x:v>
      </x:c>
      <x:c r="K6" s="131"/>
      <x:c r="L6" s="131"/>
      <x:c r="M6" s="133" t="str">
        <x:f>'Daily Monitoring'!M35</x:f>
        <x:v>Normal</x:v>
      </x:c>
      <x:c r="N6" s="133"/>
      <x:c r="O6" s="59" t="str">
        <x:v>04-Jul</x:v>
      </x:c>
    </x:row>
    <x:row r="7">
      <x:c r="A7" s="131"/>
      <x:c r="B7" s="131"/>
      <x:c r="C7" s="131"/>
      <x:c r="D7" s="131"/>
      <x:c r="E7" s="131"/>
      <x:c r="F7" s="131"/>
      <x:c r="G7" s="131"/>
      <x:c r="H7" s="131"/>
      <x:c r="I7" s="131"/>
      <x:c r="J7" s="131"/>
      <x:c r="K7" s="131"/>
      <x:c r="L7" s="131"/>
      <x:c r="M7" s="133"/>
      <x:c r="N7" s="133"/>
      <x:c r="O7" s="59" t="str">
        <x:v>05-Jul</x:v>
      </x:c>
    </x:row>
    <x:row r="8">
      <x:c r="A8" s="131"/>
      <x:c r="B8" s="131"/>
      <x:c r="C8" s="131"/>
      <x:c r="D8" s="131"/>
      <x:c r="E8" s="131"/>
      <x:c r="F8" s="131"/>
      <x:c r="G8" s="131"/>
      <x:c r="H8" s="131"/>
      <x:c r="I8" s="131"/>
      <x:c r="J8" s="131"/>
      <x:c r="K8" s="131"/>
      <x:c r="L8" s="131"/>
      <x:c r="M8" s="133"/>
      <x:c r="N8" s="133"/>
      <x:c r="O8" s="59" t="str">
        <x:v>06-Jul</x:v>
      </x:c>
    </x:row>
    <x:row r="9">
      <x:c r="A9" s="59"/>
      <x:c r="B9" s="59"/>
      <x:c r="C9" s="59"/>
      <x:c r="D9" s="59"/>
      <x:c r="E9" s="59"/>
      <x:c r="F9" s="59"/>
      <x:c r="G9" s="59"/>
      <x:c r="H9" s="59"/>
      <x:c r="I9" s="59"/>
      <x:c r="J9" s="59"/>
      <x:c r="K9" s="59"/>
      <x:c r="L9" s="59"/>
      <x:c r="M9" s="59"/>
      <x:c r="N9" s="59"/>
      <x:c r="O9" s="59" t="str">
        <x:v>07-Jul</x:v>
      </x:c>
    </x:row>
    <x:row r="10" ht="24" customHeight="1">
      <x:c r="A10" s="61" t="str">
        <x:v>30-Day Summary</x:v>
      </x:c>
      <x:c r="B10" s="61"/>
      <x:c r="C10" s="61"/>
      <x:c r="D10" s="61"/>
      <x:c r="E10" s="61"/>
      <x:c r="F10" s="61"/>
      <x:c r="G10" s="61"/>
      <x:c r="H10" s="61"/>
      <x:c r="I10" s="61"/>
      <x:c r="J10" s="61"/>
      <x:c r="K10" s="61"/>
      <x:c r="L10" s="61"/>
      <x:c r="M10" s="61"/>
      <x:c r="N10" s="61"/>
      <x:c r="O10" s="59" t="str">
        <x:v>08-Jul</x:v>
      </x:c>
    </x:row>
    <x:row r="11" ht="32" customHeight="1">
      <x:c r="A11" s="62" t="str">
        <x:v>Measure</x:v>
      </x:c>
      <x:c r="B11" s="62" t="str">
        <x:v>Formula / Result</x:v>
      </x:c>
      <x:c r="C11" s="62" t="str">
        <x:v>Management Interpretation</x:v>
      </x:c>
      <x:c r="D11" s="59"/>
      <x:c r="E11" s="59"/>
      <x:c r="F11" s="59"/>
      <x:c r="G11" s="59"/>
      <x:c r="H11" s="59"/>
      <x:c r="I11" s="59"/>
      <x:c r="J11" s="59"/>
      <x:c r="K11" s="59"/>
      <x:c r="L11" s="59"/>
      <x:c r="M11" s="59"/>
      <x:c r="N11" s="59"/>
      <x:c r="O11" s="59" t="str">
        <x:v>09-Jul</x:v>
      </x:c>
    </x:row>
    <x:row r="12" ht="38" customHeight="1">
      <x:c r="A12" s="83" t="str">
        <x:v>Average Availability</x:v>
      </x:c>
      <x:c r="B12" s="152" t="n">
        <x:f>AVERAGE('Daily Monitoring'!B6:B35)/100</x:f>
        <x:v>0.9990806666666665</x:v>
      </x:c>
      <x:c r="C12" s="83" t="str">
        <x:v>Availability below the site target requires root-cause analysis and resilience review.</x:v>
      </x:c>
      <x:c r="D12" s="59"/>
      <x:c r="E12" s="59"/>
      <x:c r="F12" s="59"/>
      <x:c r="G12" s="59"/>
      <x:c r="H12" s="59"/>
      <x:c r="I12" s="59"/>
      <x:c r="J12" s="59"/>
      <x:c r="K12" s="59"/>
      <x:c r="L12" s="59"/>
      <x:c r="M12" s="59"/>
      <x:c r="N12" s="59"/>
      <x:c r="O12" s="59" t="str">
        <x:v>10-Jul</x:v>
      </x:c>
    </x:row>
    <x:row r="13" ht="38" customHeight="1">
      <x:c r="A13" s="83" t="str">
        <x:v>Maximum Packet Loss</x:v>
      </x:c>
      <x:c r="B13" s="152" t="n">
        <x:f>MAX('Daily Monitoring'!C6:C35)/100</x:f>
        <x:v>0.0072</x:v>
      </x:c>
      <x:c r="C13" s="83" t="str">
        <x:v>Peak loss is useful for identifying intermittent network or physical-layer issues.</x:v>
      </x:c>
      <x:c r="D13" s="59"/>
      <x:c r="E13" s="59"/>
      <x:c r="F13" s="59"/>
      <x:c r="G13" s="59"/>
      <x:c r="H13" s="59"/>
      <x:c r="I13" s="59"/>
      <x:c r="J13" s="59"/>
      <x:c r="K13" s="59"/>
      <x:c r="L13" s="59"/>
      <x:c r="M13" s="59"/>
      <x:c r="N13" s="59"/>
      <x:c r="O13" s="59" t="str">
        <x:v>11-Jul</x:v>
      </x:c>
    </x:row>
    <x:row r="14" ht="38" customHeight="1">
      <x:c r="A14" s="83" t="str">
        <x:v>Unknown Asset Events</x:v>
      </x:c>
      <x:c r="B14" s="154" t="n">
        <x:f>SUM('Daily Monitoring'!E6:E35)</x:f>
        <x:v>2</x:v>
      </x:c>
      <x:c r="C14" s="83" t="str">
        <x:v>Every unknown OT asset should be validated against inventory and maintenance activity.</x:v>
      </x:c>
      <x:c r="D14" s="59"/>
      <x:c r="E14" s="59"/>
      <x:c r="F14" s="59"/>
      <x:c r="G14" s="59"/>
      <x:c r="H14" s="59"/>
      <x:c r="I14" s="59"/>
      <x:c r="J14" s="59"/>
      <x:c r="K14" s="59"/>
      <x:c r="L14" s="59"/>
      <x:c r="M14" s="59"/>
      <x:c r="N14" s="59"/>
      <x:c r="O14" s="59" t="str">
        <x:v>12-Jul</x:v>
      </x:c>
    </x:row>
    <x:row r="15" ht="38" customHeight="1">
      <x:c r="A15" s="83" t="str">
        <x:v>Unauthorized Write Commands</x:v>
      </x:c>
      <x:c r="B15" s="154" t="n">
        <x:f>SUM('Daily Monitoring'!F6:F35)</x:f>
        <x:v>1</x:v>
      </x:c>
      <x:c r="C15" s="83" t="str">
        <x:v>Any unapproved control write is a priority investigation.</x:v>
      </x:c>
      <x:c r="D15" s="59"/>
      <x:c r="E15" s="59"/>
      <x:c r="F15" s="59"/>
      <x:c r="G15" s="59"/>
      <x:c r="H15" s="59"/>
      <x:c r="I15" s="59"/>
      <x:c r="J15" s="59"/>
      <x:c r="K15" s="59"/>
      <x:c r="L15" s="59"/>
      <x:c r="M15" s="59"/>
      <x:c r="N15" s="59"/>
      <x:c r="O15" s="59" t="str">
        <x:v>13-Jul</x:v>
      </x:c>
    </x:row>
    <x:row r="16" ht="38" customHeight="1">
      <x:c r="A16" s="83" t="str">
        <x:v>Segmentation Violations</x:v>
      </x:c>
      <x:c r="B16" s="154" t="n">
        <x:f>SUM('Daily Monitoring'!H6:H35)</x:f>
        <x:v>5</x:v>
      </x:c>
      <x:c r="C16" s="83" t="str">
        <x:v>Repeated or allowed violations may indicate an unintended conduit or boundary weakness.</x:v>
      </x:c>
      <x:c r="D16" s="59"/>
      <x:c r="E16" s="59"/>
      <x:c r="F16" s="59"/>
      <x:c r="G16" s="59"/>
      <x:c r="H16" s="59"/>
      <x:c r="I16" s="59"/>
      <x:c r="J16" s="59"/>
      <x:c r="K16" s="59"/>
      <x:c r="L16" s="59"/>
      <x:c r="M16" s="59"/>
      <x:c r="N16" s="59"/>
      <x:c r="O16" s="59" t="str">
        <x:v>14-Jul</x:v>
      </x:c>
    </x:row>
    <x:row r="17" ht="38" customHeight="1">
      <x:c r="A17" s="83" t="str">
        <x:v>Critical Alerts</x:v>
      </x:c>
      <x:c r="B17" s="154" t="n">
        <x:f>SUM('Daily Monitoring'!K6:K35)</x:f>
        <x:v>5</x:v>
      </x:c>
      <x:c r="C17" s="83" t="str">
        <x:v>Critical alerts require correlation with process state and engineering changes.</x:v>
      </x:c>
      <x:c r="D17" s="59"/>
      <x:c r="E17" s="59"/>
      <x:c r="F17" s="59"/>
      <x:c r="G17" s="59"/>
      <x:c r="H17" s="59"/>
      <x:c r="I17" s="59"/>
      <x:c r="J17" s="59"/>
      <x:c r="K17" s="59"/>
      <x:c r="L17" s="59"/>
      <x:c r="M17" s="59"/>
      <x:c r="N17" s="59"/>
      <x:c r="O17" s="59" t="str">
        <x:v>15-Jul</x:v>
      </x:c>
    </x:row>
    <x:row r="18">
      <x:c r="A18" s="59"/>
      <x:c r="B18" s="59"/>
      <x:c r="C18" s="59"/>
      <x:c r="D18" s="59"/>
      <x:c r="E18" s="59"/>
      <x:c r="F18" s="59"/>
      <x:c r="G18" s="59"/>
      <x:c r="H18" s="59"/>
      <x:c r="I18" s="59"/>
      <x:c r="J18" s="59"/>
      <x:c r="K18" s="59"/>
      <x:c r="L18" s="59"/>
      <x:c r="M18" s="59"/>
      <x:c r="N18" s="59"/>
      <x:c r="O18" s="59" t="str">
        <x:v>16-Jul</x:v>
      </x:c>
    </x:row>
    <x:row r="19">
      <x:c r="A19" s="59"/>
      <x:c r="B19" s="59"/>
      <x:c r="C19" s="59"/>
      <x:c r="D19" s="59"/>
      <x:c r="E19" s="59"/>
      <x:c r="F19" s="59"/>
      <x:c r="G19" s="59"/>
      <x:c r="H19" s="59"/>
      <x:c r="I19" s="59"/>
      <x:c r="J19" s="59"/>
      <x:c r="K19" s="59"/>
      <x:c r="L19" s="59"/>
      <x:c r="M19" s="59"/>
      <x:c r="N19" s="59"/>
      <x:c r="O19" s="59" t="str">
        <x:v>17-Jul</x:v>
      </x:c>
    </x:row>
    <x:row r="20" ht="32" customHeight="1">
      <x:c r="A20" s="62" t="str">
        <x:v>30-Day Event Type</x:v>
      </x:c>
      <x:c r="B20" s="62" t="str">
        <x:v>Count</x:v>
      </x:c>
      <x:c r="C20" s="59"/>
      <x:c r="D20" s="59"/>
      <x:c r="E20" s="59"/>
      <x:c r="F20" s="59"/>
      <x:c r="G20" s="59"/>
      <x:c r="H20" s="59"/>
      <x:c r="I20" s="59"/>
      <x:c r="J20" s="59"/>
      <x:c r="K20" s="59"/>
      <x:c r="L20" s="59"/>
      <x:c r="M20" s="59"/>
      <x:c r="N20" s="59"/>
      <x:c r="O20" s="59" t="str">
        <x:v>18-Jul</x:v>
      </x:c>
    </x:row>
    <x:row r="21" ht="22" customHeight="1">
      <x:c r="A21" s="59" t="str">
        <x:v>Unknown Assets</x:v>
      </x:c>
      <x:c r="B21" s="59" t="n">
        <x:f>SUM('Daily Monitoring'!E6:E35)</x:f>
        <x:v>2</x:v>
      </x:c>
      <x:c r="C21" s="59"/>
      <x:c r="D21" s="59"/>
      <x:c r="E21" s="59"/>
      <x:c r="F21" s="59"/>
      <x:c r="G21" s="59"/>
      <x:c r="H21" s="59"/>
      <x:c r="I21" s="59"/>
      <x:c r="J21" s="59"/>
      <x:c r="K21" s="59"/>
      <x:c r="L21" s="59"/>
      <x:c r="M21" s="59"/>
      <x:c r="N21" s="59"/>
      <x:c r="O21" s="59" t="str">
        <x:v>19-Jul</x:v>
      </x:c>
    </x:row>
    <x:row r="22" ht="22" customHeight="1">
      <x:c r="A22" s="59" t="str">
        <x:v>Unauthorized Writes</x:v>
      </x:c>
      <x:c r="B22" s="59" t="n">
        <x:f>SUM('Daily Monitoring'!F6:F35)</x:f>
        <x:v>1</x:v>
      </x:c>
      <x:c r="C22" s="59"/>
      <x:c r="D22" s="59"/>
      <x:c r="E22" s="59"/>
      <x:c r="F22" s="59"/>
      <x:c r="G22" s="59"/>
      <x:c r="H22" s="59"/>
      <x:c r="I22" s="59"/>
      <x:c r="J22" s="59"/>
      <x:c r="K22" s="59"/>
      <x:c r="L22" s="59"/>
      <x:c r="M22" s="59"/>
      <x:c r="N22" s="59"/>
      <x:c r="O22" s="59" t="str">
        <x:v>20-Jul</x:v>
      </x:c>
    </x:row>
    <x:row r="23" ht="22" customHeight="1">
      <x:c r="A23" s="59" t="str">
        <x:v>Segmentation Violations</x:v>
      </x:c>
      <x:c r="B23" s="59" t="n">
        <x:f>SUM('Daily Monitoring'!H6:H35)</x:f>
        <x:v>5</x:v>
      </x:c>
      <x:c r="C23" s="59"/>
      <x:c r="D23" s="59"/>
      <x:c r="E23" s="59"/>
      <x:c r="F23" s="59"/>
      <x:c r="G23" s="59"/>
      <x:c r="H23" s="59"/>
      <x:c r="I23" s="59"/>
      <x:c r="J23" s="59"/>
      <x:c r="K23" s="59"/>
      <x:c r="L23" s="59"/>
      <x:c r="M23" s="59"/>
      <x:c r="N23" s="59"/>
      <x:c r="O23" s="59" t="str">
        <x:v>21-Jul</x:v>
      </x:c>
    </x:row>
    <x:row r="24" ht="22" customHeight="1">
      <x:c r="A24" s="59" t="str">
        <x:v>Frozen / Stale Tags</x:v>
      </x:c>
      <x:c r="B24" s="59" t="n">
        <x:f>SUM('Daily Monitoring'!I6:I35)</x:f>
        <x:v>10</x:v>
      </x:c>
      <x:c r="C24" s="59"/>
      <x:c r="D24" s="59"/>
      <x:c r="E24" s="59"/>
      <x:c r="F24" s="59"/>
      <x:c r="G24" s="59"/>
      <x:c r="H24" s="59"/>
      <x:c r="I24" s="59"/>
      <x:c r="J24" s="59"/>
      <x:c r="K24" s="59"/>
      <x:c r="L24" s="59"/>
      <x:c r="M24" s="59"/>
      <x:c r="N24" s="59"/>
      <x:c r="O24" s="59" t="str">
        <x:v>22-Jul</x:v>
      </x:c>
    </x:row>
    <x:row r="25" ht="22" customHeight="1">
      <x:c r="A25" s="59" t="str">
        <x:v>Critical Alerts</x:v>
      </x:c>
      <x:c r="B25" s="59" t="n">
        <x:f>SUM('Daily Monitoring'!K6:K35)</x:f>
        <x:v>5</x:v>
      </x:c>
      <x:c r="C25" s="59"/>
      <x:c r="D25" s="59"/>
      <x:c r="E25" s="59"/>
      <x:c r="F25" s="59"/>
      <x:c r="G25" s="59"/>
      <x:c r="H25" s="59"/>
      <x:c r="I25" s="59"/>
      <x:c r="J25" s="59"/>
      <x:c r="K25" s="59"/>
      <x:c r="L25" s="59"/>
      <x:c r="M25" s="59"/>
      <x:c r="N25" s="59"/>
      <x:c r="O25" s="59" t="str">
        <x:v>23-Jul</x:v>
      </x:c>
    </x:row>
    <x:row r="26">
      <x:c r="A26" s="59"/>
      <x:c r="B26" s="59"/>
      <x:c r="C26" s="59"/>
      <x:c r="D26" s="59"/>
      <x:c r="E26" s="59"/>
      <x:c r="F26" s="59"/>
      <x:c r="G26" s="59"/>
      <x:c r="H26" s="59"/>
      <x:c r="I26" s="59"/>
      <x:c r="J26" s="59"/>
      <x:c r="K26" s="59"/>
      <x:c r="L26" s="59"/>
      <x:c r="M26" s="59"/>
      <x:c r="N26" s="59"/>
      <x:c r="O26" s="59" t="str">
        <x:v>24-Jul</x:v>
      </x:c>
    </x:row>
    <x:row r="27">
      <x:c r="A27" s="59"/>
      <x:c r="B27" s="59"/>
      <x:c r="C27" s="59"/>
      <x:c r="D27" s="59"/>
      <x:c r="E27" s="59"/>
      <x:c r="F27" s="59"/>
      <x:c r="G27" s="59"/>
      <x:c r="H27" s="59"/>
      <x:c r="I27" s="59"/>
      <x:c r="J27" s="59"/>
      <x:c r="K27" s="59"/>
      <x:c r="L27" s="59"/>
      <x:c r="M27" s="59"/>
      <x:c r="N27" s="59"/>
      <x:c r="O27" s="59" t="str">
        <x:v>25-Jul</x:v>
      </x:c>
    </x:row>
    <x:row r="28">
      <x:c r="A28" s="59"/>
      <x:c r="B28" s="59"/>
      <x:c r="C28" s="59"/>
      <x:c r="D28" s="59"/>
      <x:c r="E28" s="59"/>
      <x:c r="F28" s="59"/>
      <x:c r="G28" s="59"/>
      <x:c r="H28" s="59"/>
      <x:c r="I28" s="59"/>
      <x:c r="J28" s="59"/>
      <x:c r="K28" s="59"/>
      <x:c r="L28" s="59"/>
      <x:c r="M28" s="59"/>
      <x:c r="N28" s="59"/>
      <x:c r="O28" s="59" t="str">
        <x:v>26-Jul</x:v>
      </x:c>
    </x:row>
    <x:row r="29">
      <x:c r="A29" s="59"/>
      <x:c r="B29" s="59"/>
      <x:c r="C29" s="59"/>
      <x:c r="D29" s="59"/>
      <x:c r="E29" s="59"/>
      <x:c r="F29" s="59"/>
      <x:c r="G29" s="59"/>
      <x:c r="H29" s="59"/>
      <x:c r="I29" s="59"/>
      <x:c r="J29" s="59"/>
      <x:c r="K29" s="59"/>
      <x:c r="L29" s="59"/>
      <x:c r="M29" s="59"/>
      <x:c r="N29" s="59"/>
      <x:c r="O29" s="59" t="str">
        <x:v>27-Jul</x:v>
      </x:c>
    </x:row>
    <x:row r="30">
      <x:c r="A30" s="59"/>
      <x:c r="B30" s="59"/>
      <x:c r="C30" s="59"/>
      <x:c r="D30" s="59"/>
      <x:c r="E30" s="59"/>
      <x:c r="F30" s="59"/>
      <x:c r="G30" s="59"/>
      <x:c r="H30" s="59"/>
      <x:c r="I30" s="59"/>
      <x:c r="J30" s="59"/>
      <x:c r="K30" s="59"/>
      <x:c r="L30" s="59"/>
      <x:c r="M30" s="59"/>
      <x:c r="N30" s="59"/>
      <x:c r="O30" s="59" t="str">
        <x:v>28-Jul</x:v>
      </x:c>
    </x:row>
    <x:row r="31">
      <x:c r="A31" s="59"/>
      <x:c r="B31" s="59"/>
      <x:c r="C31" s="59"/>
      <x:c r="D31" s="59"/>
      <x:c r="E31" s="59"/>
      <x:c r="F31" s="59"/>
      <x:c r="G31" s="59"/>
      <x:c r="H31" s="59"/>
      <x:c r="I31" s="59"/>
      <x:c r="J31" s="59"/>
      <x:c r="K31" s="59"/>
      <x:c r="L31" s="59"/>
      <x:c r="M31" s="59"/>
      <x:c r="N31" s="59"/>
      <x:c r="O31" s="59" t="str">
        <x:v>29-Jul</x:v>
      </x:c>
    </x:row>
    <x:row r="32">
      <x:c r="A32" s="59"/>
      <x:c r="B32" s="59"/>
      <x:c r="C32" s="59"/>
      <x:c r="D32" s="59"/>
      <x:c r="E32" s="59"/>
      <x:c r="F32" s="59"/>
      <x:c r="G32" s="59"/>
      <x:c r="H32" s="59"/>
      <x:c r="I32" s="59"/>
      <x:c r="J32" s="59"/>
      <x:c r="K32" s="59"/>
      <x:c r="L32" s="59"/>
      <x:c r="M32" s="59"/>
      <x:c r="N32" s="59"/>
      <x:c r="O32" s="59" t="str">
        <x:v>30-Jul</x:v>
      </x:c>
    </x:row>
    <x:row r="33">
      <x:c r="A33" s="59"/>
      <x:c r="B33" s="59"/>
      <x:c r="C33" s="59"/>
      <x:c r="D33" s="59"/>
      <x:c r="E33" s="59"/>
      <x:c r="F33" s="59"/>
      <x:c r="G33" s="59"/>
      <x:c r="H33" s="59"/>
      <x:c r="I33" s="59"/>
      <x:c r="J33" s="59"/>
      <x:c r="K33" s="59"/>
      <x:c r="L33" s="59"/>
      <x:c r="M33" s="59"/>
      <x:c r="N33" s="59"/>
      <x:c r="O33" s="59" t="str">
        <x:v>31-Jul</x:v>
      </x:c>
    </x:row>
    <x:row r="34">
      <x:c r="A34" s="59"/>
      <x:c r="B34" s="59"/>
      <x:c r="C34" s="59"/>
      <x:c r="D34" s="59"/>
      <x:c r="E34" s="59"/>
      <x:c r="F34" s="59"/>
      <x:c r="G34" s="59"/>
      <x:c r="H34" s="59"/>
      <x:c r="I34" s="59"/>
      <x:c r="J34" s="59"/>
      <x:c r="K34" s="59"/>
      <x:c r="L34" s="59"/>
      <x:c r="M34" s="59"/>
      <x:c r="N34" s="59"/>
      <x:c r="O34" s="59" t="str">
        <x:v>01-Aug</x:v>
      </x:c>
    </x:row>
    <x:row r="35">
      <x:c r="A35" s="59"/>
      <x:c r="B35" s="59"/>
      <x:c r="C35" s="59"/>
      <x:c r="D35" s="59"/>
      <x:c r="E35" s="59"/>
      <x:c r="F35" s="59"/>
      <x:c r="G35" s="59"/>
      <x:c r="H35" s="59"/>
      <x:c r="I35" s="59"/>
      <x:c r="J35" s="59"/>
      <x:c r="K35" s="59"/>
      <x:c r="L35" s="59"/>
      <x:c r="M35" s="59"/>
      <x:c r="N35" s="59"/>
      <x:c r="O35" s="59" t="str">
        <x:v>02-Aug</x:v>
      </x:c>
    </x:row>
    <x:row r="36">
      <x:c r="A36" s="59"/>
      <x:c r="B36" s="59"/>
      <x:c r="C36" s="59"/>
      <x:c r="D36" s="59"/>
      <x:c r="E36" s="59"/>
      <x:c r="F36" s="59"/>
      <x:c r="G36" s="59"/>
      <x:c r="H36" s="59"/>
      <x:c r="I36" s="59"/>
      <x:c r="J36" s="59"/>
      <x:c r="K36" s="59"/>
      <x:c r="L36" s="59"/>
      <x:c r="M36" s="59"/>
      <x:c r="N36" s="59"/>
      <x:c r="O36" s="59"/>
    </x:row>
    <x:row r="37">
      <x:c r="A37" s="59"/>
      <x:c r="B37" s="59"/>
      <x:c r="C37" s="59"/>
      <x:c r="D37" s="59"/>
      <x:c r="E37" s="59"/>
      <x:c r="F37" s="59"/>
      <x:c r="G37" s="59"/>
      <x:c r="H37" s="59"/>
      <x:c r="I37" s="59"/>
      <x:c r="J37" s="59"/>
      <x:c r="K37" s="59"/>
      <x:c r="L37" s="59"/>
      <x:c r="M37" s="59"/>
      <x:c r="N37" s="59"/>
      <x:c r="O37" s="59"/>
    </x:row>
    <x:row r="38">
      <x:c r="A38" s="59"/>
      <x:c r="B38" s="59"/>
      <x:c r="C38" s="59"/>
      <x:c r="D38" s="59"/>
      <x:c r="E38" s="59"/>
      <x:c r="F38" s="59"/>
      <x:c r="G38" s="59"/>
      <x:c r="H38" s="59"/>
      <x:c r="I38" s="59"/>
      <x:c r="J38" s="59"/>
      <x:c r="K38" s="59"/>
      <x:c r="L38" s="59"/>
      <x:c r="M38" s="59"/>
      <x:c r="N38" s="59"/>
      <x:c r="O38" s="59"/>
    </x:row>
    <x:row r="39">
      <x:c r="A39" s="59"/>
      <x:c r="B39" s="59"/>
      <x:c r="C39" s="59"/>
      <x:c r="D39" s="59"/>
      <x:c r="E39" s="59"/>
      <x:c r="F39" s="59"/>
      <x:c r="G39" s="59"/>
      <x:c r="H39" s="59"/>
      <x:c r="I39" s="59"/>
      <x:c r="J39" s="59"/>
      <x:c r="K39" s="59"/>
      <x:c r="L39" s="59"/>
      <x:c r="M39" s="59"/>
      <x:c r="N39" s="59"/>
      <x:c r="O39" s="59"/>
    </x:row>
    <x:row r="40">
      <x:c r="A40" s="59"/>
      <x:c r="B40" s="59"/>
      <x:c r="C40" s="59"/>
      <x:c r="D40" s="59"/>
      <x:c r="E40" s="59"/>
      <x:c r="F40" s="59"/>
      <x:c r="G40" s="59"/>
      <x:c r="H40" s="59"/>
      <x:c r="I40" s="59"/>
      <x:c r="J40" s="59"/>
      <x:c r="K40" s="59"/>
      <x:c r="L40" s="59"/>
      <x:c r="M40" s="59"/>
      <x:c r="N40" s="59"/>
      <x:c r="O40" s="59"/>
    </x:row>
    <x:row r="41">
      <x:c r="A41" s="59"/>
      <x:c r="B41" s="59"/>
      <x:c r="C41" s="59"/>
      <x:c r="D41" s="59"/>
      <x:c r="E41" s="59"/>
      <x:c r="F41" s="59"/>
      <x:c r="G41" s="59"/>
      <x:c r="H41" s="59"/>
      <x:c r="I41" s="59"/>
      <x:c r="J41" s="59"/>
      <x:c r="K41" s="59"/>
      <x:c r="L41" s="59"/>
      <x:c r="M41" s="59"/>
      <x:c r="N41" s="59"/>
      <x:c r="O41" s="59"/>
    </x:row>
    <x:row r="42">
      <x:c r="A42" s="59"/>
      <x:c r="B42" s="59"/>
      <x:c r="C42" s="59"/>
      <x:c r="D42" s="59"/>
      <x:c r="E42" s="59"/>
      <x:c r="F42" s="59"/>
      <x:c r="G42" s="59"/>
      <x:c r="H42" s="59"/>
      <x:c r="I42" s="59"/>
      <x:c r="J42" s="59"/>
      <x:c r="K42" s="59"/>
      <x:c r="L42" s="59"/>
      <x:c r="M42" s="59"/>
      <x:c r="N42" s="59"/>
      <x:c r="O42" s="59"/>
    </x:row>
    <x:row r="43">
      <x:c r="A43" s="59"/>
      <x:c r="B43" s="59"/>
      <x:c r="C43" s="59"/>
      <x:c r="D43" s="59"/>
      <x:c r="E43" s="59"/>
      <x:c r="F43" s="59"/>
      <x:c r="G43" s="59"/>
      <x:c r="H43" s="59"/>
      <x:c r="I43" s="59"/>
      <x:c r="J43" s="59"/>
      <x:c r="K43" s="59"/>
      <x:c r="L43" s="59"/>
      <x:c r="M43" s="59"/>
      <x:c r="N43" s="59"/>
      <x:c r="O43" s="59"/>
    </x:row>
    <x:row r="44">
      <x:c r="A44" s="59"/>
      <x:c r="B44" s="59"/>
      <x:c r="C44" s="59"/>
      <x:c r="D44" s="59"/>
      <x:c r="E44" s="59"/>
      <x:c r="F44" s="59"/>
      <x:c r="G44" s="59"/>
      <x:c r="H44" s="59"/>
      <x:c r="I44" s="59"/>
      <x:c r="J44" s="59"/>
      <x:c r="K44" s="59"/>
      <x:c r="L44" s="59"/>
      <x:c r="M44" s="59"/>
      <x:c r="N44" s="59"/>
      <x:c r="O44" s="59"/>
    </x:row>
    <x:row r="45">
      <x:c r="A45" s="59"/>
      <x:c r="B45" s="59"/>
      <x:c r="C45" s="59"/>
      <x:c r="D45" s="59"/>
      <x:c r="E45" s="59"/>
      <x:c r="F45" s="59"/>
      <x:c r="G45" s="59"/>
      <x:c r="H45" s="59"/>
      <x:c r="I45" s="59"/>
      <x:c r="J45" s="59"/>
      <x:c r="K45" s="59"/>
      <x:c r="L45" s="59"/>
      <x:c r="M45" s="59"/>
      <x:c r="N45" s="59"/>
      <x:c r="O45" s="59"/>
    </x:row>
    <x:row r="46">
      <x:c r="A46" s="59"/>
      <x:c r="B46" s="59"/>
      <x:c r="C46" s="59"/>
      <x:c r="D46" s="59"/>
      <x:c r="E46" s="59"/>
      <x:c r="F46" s="59"/>
      <x:c r="G46" s="59"/>
      <x:c r="H46" s="59"/>
      <x:c r="I46" s="59"/>
      <x:c r="J46" s="59"/>
      <x:c r="K46" s="59"/>
      <x:c r="L46" s="59"/>
      <x:c r="M46" s="59"/>
      <x:c r="N46" s="59"/>
      <x:c r="O46" s="59"/>
    </x:row>
    <x:row r="47">
      <x:c r="A47" s="59"/>
      <x:c r="B47" s="59"/>
      <x:c r="C47" s="59"/>
      <x:c r="D47" s="59"/>
      <x:c r="E47" s="59"/>
      <x:c r="F47" s="59"/>
      <x:c r="G47" s="59"/>
      <x:c r="H47" s="59"/>
      <x:c r="I47" s="59"/>
      <x:c r="J47" s="59"/>
      <x:c r="K47" s="59"/>
      <x:c r="L47" s="59"/>
      <x:c r="M47" s="59"/>
      <x:c r="N47" s="59"/>
      <x:c r="O47" s="59"/>
    </x:row>
    <x:row r="48">
      <x:c r="A48" s="59"/>
      <x:c r="B48" s="59"/>
      <x:c r="C48" s="59"/>
      <x:c r="D48" s="59"/>
      <x:c r="E48" s="59"/>
      <x:c r="F48" s="59"/>
      <x:c r="G48" s="59"/>
      <x:c r="H48" s="59"/>
      <x:c r="I48" s="59"/>
      <x:c r="J48" s="59"/>
      <x:c r="K48" s="59"/>
      <x:c r="L48" s="59"/>
      <x:c r="M48" s="59"/>
      <x:c r="N48" s="59"/>
      <x:c r="O48" s="59"/>
    </x:row>
    <x:row r="49">
      <x:c r="A49" s="59"/>
      <x:c r="B49" s="59"/>
      <x:c r="C49" s="59"/>
      <x:c r="D49" s="59"/>
      <x:c r="E49" s="59"/>
      <x:c r="F49" s="59"/>
      <x:c r="G49" s="59"/>
      <x:c r="H49" s="59"/>
      <x:c r="I49" s="59"/>
      <x:c r="J49" s="59"/>
      <x:c r="K49" s="59"/>
      <x:c r="L49" s="59"/>
      <x:c r="M49" s="59"/>
      <x:c r="N49" s="59"/>
      <x:c r="O49" s="59"/>
    </x:row>
    <x:row r="50">
      <x:c r="A50" s="59"/>
      <x:c r="B50" s="59"/>
      <x:c r="C50" s="59"/>
      <x:c r="D50" s="59"/>
      <x:c r="E50" s="59"/>
      <x:c r="F50" s="59"/>
      <x:c r="G50" s="59"/>
      <x:c r="H50" s="59"/>
      <x:c r="I50" s="59"/>
      <x:c r="J50" s="59"/>
      <x:c r="K50" s="59"/>
      <x:c r="L50" s="59"/>
      <x:c r="M50" s="59"/>
      <x:c r="N50" s="59"/>
      <x:c r="O50" s="59"/>
    </x:row>
    <x:row r="51">
      <x:c r="A51" s="59"/>
      <x:c r="B51" s="59"/>
      <x:c r="C51" s="59"/>
      <x:c r="D51" s="59"/>
      <x:c r="E51" s="59"/>
      <x:c r="F51" s="59"/>
      <x:c r="G51" s="59"/>
      <x:c r="H51" s="59"/>
      <x:c r="I51" s="59"/>
      <x:c r="J51" s="59"/>
      <x:c r="K51" s="59"/>
      <x:c r="L51" s="59"/>
      <x:c r="M51" s="59"/>
      <x:c r="N51" s="59"/>
      <x:c r="O51" s="59"/>
    </x:row>
    <x:row r="52">
      <x:c r="A52" s="59"/>
      <x:c r="B52" s="59"/>
      <x:c r="C52" s="59"/>
      <x:c r="D52" s="59"/>
      <x:c r="E52" s="59"/>
      <x:c r="F52" s="59"/>
      <x:c r="G52" s="59"/>
      <x:c r="H52" s="59"/>
      <x:c r="I52" s="59"/>
      <x:c r="J52" s="59"/>
      <x:c r="K52" s="59"/>
      <x:c r="L52" s="59"/>
      <x:c r="M52" s="59"/>
      <x:c r="N52" s="59"/>
      <x:c r="O52" s="59"/>
    </x:row>
    <x:row r="53">
      <x:c r="A53" s="59"/>
      <x:c r="B53" s="59"/>
      <x:c r="C53" s="59"/>
      <x:c r="D53" s="59"/>
      <x:c r="E53" s="59"/>
      <x:c r="F53" s="59"/>
      <x:c r="G53" s="59"/>
      <x:c r="H53" s="59"/>
      <x:c r="I53" s="59"/>
      <x:c r="J53" s="59"/>
      <x:c r="K53" s="59"/>
      <x:c r="L53" s="59"/>
      <x:c r="M53" s="59"/>
      <x:c r="N53" s="59"/>
      <x:c r="O53" s="59"/>
    </x:row>
    <x:row r="54">
      <x:c r="A54" s="59"/>
      <x:c r="B54" s="59"/>
      <x:c r="C54" s="59"/>
      <x:c r="D54" s="59"/>
      <x:c r="E54" s="59"/>
      <x:c r="F54" s="59"/>
      <x:c r="G54" s="59"/>
      <x:c r="H54" s="59"/>
      <x:c r="I54" s="59"/>
      <x:c r="J54" s="59"/>
      <x:c r="K54" s="59"/>
      <x:c r="L54" s="59"/>
      <x:c r="M54" s="59"/>
      <x:c r="N54" s="59"/>
      <x:c r="O54" s="59"/>
    </x:row>
    <x:row r="55">
      <x:c r="A55" s="59"/>
      <x:c r="B55" s="59"/>
      <x:c r="C55" s="59"/>
      <x:c r="D55" s="59"/>
      <x:c r="E55" s="59"/>
      <x:c r="F55" s="59"/>
      <x:c r="G55" s="59"/>
      <x:c r="H55" s="59"/>
      <x:c r="I55" s="59"/>
      <x:c r="J55" s="59"/>
      <x:c r="K55" s="59"/>
      <x:c r="L55" s="59"/>
      <x:c r="M55" s="59"/>
      <x:c r="N55" s="59"/>
      <x:c r="O55" s="59"/>
    </x:row>
    <x:row r="56">
      <x:c r="A56" s="59"/>
      <x:c r="B56" s="59"/>
      <x:c r="C56" s="59"/>
      <x:c r="D56" s="59"/>
      <x:c r="E56" s="59"/>
      <x:c r="F56" s="59"/>
      <x:c r="G56" s="59"/>
      <x:c r="H56" s="59"/>
      <x:c r="I56" s="59"/>
      <x:c r="J56" s="59"/>
      <x:c r="K56" s="59"/>
      <x:c r="L56" s="59"/>
      <x:c r="M56" s="59"/>
      <x:c r="N56" s="59"/>
      <x:c r="O56" s="59"/>
    </x:row>
    <x:row r="57">
      <x:c r="A57" s="59"/>
      <x:c r="B57" s="59"/>
      <x:c r="C57" s="59"/>
      <x:c r="D57" s="59"/>
      <x:c r="E57" s="59"/>
      <x:c r="F57" s="59"/>
      <x:c r="G57" s="59"/>
      <x:c r="H57" s="59"/>
      <x:c r="I57" s="59"/>
      <x:c r="J57" s="59"/>
      <x:c r="K57" s="59"/>
      <x:c r="L57" s="59"/>
      <x:c r="M57" s="59"/>
      <x:c r="N57" s="59"/>
      <x:c r="O57" s="59"/>
    </x:row>
    <x:row r="58">
      <x:c r="A58" s="59"/>
      <x:c r="B58" s="59"/>
      <x:c r="C58" s="59"/>
      <x:c r="D58" s="59"/>
      <x:c r="E58" s="59"/>
      <x:c r="F58" s="59"/>
      <x:c r="G58" s="59"/>
      <x:c r="H58" s="59"/>
      <x:c r="I58" s="59"/>
      <x:c r="J58" s="59"/>
      <x:c r="K58" s="59"/>
      <x:c r="L58" s="59"/>
      <x:c r="M58" s="59"/>
      <x:c r="N58" s="59"/>
      <x:c r="O58" s="59"/>
    </x:row>
    <x:row r="59">
      <x:c r="A59" s="59"/>
      <x:c r="B59" s="59"/>
      <x:c r="C59" s="59"/>
      <x:c r="D59" s="59"/>
      <x:c r="E59" s="59"/>
      <x:c r="F59" s="59"/>
      <x:c r="G59" s="59"/>
      <x:c r="H59" s="59"/>
      <x:c r="I59" s="59"/>
      <x:c r="J59" s="59"/>
      <x:c r="K59" s="59"/>
      <x:c r="L59" s="59"/>
      <x:c r="M59" s="59"/>
      <x:c r="N59" s="59"/>
      <x:c r="O59" s="59"/>
    </x:row>
    <x:row r="60">
      <x:c r="A60" s="59"/>
      <x:c r="B60" s="59"/>
      <x:c r="C60" s="59"/>
      <x:c r="D60" s="59"/>
      <x:c r="E60" s="59"/>
      <x:c r="F60" s="59"/>
      <x:c r="G60" s="59"/>
      <x:c r="H60" s="59"/>
      <x:c r="I60" s="59"/>
      <x:c r="J60" s="59"/>
      <x:c r="K60" s="59"/>
      <x:c r="L60" s="59"/>
      <x:c r="M60" s="59"/>
      <x:c r="N60" s="59"/>
      <x:c r="O60" s="59"/>
    </x:row>
    <x:row r="61">
      <x:c r="A61" s="59"/>
      <x:c r="B61" s="59"/>
      <x:c r="C61" s="59"/>
      <x:c r="D61" s="59"/>
      <x:c r="E61" s="59"/>
      <x:c r="F61" s="59"/>
      <x:c r="G61" s="59"/>
      <x:c r="H61" s="59"/>
      <x:c r="I61" s="59"/>
      <x:c r="J61" s="59"/>
      <x:c r="K61" s="59"/>
      <x:c r="L61" s="59"/>
      <x:c r="M61" s="59"/>
      <x:c r="N61" s="59"/>
      <x:c r="O61" s="59"/>
    </x:row>
    <x:row r="62">
      <x:c r="A62" s="59"/>
      <x:c r="B62" s="59"/>
      <x:c r="C62" s="59"/>
      <x:c r="D62" s="59"/>
      <x:c r="E62" s="59"/>
      <x:c r="F62" s="59"/>
      <x:c r="G62" s="59"/>
      <x:c r="H62" s="59"/>
      <x:c r="I62" s="59"/>
      <x:c r="J62" s="59"/>
      <x:c r="K62" s="59"/>
      <x:c r="L62" s="59"/>
      <x:c r="M62" s="59"/>
      <x:c r="N62" s="59"/>
      <x:c r="O62" s="59"/>
    </x:row>
    <x:row r="63">
      <x:c r="A63" s="59"/>
      <x:c r="B63" s="59"/>
      <x:c r="C63" s="59"/>
      <x:c r="D63" s="59"/>
      <x:c r="E63" s="59"/>
      <x:c r="F63" s="59"/>
      <x:c r="G63" s="59"/>
      <x:c r="H63" s="59"/>
      <x:c r="I63" s="59"/>
      <x:c r="J63" s="59"/>
      <x:c r="K63" s="59"/>
      <x:c r="L63" s="59"/>
      <x:c r="M63" s="59"/>
      <x:c r="N63" s="59"/>
      <x:c r="O63" s="59"/>
    </x:row>
    <x:row r="64">
      <x:c r="A64" s="59"/>
      <x:c r="B64" s="59"/>
      <x:c r="C64" s="59"/>
      <x:c r="D64" s="59"/>
      <x:c r="E64" s="59"/>
      <x:c r="F64" s="59"/>
      <x:c r="G64" s="59"/>
      <x:c r="H64" s="59"/>
      <x:c r="I64" s="59"/>
      <x:c r="J64" s="59"/>
      <x:c r="K64" s="59"/>
      <x:c r="L64" s="59"/>
      <x:c r="M64" s="59"/>
      <x:c r="N64" s="59"/>
      <x:c r="O64" s="59"/>
    </x:row>
    <x:row r="65">
      <x:c r="A65" s="59"/>
      <x:c r="B65" s="59"/>
      <x:c r="C65" s="59"/>
      <x:c r="D65" s="59"/>
      <x:c r="E65" s="59"/>
      <x:c r="F65" s="59"/>
      <x:c r="G65" s="59"/>
      <x:c r="H65" s="59"/>
      <x:c r="I65" s="59"/>
      <x:c r="J65" s="59"/>
      <x:c r="K65" s="59"/>
      <x:c r="L65" s="59"/>
      <x:c r="M65" s="59"/>
      <x:c r="N65" s="59"/>
      <x:c r="O65" s="59"/>
    </x:row>
    <x:row r="66">
      <x:c r="A66" s="59"/>
      <x:c r="B66" s="59"/>
      <x:c r="C66" s="59"/>
      <x:c r="D66" s="59"/>
      <x:c r="E66" s="59"/>
      <x:c r="F66" s="59"/>
      <x:c r="G66" s="59"/>
      <x:c r="H66" s="59"/>
      <x:c r="I66" s="59"/>
      <x:c r="J66" s="59"/>
      <x:c r="K66" s="59"/>
      <x:c r="L66" s="59"/>
      <x:c r="M66" s="59"/>
      <x:c r="N66" s="59"/>
      <x:c r="O66" s="59"/>
    </x:row>
    <x:row r="67">
      <x:c r="A67" s="59"/>
      <x:c r="B67" s="59"/>
      <x:c r="C67" s="59"/>
      <x:c r="D67" s="59"/>
      <x:c r="E67" s="59"/>
      <x:c r="F67" s="59"/>
      <x:c r="G67" s="59"/>
      <x:c r="H67" s="59"/>
      <x:c r="I67" s="59"/>
      <x:c r="J67" s="59"/>
      <x:c r="K67" s="59"/>
      <x:c r="L67" s="59"/>
      <x:c r="M67" s="59"/>
      <x:c r="N67" s="59"/>
      <x:c r="O67" s="59"/>
    </x:row>
    <x:row r="68">
      <x:c r="A68" s="59"/>
      <x:c r="B68" s="59"/>
      <x:c r="C68" s="59"/>
      <x:c r="D68" s="59"/>
      <x:c r="E68" s="59"/>
      <x:c r="F68" s="59"/>
      <x:c r="G68" s="59"/>
      <x:c r="H68" s="59"/>
      <x:c r="I68" s="59"/>
      <x:c r="J68" s="59"/>
      <x:c r="K68" s="59"/>
      <x:c r="L68" s="59"/>
      <x:c r="M68" s="59"/>
      <x:c r="N68" s="59"/>
      <x:c r="O68" s="59"/>
    </x:row>
    <x:row r="69">
      <x:c r="A69" s="59"/>
      <x:c r="B69" s="59"/>
      <x:c r="C69" s="59"/>
      <x:c r="D69" s="59"/>
      <x:c r="E69" s="59"/>
      <x:c r="F69" s="59"/>
      <x:c r="G69" s="59"/>
      <x:c r="H69" s="59"/>
      <x:c r="I69" s="59"/>
      <x:c r="J69" s="59"/>
      <x:c r="K69" s="59"/>
      <x:c r="L69" s="59"/>
      <x:c r="M69" s="59"/>
      <x:c r="N69" s="59"/>
      <x:c r="O69" s="59"/>
    </x:row>
    <x:row r="70">
      <x:c r="A70" s="59"/>
      <x:c r="B70" s="59"/>
      <x:c r="C70" s="59"/>
      <x:c r="D70" s="59"/>
      <x:c r="E70" s="59"/>
      <x:c r="F70" s="59"/>
      <x:c r="G70" s="59"/>
      <x:c r="H70" s="59"/>
      <x:c r="I70" s="59"/>
      <x:c r="J70" s="59"/>
      <x:c r="K70" s="59"/>
      <x:c r="L70" s="59"/>
      <x:c r="M70" s="59"/>
      <x:c r="N70" s="59"/>
      <x:c r="O70" s="59"/>
    </x:row>
    <x:row r="71">
      <x:c r="A71" s="59"/>
      <x:c r="B71" s="59"/>
      <x:c r="C71" s="59"/>
      <x:c r="D71" s="59"/>
      <x:c r="E71" s="59"/>
      <x:c r="F71" s="59"/>
      <x:c r="G71" s="59"/>
      <x:c r="H71" s="59"/>
      <x:c r="I71" s="59"/>
      <x:c r="J71" s="59"/>
      <x:c r="K71" s="59"/>
      <x:c r="L71" s="59"/>
      <x:c r="M71" s="59"/>
      <x:c r="N71" s="59"/>
      <x:c r="O71" s="59"/>
    </x:row>
    <x:row r="72">
      <x:c r="A72" s="59"/>
      <x:c r="B72" s="59"/>
      <x:c r="C72" s="59"/>
      <x:c r="D72" s="59"/>
      <x:c r="E72" s="59"/>
      <x:c r="F72" s="59"/>
      <x:c r="G72" s="59"/>
      <x:c r="H72" s="59"/>
      <x:c r="I72" s="59"/>
      <x:c r="J72" s="59"/>
      <x:c r="K72" s="59"/>
      <x:c r="L72" s="59"/>
      <x:c r="M72" s="59"/>
      <x:c r="N72" s="59"/>
      <x:c r="O72" s="59"/>
    </x:row>
    <x:row r="73">
      <x:c r="A73" s="59"/>
      <x:c r="B73" s="59"/>
      <x:c r="C73" s="59"/>
      <x:c r="D73" s="59"/>
      <x:c r="E73" s="59"/>
      <x:c r="F73" s="59"/>
      <x:c r="G73" s="59"/>
      <x:c r="H73" s="59"/>
      <x:c r="I73" s="59"/>
      <x:c r="J73" s="59"/>
      <x:c r="K73" s="59"/>
      <x:c r="L73" s="59"/>
      <x:c r="M73" s="59"/>
      <x:c r="N73" s="59"/>
      <x:c r="O73" s="59"/>
    </x:row>
    <x:row r="74">
      <x:c r="A74" s="59"/>
      <x:c r="B74" s="59"/>
      <x:c r="C74" s="59"/>
      <x:c r="D74" s="59"/>
      <x:c r="E74" s="59"/>
      <x:c r="F74" s="59"/>
      <x:c r="G74" s="59"/>
      <x:c r="H74" s="59"/>
      <x:c r="I74" s="59"/>
      <x:c r="J74" s="59"/>
      <x:c r="K74" s="59"/>
      <x:c r="L74" s="59"/>
      <x:c r="M74" s="59"/>
      <x:c r="N74" s="59"/>
      <x:c r="O74" s="59"/>
    </x:row>
    <x:row r="75">
      <x:c r="A75" s="59"/>
      <x:c r="B75" s="59"/>
      <x:c r="C75" s="59"/>
      <x:c r="D75" s="59"/>
      <x:c r="E75" s="59"/>
      <x:c r="F75" s="59"/>
      <x:c r="G75" s="59"/>
      <x:c r="H75" s="59"/>
      <x:c r="I75" s="59"/>
      <x:c r="J75" s="59"/>
      <x:c r="K75" s="59"/>
      <x:c r="L75" s="59"/>
      <x:c r="M75" s="59"/>
      <x:c r="N75" s="59"/>
      <x:c r="O75" s="59"/>
    </x:row>
    <x:row r="76">
      <x:c r="A76" s="59"/>
      <x:c r="B76" s="59"/>
      <x:c r="C76" s="59"/>
      <x:c r="D76" s="59"/>
      <x:c r="E76" s="59"/>
      <x:c r="F76" s="59"/>
      <x:c r="G76" s="59"/>
      <x:c r="H76" s="59"/>
      <x:c r="I76" s="59"/>
      <x:c r="J76" s="59"/>
      <x:c r="K76" s="59"/>
      <x:c r="L76" s="59"/>
      <x:c r="M76" s="59"/>
      <x:c r="N76" s="59"/>
      <x:c r="O76" s="59"/>
    </x:row>
    <x:row r="77">
      <x:c r="A77" s="59"/>
      <x:c r="B77" s="59"/>
      <x:c r="C77" s="59"/>
      <x:c r="D77" s="59"/>
      <x:c r="E77" s="59"/>
      <x:c r="F77" s="59"/>
      <x:c r="G77" s="59"/>
      <x:c r="H77" s="59"/>
      <x:c r="I77" s="59"/>
      <x:c r="J77" s="59"/>
      <x:c r="K77" s="59"/>
      <x:c r="L77" s="59"/>
      <x:c r="M77" s="59"/>
      <x:c r="N77" s="59"/>
      <x:c r="O77" s="59"/>
    </x:row>
    <x:row r="78">
      <x:c r="A78" s="59"/>
      <x:c r="B78" s="59"/>
      <x:c r="C78" s="59"/>
      <x:c r="D78" s="59"/>
      <x:c r="E78" s="59"/>
      <x:c r="F78" s="59"/>
      <x:c r="G78" s="59"/>
      <x:c r="H78" s="59"/>
      <x:c r="I78" s="59"/>
      <x:c r="J78" s="59"/>
      <x:c r="K78" s="59"/>
      <x:c r="L78" s="59"/>
      <x:c r="M78" s="59"/>
      <x:c r="N78" s="59"/>
      <x:c r="O78" s="59"/>
    </x:row>
    <x:row r="79">
      <x:c r="A79" s="59"/>
      <x:c r="B79" s="59"/>
      <x:c r="C79" s="59"/>
      <x:c r="D79" s="59"/>
      <x:c r="E79" s="59"/>
      <x:c r="F79" s="59"/>
      <x:c r="G79" s="59"/>
      <x:c r="H79" s="59"/>
      <x:c r="I79" s="59"/>
      <x:c r="J79" s="59"/>
      <x:c r="K79" s="59"/>
      <x:c r="L79" s="59"/>
      <x:c r="M79" s="59"/>
      <x:c r="N79" s="59"/>
      <x:c r="O79" s="59"/>
    </x:row>
    <x:row r="80">
      <x:c r="A80" s="59"/>
      <x:c r="B80" s="59"/>
      <x:c r="C80" s="59"/>
      <x:c r="D80" s="59"/>
      <x:c r="E80" s="59"/>
      <x:c r="F80" s="59"/>
      <x:c r="G80" s="59"/>
      <x:c r="H80" s="59"/>
      <x:c r="I80" s="59"/>
      <x:c r="J80" s="59"/>
      <x:c r="K80" s="59"/>
      <x:c r="L80" s="59"/>
      <x:c r="M80" s="59"/>
      <x:c r="N80" s="59"/>
      <x:c r="O80" s="59"/>
    </x:row>
    <x:row r="81">
      <x:c r="A81" s="59"/>
      <x:c r="B81" s="59"/>
      <x:c r="C81" s="59"/>
      <x:c r="D81" s="59"/>
      <x:c r="E81" s="59"/>
      <x:c r="F81" s="59"/>
      <x:c r="G81" s="59"/>
      <x:c r="H81" s="59"/>
      <x:c r="I81" s="59"/>
      <x:c r="J81" s="59"/>
      <x:c r="K81" s="59"/>
      <x:c r="L81" s="59"/>
      <x:c r="M81" s="59"/>
      <x:c r="N81" s="59"/>
      <x:c r="O81" s="59"/>
    </x:row>
    <x:row r="82">
      <x:c r="A82" s="59"/>
      <x:c r="B82" s="59"/>
      <x:c r="C82" s="59"/>
      <x:c r="D82" s="59"/>
      <x:c r="E82" s="59"/>
      <x:c r="F82" s="59"/>
      <x:c r="G82" s="59"/>
      <x:c r="H82" s="59"/>
      <x:c r="I82" s="59"/>
      <x:c r="J82" s="59"/>
      <x:c r="K82" s="59"/>
      <x:c r="L82" s="59"/>
      <x:c r="M82" s="59"/>
      <x:c r="N82" s="59"/>
      <x:c r="O82" s="59"/>
    </x:row>
    <x:row r="83">
      <x:c r="A83" s="59"/>
      <x:c r="B83" s="59"/>
      <x:c r="C83" s="59"/>
      <x:c r="D83" s="59"/>
      <x:c r="E83" s="59"/>
      <x:c r="F83" s="59"/>
      <x:c r="G83" s="59"/>
      <x:c r="H83" s="59"/>
      <x:c r="I83" s="59"/>
      <x:c r="J83" s="59"/>
      <x:c r="K83" s="59"/>
      <x:c r="L83" s="59"/>
      <x:c r="M83" s="59"/>
      <x:c r="N83" s="59"/>
      <x:c r="O83" s="59"/>
    </x:row>
    <x:row r="84">
      <x:c r="A84" s="59"/>
      <x:c r="B84" s="59"/>
      <x:c r="C84" s="59"/>
      <x:c r="D84" s="59"/>
      <x:c r="E84" s="59"/>
      <x:c r="F84" s="59"/>
      <x:c r="G84" s="59"/>
      <x:c r="H84" s="59"/>
      <x:c r="I84" s="59"/>
      <x:c r="J84" s="59"/>
      <x:c r="K84" s="59"/>
      <x:c r="L84" s="59"/>
      <x:c r="M84" s="59"/>
      <x:c r="N84" s="59"/>
      <x:c r="O84" s="59"/>
    </x:row>
    <x:row r="85">
      <x:c r="A85" s="59"/>
      <x:c r="B85" s="59"/>
      <x:c r="C85" s="59"/>
      <x:c r="D85" s="59"/>
      <x:c r="E85" s="59"/>
      <x:c r="F85" s="59"/>
      <x:c r="G85" s="59"/>
      <x:c r="H85" s="59"/>
      <x:c r="I85" s="59"/>
      <x:c r="J85" s="59"/>
      <x:c r="K85" s="59"/>
      <x:c r="L85" s="59"/>
      <x:c r="M85" s="59"/>
      <x:c r="N85" s="59"/>
      <x:c r="O85" s="59"/>
    </x:row>
    <x:row r="86">
      <x:c r="A86" s="59"/>
      <x:c r="B86" s="59"/>
      <x:c r="C86" s="59"/>
      <x:c r="D86" s="59"/>
      <x:c r="E86" s="59"/>
      <x:c r="F86" s="59"/>
      <x:c r="G86" s="59"/>
      <x:c r="H86" s="59"/>
      <x:c r="I86" s="59"/>
      <x:c r="J86" s="59"/>
      <x:c r="K86" s="59"/>
      <x:c r="L86" s="59"/>
      <x:c r="M86" s="59"/>
      <x:c r="N86" s="59"/>
      <x:c r="O86" s="59"/>
    </x:row>
    <x:row r="87">
      <x:c r="A87" s="59"/>
      <x:c r="B87" s="59"/>
      <x:c r="C87" s="59"/>
      <x:c r="D87" s="59"/>
      <x:c r="E87" s="59"/>
      <x:c r="F87" s="59"/>
      <x:c r="G87" s="59"/>
      <x:c r="H87" s="59"/>
      <x:c r="I87" s="59"/>
      <x:c r="J87" s="59"/>
      <x:c r="K87" s="59"/>
      <x:c r="L87" s="59"/>
      <x:c r="M87" s="59"/>
      <x:c r="N87" s="59"/>
      <x:c r="O87" s="59"/>
    </x:row>
    <x:row r="88">
      <x:c r="A88" s="59"/>
      <x:c r="B88" s="59"/>
      <x:c r="C88" s="59"/>
      <x:c r="D88" s="59"/>
      <x:c r="E88" s="59"/>
      <x:c r="F88" s="59"/>
      <x:c r="G88" s="59"/>
      <x:c r="H88" s="59"/>
      <x:c r="I88" s="59"/>
      <x:c r="J88" s="59"/>
      <x:c r="K88" s="59"/>
      <x:c r="L88" s="59"/>
      <x:c r="M88" s="59"/>
      <x:c r="N88" s="59"/>
      <x:c r="O88" s="59"/>
    </x:row>
    <x:row r="89">
      <x:c r="A89" s="59"/>
      <x:c r="B89" s="59"/>
      <x:c r="C89" s="59"/>
      <x:c r="D89" s="59"/>
      <x:c r="E89" s="59"/>
      <x:c r="F89" s="59"/>
      <x:c r="G89" s="59"/>
      <x:c r="H89" s="59"/>
      <x:c r="I89" s="59"/>
      <x:c r="J89" s="59"/>
      <x:c r="K89" s="59"/>
      <x:c r="L89" s="59"/>
      <x:c r="M89" s="59"/>
      <x:c r="N89" s="59"/>
      <x:c r="O89" s="59"/>
    </x:row>
    <x:row r="90">
      <x:c r="A90" s="59"/>
      <x:c r="B90" s="59"/>
      <x:c r="C90" s="59"/>
      <x:c r="D90" s="59"/>
      <x:c r="E90" s="59"/>
      <x:c r="F90" s="59"/>
      <x:c r="G90" s="59"/>
      <x:c r="H90" s="59"/>
      <x:c r="I90" s="59"/>
      <x:c r="J90" s="59"/>
      <x:c r="K90" s="59"/>
      <x:c r="L90" s="59"/>
      <x:c r="M90" s="59"/>
      <x:c r="N90" s="59"/>
      <x:c r="O90" s="59"/>
    </x:row>
    <x:row r="91">
      <x:c r="A91" s="59"/>
      <x:c r="B91" s="59"/>
      <x:c r="C91" s="59"/>
      <x:c r="D91" s="59"/>
      <x:c r="E91" s="59"/>
      <x:c r="F91" s="59"/>
      <x:c r="G91" s="59"/>
      <x:c r="H91" s="59"/>
      <x:c r="I91" s="59"/>
      <x:c r="J91" s="59"/>
      <x:c r="K91" s="59"/>
      <x:c r="L91" s="59"/>
      <x:c r="M91" s="59"/>
      <x:c r="N91" s="59"/>
      <x:c r="O91" s="59"/>
    </x:row>
    <x:row r="92">
      <x:c r="A92" s="59"/>
      <x:c r="B92" s="59"/>
      <x:c r="C92" s="59"/>
      <x:c r="D92" s="59"/>
      <x:c r="E92" s="59"/>
      <x:c r="F92" s="59"/>
      <x:c r="G92" s="59"/>
      <x:c r="H92" s="59"/>
      <x:c r="I92" s="59"/>
      <x:c r="J92" s="59"/>
      <x:c r="K92" s="59"/>
      <x:c r="L92" s="59"/>
      <x:c r="M92" s="59"/>
      <x:c r="N92" s="59"/>
      <x:c r="O92" s="59"/>
    </x:row>
    <x:row r="93">
      <x:c r="A93" s="59"/>
      <x:c r="B93" s="59"/>
      <x:c r="C93" s="59"/>
      <x:c r="D93" s="59"/>
      <x:c r="E93" s="59"/>
      <x:c r="F93" s="59"/>
      <x:c r="G93" s="59"/>
      <x:c r="H93" s="59"/>
      <x:c r="I93" s="59"/>
      <x:c r="J93" s="59"/>
      <x:c r="K93" s="59"/>
      <x:c r="L93" s="59"/>
      <x:c r="M93" s="59"/>
      <x:c r="N93" s="59"/>
      <x:c r="O93" s="59"/>
    </x:row>
    <x:row r="94">
      <x:c r="A94" s="59"/>
      <x:c r="B94" s="59"/>
      <x:c r="C94" s="59"/>
      <x:c r="D94" s="59"/>
      <x:c r="E94" s="59"/>
      <x:c r="F94" s="59"/>
      <x:c r="G94" s="59"/>
      <x:c r="H94" s="59"/>
      <x:c r="I94" s="59"/>
      <x:c r="J94" s="59"/>
      <x:c r="K94" s="59"/>
      <x:c r="L94" s="59"/>
      <x:c r="M94" s="59"/>
      <x:c r="N94" s="59"/>
      <x:c r="O94" s="59"/>
    </x:row>
    <x:row r="95">
      <x:c r="A95" s="59"/>
      <x:c r="B95" s="59"/>
      <x:c r="C95" s="59"/>
      <x:c r="D95" s="59"/>
      <x:c r="E95" s="59"/>
      <x:c r="F95" s="59"/>
      <x:c r="G95" s="59"/>
      <x:c r="H95" s="59"/>
      <x:c r="I95" s="59"/>
      <x:c r="J95" s="59"/>
      <x:c r="K95" s="59"/>
      <x:c r="L95" s="59"/>
      <x:c r="M95" s="59"/>
      <x:c r="N95" s="59"/>
      <x:c r="O95" s="59"/>
    </x:row>
    <x:row r="96">
      <x:c r="A96" s="59"/>
      <x:c r="B96" s="59"/>
      <x:c r="C96" s="59"/>
      <x:c r="D96" s="59"/>
      <x:c r="E96" s="59"/>
      <x:c r="F96" s="59"/>
      <x:c r="G96" s="59"/>
      <x:c r="H96" s="59"/>
      <x:c r="I96" s="59"/>
      <x:c r="J96" s="59"/>
      <x:c r="K96" s="59"/>
      <x:c r="L96" s="59"/>
      <x:c r="M96" s="59"/>
      <x:c r="N96" s="59"/>
      <x:c r="O96" s="59"/>
    </x:row>
    <x:row r="97">
      <x:c r="A97" s="59"/>
      <x:c r="B97" s="59"/>
      <x:c r="C97" s="59"/>
      <x:c r="D97" s="59"/>
      <x:c r="E97" s="59"/>
      <x:c r="F97" s="59"/>
      <x:c r="G97" s="59"/>
      <x:c r="H97" s="59"/>
      <x:c r="I97" s="59"/>
      <x:c r="J97" s="59"/>
      <x:c r="K97" s="59"/>
      <x:c r="L97" s="59"/>
      <x:c r="M97" s="59"/>
      <x:c r="N97" s="59"/>
      <x:c r="O97" s="59"/>
    </x:row>
    <x:row r="98">
      <x:c r="A98" s="59"/>
      <x:c r="B98" s="59"/>
      <x:c r="C98" s="59"/>
      <x:c r="D98" s="59"/>
      <x:c r="E98" s="59"/>
      <x:c r="F98" s="59"/>
      <x:c r="G98" s="59"/>
      <x:c r="H98" s="59"/>
      <x:c r="I98" s="59"/>
      <x:c r="J98" s="59"/>
      <x:c r="K98" s="59"/>
      <x:c r="L98" s="59"/>
      <x:c r="M98" s="59"/>
      <x:c r="N98" s="59"/>
      <x:c r="O98" s="59"/>
    </x:row>
    <x:row r="99">
      <x:c r="A99" s="59"/>
      <x:c r="B99" s="59"/>
      <x:c r="C99" s="59"/>
      <x:c r="D99" s="59"/>
      <x:c r="E99" s="59"/>
      <x:c r="F99" s="59"/>
      <x:c r="G99" s="59"/>
      <x:c r="H99" s="59"/>
      <x:c r="I99" s="59"/>
      <x:c r="J99" s="59"/>
      <x:c r="K99" s="59"/>
      <x:c r="L99" s="59"/>
      <x:c r="M99" s="59"/>
      <x:c r="N99" s="59"/>
      <x:c r="O99" s="59"/>
    </x:row>
    <x:row r="100">
      <x:c r="A100" s="59"/>
      <x:c r="B100" s="59"/>
      <x:c r="C100" s="59"/>
      <x:c r="D100" s="59"/>
      <x:c r="E100" s="59"/>
      <x:c r="F100" s="59"/>
      <x:c r="G100" s="59"/>
      <x:c r="H100" s="59"/>
      <x:c r="I100" s="59"/>
      <x:c r="J100" s="59"/>
      <x:c r="K100" s="59"/>
      <x:c r="L100" s="59"/>
      <x:c r="M100" s="59"/>
      <x:c r="N100" s="59"/>
      <x:c r="O100" s="59"/>
    </x:row>
    <x:row r="101">
      <x:c r="A101" s="59"/>
      <x:c r="B101" s="59"/>
      <x:c r="C101" s="59"/>
      <x:c r="D101" s="59"/>
      <x:c r="E101" s="59"/>
      <x:c r="F101" s="59"/>
      <x:c r="G101" s="59"/>
      <x:c r="H101" s="59"/>
      <x:c r="I101" s="59"/>
      <x:c r="J101" s="59"/>
      <x:c r="K101" s="59"/>
      <x:c r="L101" s="59"/>
      <x:c r="M101" s="59"/>
      <x:c r="N101" s="59"/>
      <x:c r="O101" s="59"/>
    </x:row>
    <x:row r="102">
      <x:c r="A102" s="59"/>
      <x:c r="B102" s="59"/>
      <x:c r="C102" s="59"/>
      <x:c r="D102" s="59"/>
      <x:c r="E102" s="59"/>
      <x:c r="F102" s="59"/>
      <x:c r="G102" s="59"/>
      <x:c r="H102" s="59"/>
      <x:c r="I102" s="59"/>
      <x:c r="J102" s="59"/>
      <x:c r="K102" s="59"/>
      <x:c r="L102" s="59"/>
      <x:c r="M102" s="59"/>
      <x:c r="N102" s="59"/>
      <x:c r="O102" s="59"/>
    </x:row>
    <x:row r="103">
      <x:c r="A103" s="59"/>
      <x:c r="B103" s="59"/>
      <x:c r="C103" s="59"/>
      <x:c r="D103" s="59"/>
      <x:c r="E103" s="59"/>
      <x:c r="F103" s="59"/>
      <x:c r="G103" s="59"/>
      <x:c r="H103" s="59"/>
      <x:c r="I103" s="59"/>
      <x:c r="J103" s="59"/>
      <x:c r="K103" s="59"/>
      <x:c r="L103" s="59"/>
      <x:c r="M103" s="59"/>
      <x:c r="N103" s="59"/>
      <x:c r="O103" s="59"/>
    </x:row>
    <x:row r="104">
      <x:c r="A104" s="59"/>
      <x:c r="B104" s="59"/>
      <x:c r="C104" s="59"/>
      <x:c r="D104" s="59"/>
      <x:c r="E104" s="59"/>
      <x:c r="F104" s="59"/>
      <x:c r="G104" s="59"/>
      <x:c r="H104" s="59"/>
      <x:c r="I104" s="59"/>
      <x:c r="J104" s="59"/>
      <x:c r="K104" s="59"/>
      <x:c r="L104" s="59"/>
      <x:c r="M104" s="59"/>
      <x:c r="N104" s="59"/>
      <x:c r="O104" s="59"/>
    </x:row>
    <x:row r="105">
      <x:c r="A105" s="59"/>
      <x:c r="B105" s="59"/>
      <x:c r="C105" s="59"/>
      <x:c r="D105" s="59"/>
      <x:c r="E105" s="59"/>
      <x:c r="F105" s="59"/>
      <x:c r="G105" s="59"/>
      <x:c r="H105" s="59"/>
      <x:c r="I105" s="59"/>
      <x:c r="J105" s="59"/>
      <x:c r="K105" s="59"/>
      <x:c r="L105" s="59"/>
      <x:c r="M105" s="59"/>
      <x:c r="N105" s="59"/>
      <x:c r="O105" s="59"/>
    </x:row>
    <x:row r="106">
      <x:c r="A106" s="59"/>
      <x:c r="B106" s="59"/>
      <x:c r="C106" s="59"/>
      <x:c r="D106" s="59"/>
      <x:c r="E106" s="59"/>
      <x:c r="F106" s="59"/>
      <x:c r="G106" s="59"/>
      <x:c r="H106" s="59"/>
      <x:c r="I106" s="59"/>
      <x:c r="J106" s="59"/>
      <x:c r="K106" s="59"/>
      <x:c r="L106" s="59"/>
      <x:c r="M106" s="59"/>
      <x:c r="N106" s="59"/>
      <x:c r="O106" s="59"/>
    </x:row>
    <x:row r="107">
      <x:c r="A107" s="59"/>
      <x:c r="B107" s="59"/>
      <x:c r="C107" s="59"/>
      <x:c r="D107" s="59"/>
      <x:c r="E107" s="59"/>
      <x:c r="F107" s="59"/>
      <x:c r="G107" s="59"/>
      <x:c r="H107" s="59"/>
      <x:c r="I107" s="59"/>
      <x:c r="J107" s="59"/>
      <x:c r="K107" s="59"/>
      <x:c r="L107" s="59"/>
      <x:c r="M107" s="59"/>
      <x:c r="N107" s="59"/>
      <x:c r="O107" s="59"/>
    </x:row>
    <x:row r="108">
      <x:c r="A108" s="59"/>
      <x:c r="B108" s="59"/>
      <x:c r="C108" s="59"/>
      <x:c r="D108" s="59"/>
      <x:c r="E108" s="59"/>
      <x:c r="F108" s="59"/>
      <x:c r="G108" s="59"/>
      <x:c r="H108" s="59"/>
      <x:c r="I108" s="59"/>
      <x:c r="J108" s="59"/>
      <x:c r="K108" s="59"/>
      <x:c r="L108" s="59"/>
      <x:c r="M108" s="59"/>
      <x:c r="N108" s="59"/>
      <x:c r="O108" s="59"/>
    </x:row>
    <x:row r="109">
      <x:c r="A109" s="59"/>
      <x:c r="B109" s="59"/>
      <x:c r="C109" s="59"/>
      <x:c r="D109" s="59"/>
      <x:c r="E109" s="59"/>
      <x:c r="F109" s="59"/>
      <x:c r="G109" s="59"/>
      <x:c r="H109" s="59"/>
      <x:c r="I109" s="59"/>
      <x:c r="J109" s="59"/>
      <x:c r="K109" s="59"/>
      <x:c r="L109" s="59"/>
      <x:c r="M109" s="59"/>
      <x:c r="N109" s="59"/>
      <x:c r="O109" s="59"/>
    </x:row>
    <x:row r="110">
      <x:c r="A110" s="59"/>
      <x:c r="B110" s="59"/>
      <x:c r="C110" s="59"/>
      <x:c r="D110" s="59"/>
      <x:c r="E110" s="59"/>
      <x:c r="F110" s="59"/>
      <x:c r="G110" s="59"/>
      <x:c r="H110" s="59"/>
      <x:c r="I110" s="59"/>
      <x:c r="J110" s="59"/>
      <x:c r="K110" s="59"/>
      <x:c r="L110" s="59"/>
      <x:c r="M110" s="59"/>
      <x:c r="N110" s="59"/>
      <x:c r="O110" s="59"/>
    </x:row>
    <x:row r="111">
      <x:c r="A111" s="59"/>
      <x:c r="B111" s="59"/>
      <x:c r="C111" s="59"/>
      <x:c r="D111" s="59"/>
      <x:c r="E111" s="59"/>
      <x:c r="F111" s="59"/>
      <x:c r="G111" s="59"/>
      <x:c r="H111" s="59"/>
      <x:c r="I111" s="59"/>
      <x:c r="J111" s="59"/>
      <x:c r="K111" s="59"/>
      <x:c r="L111" s="59"/>
      <x:c r="M111" s="59"/>
      <x:c r="N111" s="59"/>
      <x:c r="O111" s="59"/>
    </x:row>
    <x:row r="112">
      <x:c r="A112" s="59"/>
      <x:c r="B112" s="59"/>
      <x:c r="C112" s="59"/>
      <x:c r="D112" s="59"/>
      <x:c r="E112" s="59"/>
      <x:c r="F112" s="59"/>
      <x:c r="G112" s="59"/>
      <x:c r="H112" s="59"/>
      <x:c r="I112" s="59"/>
      <x:c r="J112" s="59"/>
      <x:c r="K112" s="59"/>
      <x:c r="L112" s="59"/>
      <x:c r="M112" s="59"/>
      <x:c r="N112" s="59"/>
      <x:c r="O112" s="59"/>
    </x:row>
    <x:row r="113">
      <x:c r="A113" s="59"/>
      <x:c r="B113" s="59"/>
      <x:c r="C113" s="59"/>
      <x:c r="D113" s="59"/>
      <x:c r="E113" s="59"/>
      <x:c r="F113" s="59"/>
      <x:c r="G113" s="59"/>
      <x:c r="H113" s="59"/>
      <x:c r="I113" s="59"/>
      <x:c r="J113" s="59"/>
      <x:c r="K113" s="59"/>
      <x:c r="L113" s="59"/>
      <x:c r="M113" s="59"/>
      <x:c r="N113" s="59"/>
      <x:c r="O113" s="59"/>
    </x:row>
    <x:row r="114">
      <x:c r="A114" s="59"/>
      <x:c r="B114" s="59"/>
      <x:c r="C114" s="59"/>
      <x:c r="D114" s="59"/>
      <x:c r="E114" s="59"/>
      <x:c r="F114" s="59"/>
      <x:c r="G114" s="59"/>
      <x:c r="H114" s="59"/>
      <x:c r="I114" s="59"/>
      <x:c r="J114" s="59"/>
      <x:c r="K114" s="59"/>
      <x:c r="L114" s="59"/>
      <x:c r="M114" s="59"/>
      <x:c r="N114" s="59"/>
      <x:c r="O114" s="59"/>
    </x:row>
    <x:row r="115">
      <x:c r="A115" s="59"/>
      <x:c r="B115" s="59"/>
      <x:c r="C115" s="59"/>
      <x:c r="D115" s="59"/>
      <x:c r="E115" s="59"/>
      <x:c r="F115" s="59"/>
      <x:c r="G115" s="59"/>
      <x:c r="H115" s="59"/>
      <x:c r="I115" s="59"/>
      <x:c r="J115" s="59"/>
      <x:c r="K115" s="59"/>
      <x:c r="L115" s="59"/>
      <x:c r="M115" s="59"/>
      <x:c r="N115" s="59"/>
      <x:c r="O115" s="59"/>
    </x:row>
    <x:row r="116">
      <x:c r="A116" s="59"/>
      <x:c r="B116" s="59"/>
      <x:c r="C116" s="59"/>
      <x:c r="D116" s="59"/>
      <x:c r="E116" s="59"/>
      <x:c r="F116" s="59"/>
      <x:c r="G116" s="59"/>
      <x:c r="H116" s="59"/>
      <x:c r="I116" s="59"/>
      <x:c r="J116" s="59"/>
      <x:c r="K116" s="59"/>
      <x:c r="L116" s="59"/>
      <x:c r="M116" s="59"/>
      <x:c r="N116" s="59"/>
      <x:c r="O116" s="59"/>
    </x:row>
    <x:row r="117">
      <x:c r="A117" s="59"/>
      <x:c r="B117" s="59"/>
      <x:c r="C117" s="59"/>
      <x:c r="D117" s="59"/>
      <x:c r="E117" s="59"/>
      <x:c r="F117" s="59"/>
      <x:c r="G117" s="59"/>
      <x:c r="H117" s="59"/>
      <x:c r="I117" s="59"/>
      <x:c r="J117" s="59"/>
      <x:c r="K117" s="59"/>
      <x:c r="L117" s="59"/>
      <x:c r="M117" s="59"/>
      <x:c r="N117" s="59"/>
      <x:c r="O117" s="59"/>
    </x:row>
    <x:row r="118">
      <x:c r="A118" s="59"/>
      <x:c r="B118" s="59"/>
      <x:c r="C118" s="59"/>
      <x:c r="D118" s="59"/>
      <x:c r="E118" s="59"/>
      <x:c r="F118" s="59"/>
      <x:c r="G118" s="59"/>
      <x:c r="H118" s="59"/>
      <x:c r="I118" s="59"/>
      <x:c r="J118" s="59"/>
      <x:c r="K118" s="59"/>
      <x:c r="L118" s="59"/>
      <x:c r="M118" s="59"/>
      <x:c r="N118" s="59"/>
      <x:c r="O118" s="59"/>
    </x:row>
    <x:row r="119">
      <x:c r="A119" s="59"/>
      <x:c r="B119" s="59"/>
      <x:c r="C119" s="59"/>
      <x:c r="D119" s="59"/>
      <x:c r="E119" s="59"/>
      <x:c r="F119" s="59"/>
      <x:c r="G119" s="59"/>
      <x:c r="H119" s="59"/>
      <x:c r="I119" s="59"/>
      <x:c r="J119" s="59"/>
      <x:c r="K119" s="59"/>
      <x:c r="L119" s="59"/>
      <x:c r="M119" s="59"/>
      <x:c r="N119" s="59"/>
      <x:c r="O119" s="59"/>
    </x:row>
    <x:row r="120">
      <x:c r="A120" s="59"/>
      <x:c r="B120" s="59"/>
      <x:c r="C120" s="59"/>
      <x:c r="D120" s="59"/>
      <x:c r="E120" s="59"/>
      <x:c r="F120" s="59"/>
      <x:c r="G120" s="59"/>
      <x:c r="H120" s="59"/>
      <x:c r="I120" s="59"/>
      <x:c r="J120" s="59"/>
      <x:c r="K120" s="59"/>
      <x:c r="L120" s="59"/>
      <x:c r="M120" s="59"/>
      <x:c r="N120" s="59"/>
      <x:c r="O120" s="59"/>
    </x:row>
    <x:row r="121">
      <x:c r="A121" s="59"/>
      <x:c r="B121" s="59"/>
      <x:c r="C121" s="59"/>
      <x:c r="D121" s="59"/>
      <x:c r="E121" s="59"/>
      <x:c r="F121" s="59"/>
      <x:c r="G121" s="59"/>
      <x:c r="H121" s="59"/>
      <x:c r="I121" s="59"/>
      <x:c r="J121" s="59"/>
      <x:c r="K121" s="59"/>
      <x:c r="L121" s="59"/>
      <x:c r="M121" s="59"/>
      <x:c r="N121" s="59"/>
      <x:c r="O121" s="59"/>
    </x:row>
    <x:row r="122">
      <x:c r="A122" s="59"/>
      <x:c r="B122" s="59"/>
      <x:c r="C122" s="59"/>
      <x:c r="D122" s="59"/>
      <x:c r="E122" s="59"/>
      <x:c r="F122" s="59"/>
      <x:c r="G122" s="59"/>
      <x:c r="H122" s="59"/>
      <x:c r="I122" s="59"/>
      <x:c r="J122" s="59"/>
      <x:c r="K122" s="59"/>
      <x:c r="L122" s="59"/>
      <x:c r="M122" s="59"/>
      <x:c r="N122" s="59"/>
      <x:c r="O122" s="59"/>
    </x:row>
    <x:row r="123">
      <x:c r="A123" s="59"/>
      <x:c r="B123" s="59"/>
      <x:c r="C123" s="59"/>
      <x:c r="D123" s="59"/>
      <x:c r="E123" s="59"/>
      <x:c r="F123" s="59"/>
      <x:c r="G123" s="59"/>
      <x:c r="H123" s="59"/>
      <x:c r="I123" s="59"/>
      <x:c r="J123" s="59"/>
      <x:c r="K123" s="59"/>
      <x:c r="L123" s="59"/>
      <x:c r="M123" s="59"/>
      <x:c r="N123" s="59"/>
      <x:c r="O123" s="59"/>
    </x:row>
    <x:row r="124">
      <x:c r="A124" s="59"/>
      <x:c r="B124" s="59"/>
      <x:c r="C124" s="59"/>
      <x:c r="D124" s="59"/>
      <x:c r="E124" s="59"/>
      <x:c r="F124" s="59"/>
      <x:c r="G124" s="59"/>
      <x:c r="H124" s="59"/>
      <x:c r="I124" s="59"/>
      <x:c r="J124" s="59"/>
      <x:c r="K124" s="59"/>
      <x:c r="L124" s="59"/>
      <x:c r="M124" s="59"/>
      <x:c r="N124" s="59"/>
      <x:c r="O124" s="59"/>
    </x:row>
    <x:row r="125">
      <x:c r="A125" s="59"/>
      <x:c r="B125" s="59"/>
      <x:c r="C125" s="59"/>
      <x:c r="D125" s="59"/>
      <x:c r="E125" s="59"/>
      <x:c r="F125" s="59"/>
      <x:c r="G125" s="59"/>
      <x:c r="H125" s="59"/>
      <x:c r="I125" s="59"/>
      <x:c r="J125" s="59"/>
      <x:c r="K125" s="59"/>
      <x:c r="L125" s="59"/>
      <x:c r="M125" s="59"/>
      <x:c r="N125" s="59"/>
      <x:c r="O125" s="59"/>
    </x:row>
    <x:row r="126">
      <x:c r="A126" s="59"/>
      <x:c r="B126" s="59"/>
      <x:c r="C126" s="59"/>
      <x:c r="D126" s="59"/>
      <x:c r="E126" s="59"/>
      <x:c r="F126" s="59"/>
      <x:c r="G126" s="59"/>
      <x:c r="H126" s="59"/>
      <x:c r="I126" s="59"/>
      <x:c r="J126" s="59"/>
      <x:c r="K126" s="59"/>
      <x:c r="L126" s="59"/>
      <x:c r="M126" s="59"/>
      <x:c r="N126" s="59"/>
      <x:c r="O126" s="59"/>
    </x:row>
    <x:row r="127">
      <x:c r="A127" s="59"/>
      <x:c r="B127" s="59"/>
      <x:c r="C127" s="59"/>
      <x:c r="D127" s="59"/>
      <x:c r="E127" s="59"/>
      <x:c r="F127" s="59"/>
      <x:c r="G127" s="59"/>
      <x:c r="H127" s="59"/>
      <x:c r="I127" s="59"/>
      <x:c r="J127" s="59"/>
      <x:c r="K127" s="59"/>
      <x:c r="L127" s="59"/>
      <x:c r="M127" s="59"/>
      <x:c r="N127" s="59"/>
      <x:c r="O127" s="59"/>
    </x:row>
    <x:row r="128">
      <x:c r="A128" s="59"/>
      <x:c r="B128" s="59"/>
      <x:c r="C128" s="59"/>
      <x:c r="D128" s="59"/>
      <x:c r="E128" s="59"/>
      <x:c r="F128" s="59"/>
      <x:c r="G128" s="59"/>
      <x:c r="H128" s="59"/>
      <x:c r="I128" s="59"/>
      <x:c r="J128" s="59"/>
      <x:c r="K128" s="59"/>
      <x:c r="L128" s="59"/>
      <x:c r="M128" s="59"/>
      <x:c r="N128" s="59"/>
      <x:c r="O128" s="59"/>
    </x:row>
    <x:row r="129">
      <x:c r="A129" s="59"/>
      <x:c r="B129" s="59"/>
      <x:c r="C129" s="59"/>
      <x:c r="D129" s="59"/>
      <x:c r="E129" s="59"/>
      <x:c r="F129" s="59"/>
      <x:c r="G129" s="59"/>
      <x:c r="H129" s="59"/>
      <x:c r="I129" s="59"/>
      <x:c r="J129" s="59"/>
      <x:c r="K129" s="59"/>
      <x:c r="L129" s="59"/>
      <x:c r="M129" s="59"/>
      <x:c r="N129" s="59"/>
      <x:c r="O129" s="59"/>
    </x:row>
    <x:row r="130">
      <x:c r="A130" s="59"/>
      <x:c r="B130" s="59"/>
      <x:c r="C130" s="59"/>
      <x:c r="D130" s="59"/>
      <x:c r="E130" s="59"/>
      <x:c r="F130" s="59"/>
      <x:c r="G130" s="59"/>
      <x:c r="H130" s="59"/>
      <x:c r="I130" s="59"/>
      <x:c r="J130" s="59"/>
      <x:c r="K130" s="59"/>
      <x:c r="L130" s="59"/>
      <x:c r="M130" s="59"/>
      <x:c r="N130" s="59"/>
      <x:c r="O130" s="59"/>
    </x:row>
    <x:row r="131">
      <x:c r="A131" s="59"/>
      <x:c r="B131" s="59"/>
      <x:c r="C131" s="59"/>
      <x:c r="D131" s="59"/>
      <x:c r="E131" s="59"/>
      <x:c r="F131" s="59"/>
      <x:c r="G131" s="59"/>
      <x:c r="H131" s="59"/>
      <x:c r="I131" s="59"/>
      <x:c r="J131" s="59"/>
      <x:c r="K131" s="59"/>
      <x:c r="L131" s="59"/>
      <x:c r="M131" s="59"/>
      <x:c r="N131" s="59"/>
      <x:c r="O131" s="59"/>
    </x:row>
    <x:row r="132">
      <x:c r="A132" s="59"/>
      <x:c r="B132" s="59"/>
      <x:c r="C132" s="59"/>
      <x:c r="D132" s="59"/>
      <x:c r="E132" s="59"/>
      <x:c r="F132" s="59"/>
      <x:c r="G132" s="59"/>
      <x:c r="H132" s="59"/>
      <x:c r="I132" s="59"/>
      <x:c r="J132" s="59"/>
      <x:c r="K132" s="59"/>
      <x:c r="L132" s="59"/>
      <x:c r="M132" s="59"/>
      <x:c r="N132" s="59"/>
      <x:c r="O132" s="59"/>
    </x:row>
    <x:row r="133">
      <x:c r="A133" s="59"/>
      <x:c r="B133" s="59"/>
      <x:c r="C133" s="59"/>
      <x:c r="D133" s="59"/>
      <x:c r="E133" s="59"/>
      <x:c r="F133" s="59"/>
      <x:c r="G133" s="59"/>
      <x:c r="H133" s="59"/>
      <x:c r="I133" s="59"/>
      <x:c r="J133" s="59"/>
      <x:c r="K133" s="59"/>
      <x:c r="L133" s="59"/>
      <x:c r="M133" s="59"/>
      <x:c r="N133" s="59"/>
      <x:c r="O133" s="59"/>
    </x:row>
    <x:row r="134">
      <x:c r="A134" s="59"/>
      <x:c r="B134" s="59"/>
      <x:c r="C134" s="59"/>
      <x:c r="D134" s="59"/>
      <x:c r="E134" s="59"/>
      <x:c r="F134" s="59"/>
      <x:c r="G134" s="59"/>
      <x:c r="H134" s="59"/>
      <x:c r="I134" s="59"/>
      <x:c r="J134" s="59"/>
      <x:c r="K134" s="59"/>
      <x:c r="L134" s="59"/>
      <x:c r="M134" s="59"/>
      <x:c r="N134" s="59"/>
      <x:c r="O134" s="59"/>
    </x:row>
    <x:row r="135">
      <x:c r="A135" s="59"/>
      <x:c r="B135" s="59"/>
      <x:c r="C135" s="59"/>
      <x:c r="D135" s="59"/>
      <x:c r="E135" s="59"/>
      <x:c r="F135" s="59"/>
      <x:c r="G135" s="59"/>
      <x:c r="H135" s="59"/>
      <x:c r="I135" s="59"/>
      <x:c r="J135" s="59"/>
      <x:c r="K135" s="59"/>
      <x:c r="L135" s="59"/>
      <x:c r="M135" s="59"/>
      <x:c r="N135" s="59"/>
      <x:c r="O135" s="59"/>
    </x:row>
    <x:row r="136">
      <x:c r="A136" s="59"/>
      <x:c r="B136" s="59"/>
      <x:c r="C136" s="59"/>
      <x:c r="D136" s="59"/>
      <x:c r="E136" s="59"/>
      <x:c r="F136" s="59"/>
      <x:c r="G136" s="59"/>
      <x:c r="H136" s="59"/>
      <x:c r="I136" s="59"/>
      <x:c r="J136" s="59"/>
      <x:c r="K136" s="59"/>
      <x:c r="L136" s="59"/>
      <x:c r="M136" s="59"/>
      <x:c r="N136" s="59"/>
      <x:c r="O136" s="59"/>
    </x:row>
    <x:row r="137">
      <x:c r="A137" s="59"/>
      <x:c r="B137" s="59"/>
      <x:c r="C137" s="59"/>
      <x:c r="D137" s="59"/>
      <x:c r="E137" s="59"/>
      <x:c r="F137" s="59"/>
      <x:c r="G137" s="59"/>
      <x:c r="H137" s="59"/>
      <x:c r="I137" s="59"/>
      <x:c r="J137" s="59"/>
      <x:c r="K137" s="59"/>
      <x:c r="L137" s="59"/>
      <x:c r="M137" s="59"/>
      <x:c r="N137" s="59"/>
      <x:c r="O137" s="59"/>
    </x:row>
    <x:row r="138">
      <x:c r="A138" s="59"/>
      <x:c r="B138" s="59"/>
      <x:c r="C138" s="59"/>
      <x:c r="D138" s="59"/>
      <x:c r="E138" s="59"/>
      <x:c r="F138" s="59"/>
      <x:c r="G138" s="59"/>
      <x:c r="H138" s="59"/>
      <x:c r="I138" s="59"/>
      <x:c r="J138" s="59"/>
      <x:c r="K138" s="59"/>
      <x:c r="L138" s="59"/>
      <x:c r="M138" s="59"/>
      <x:c r="N138" s="59"/>
      <x:c r="O138" s="59"/>
    </x:row>
    <x:row r="139">
      <x:c r="A139" s="59"/>
      <x:c r="B139" s="59"/>
      <x:c r="C139" s="59"/>
      <x:c r="D139" s="59"/>
      <x:c r="E139" s="59"/>
      <x:c r="F139" s="59"/>
      <x:c r="G139" s="59"/>
      <x:c r="H139" s="59"/>
      <x:c r="I139" s="59"/>
      <x:c r="J139" s="59"/>
      <x:c r="K139" s="59"/>
      <x:c r="L139" s="59"/>
      <x:c r="M139" s="59"/>
      <x:c r="N139" s="59"/>
      <x:c r="O139" s="59"/>
    </x:row>
    <x:row r="140">
      <x:c r="A140" s="59"/>
      <x:c r="B140" s="59"/>
      <x:c r="C140" s="59"/>
      <x:c r="D140" s="59"/>
      <x:c r="E140" s="59"/>
      <x:c r="F140" s="59"/>
      <x:c r="G140" s="59"/>
      <x:c r="H140" s="59"/>
      <x:c r="I140" s="59"/>
      <x:c r="J140" s="59"/>
      <x:c r="K140" s="59"/>
      <x:c r="L140" s="59"/>
      <x:c r="M140" s="59"/>
      <x:c r="N140" s="59"/>
      <x:c r="O140" s="59"/>
    </x:row>
    <x:row r="141">
      <x:c r="A141" s="59"/>
      <x:c r="B141" s="59"/>
      <x:c r="C141" s="59"/>
      <x:c r="D141" s="59"/>
      <x:c r="E141" s="59"/>
      <x:c r="F141" s="59"/>
      <x:c r="G141" s="59"/>
      <x:c r="H141" s="59"/>
      <x:c r="I141" s="59"/>
      <x:c r="J141" s="59"/>
      <x:c r="K141" s="59"/>
      <x:c r="L141" s="59"/>
      <x:c r="M141" s="59"/>
      <x:c r="N141" s="59"/>
      <x:c r="O141" s="59"/>
    </x:row>
    <x:row r="142">
      <x:c r="A142" s="59"/>
      <x:c r="B142" s="59"/>
      <x:c r="C142" s="59"/>
      <x:c r="D142" s="59"/>
      <x:c r="E142" s="59"/>
      <x:c r="F142" s="59"/>
      <x:c r="G142" s="59"/>
      <x:c r="H142" s="59"/>
      <x:c r="I142" s="59"/>
      <x:c r="J142" s="59"/>
      <x:c r="K142" s="59"/>
      <x:c r="L142" s="59"/>
      <x:c r="M142" s="59"/>
      <x:c r="N142" s="59"/>
      <x:c r="O142" s="59"/>
    </x:row>
    <x:row r="143">
      <x:c r="A143" s="59"/>
      <x:c r="B143" s="59"/>
      <x:c r="C143" s="59"/>
      <x:c r="D143" s="59"/>
      <x:c r="E143" s="59"/>
      <x:c r="F143" s="59"/>
      <x:c r="G143" s="59"/>
      <x:c r="H143" s="59"/>
      <x:c r="I143" s="59"/>
      <x:c r="J143" s="59"/>
      <x:c r="K143" s="59"/>
      <x:c r="L143" s="59"/>
      <x:c r="M143" s="59"/>
      <x:c r="N143" s="59"/>
      <x:c r="O143" s="59"/>
    </x:row>
    <x:row r="144">
      <x:c r="A144" s="59"/>
      <x:c r="B144" s="59"/>
      <x:c r="C144" s="59"/>
      <x:c r="D144" s="59"/>
      <x:c r="E144" s="59"/>
      <x:c r="F144" s="59"/>
      <x:c r="G144" s="59"/>
      <x:c r="H144" s="59"/>
      <x:c r="I144" s="59"/>
      <x:c r="J144" s="59"/>
      <x:c r="K144" s="59"/>
      <x:c r="L144" s="59"/>
      <x:c r="M144" s="59"/>
      <x:c r="N144" s="59"/>
      <x:c r="O144" s="59"/>
    </x:row>
    <x:row r="145">
      <x:c r="A145" s="59"/>
      <x:c r="B145" s="59"/>
      <x:c r="C145" s="59"/>
      <x:c r="D145" s="59"/>
      <x:c r="E145" s="59"/>
      <x:c r="F145" s="59"/>
      <x:c r="G145" s="59"/>
      <x:c r="H145" s="59"/>
      <x:c r="I145" s="59"/>
      <x:c r="J145" s="59"/>
      <x:c r="K145" s="59"/>
      <x:c r="L145" s="59"/>
      <x:c r="M145" s="59"/>
      <x:c r="N145" s="59"/>
      <x:c r="O145" s="59"/>
    </x:row>
    <x:row r="146">
      <x:c r="A146" s="59"/>
      <x:c r="B146" s="59"/>
      <x:c r="C146" s="59"/>
      <x:c r="D146" s="59"/>
      <x:c r="E146" s="59"/>
      <x:c r="F146" s="59"/>
      <x:c r="G146" s="59"/>
      <x:c r="H146" s="59"/>
      <x:c r="I146" s="59"/>
      <x:c r="J146" s="59"/>
      <x:c r="K146" s="59"/>
      <x:c r="L146" s="59"/>
      <x:c r="M146" s="59"/>
      <x:c r="N146" s="59"/>
      <x:c r="O146" s="59"/>
    </x:row>
    <x:row r="147">
      <x:c r="A147" s="59"/>
      <x:c r="B147" s="59"/>
      <x:c r="C147" s="59"/>
      <x:c r="D147" s="59"/>
      <x:c r="E147" s="59"/>
      <x:c r="F147" s="59"/>
      <x:c r="G147" s="59"/>
      <x:c r="H147" s="59"/>
      <x:c r="I147" s="59"/>
      <x:c r="J147" s="59"/>
      <x:c r="K147" s="59"/>
      <x:c r="L147" s="59"/>
      <x:c r="M147" s="59"/>
      <x:c r="N147" s="59"/>
      <x:c r="O147" s="59"/>
    </x:row>
    <x:row r="148">
      <x:c r="A148" s="59"/>
      <x:c r="B148" s="59"/>
      <x:c r="C148" s="59"/>
      <x:c r="D148" s="59"/>
      <x:c r="E148" s="59"/>
      <x:c r="F148" s="59"/>
      <x:c r="G148" s="59"/>
      <x:c r="H148" s="59"/>
      <x:c r="I148" s="59"/>
      <x:c r="J148" s="59"/>
      <x:c r="K148" s="59"/>
      <x:c r="L148" s="59"/>
      <x:c r="M148" s="59"/>
      <x:c r="N148" s="59"/>
      <x:c r="O148" s="59"/>
    </x:row>
    <x:row r="149">
      <x:c r="A149" s="59"/>
      <x:c r="B149" s="59"/>
      <x:c r="C149" s="59"/>
      <x:c r="D149" s="59"/>
      <x:c r="E149" s="59"/>
      <x:c r="F149" s="59"/>
      <x:c r="G149" s="59"/>
      <x:c r="H149" s="59"/>
      <x:c r="I149" s="59"/>
      <x:c r="J149" s="59"/>
      <x:c r="K149" s="59"/>
      <x:c r="L149" s="59"/>
      <x:c r="M149" s="59"/>
      <x:c r="N149" s="59"/>
      <x:c r="O149" s="59"/>
    </x:row>
    <x:row r="150">
      <x:c r="A150" s="59"/>
      <x:c r="B150" s="59"/>
      <x:c r="C150" s="59"/>
      <x:c r="D150" s="59"/>
      <x:c r="E150" s="59"/>
      <x:c r="F150" s="59"/>
      <x:c r="G150" s="59"/>
      <x:c r="H150" s="59"/>
      <x:c r="I150" s="59"/>
      <x:c r="J150" s="59"/>
      <x:c r="K150" s="59"/>
      <x:c r="L150" s="59"/>
      <x:c r="M150" s="59"/>
      <x:c r="N150" s="59"/>
      <x:c r="O150" s="59"/>
    </x:row>
    <x:row r="151">
      <x:c r="A151" s="59"/>
      <x:c r="B151" s="59"/>
      <x:c r="C151" s="59"/>
      <x:c r="D151" s="59"/>
      <x:c r="E151" s="59"/>
      <x:c r="F151" s="59"/>
      <x:c r="G151" s="59"/>
      <x:c r="H151" s="59"/>
      <x:c r="I151" s="59"/>
      <x:c r="J151" s="59"/>
      <x:c r="K151" s="59"/>
      <x:c r="L151" s="59"/>
      <x:c r="M151" s="59"/>
      <x:c r="N151" s="59"/>
      <x:c r="O151" s="59"/>
    </x:row>
    <x:row r="152">
      <x:c r="A152" s="59"/>
      <x:c r="B152" s="59"/>
      <x:c r="C152" s="59"/>
      <x:c r="D152" s="59"/>
      <x:c r="E152" s="59"/>
      <x:c r="F152" s="59"/>
      <x:c r="G152" s="59"/>
      <x:c r="H152" s="59"/>
      <x:c r="I152" s="59"/>
      <x:c r="J152" s="59"/>
      <x:c r="K152" s="59"/>
      <x:c r="L152" s="59"/>
      <x:c r="M152" s="59"/>
      <x:c r="N152" s="59"/>
      <x:c r="O152" s="59"/>
    </x:row>
    <x:row r="153">
      <x:c r="A153" s="59"/>
      <x:c r="B153" s="59"/>
      <x:c r="C153" s="59"/>
      <x:c r="D153" s="59"/>
      <x:c r="E153" s="59"/>
      <x:c r="F153" s="59"/>
      <x:c r="G153" s="59"/>
      <x:c r="H153" s="59"/>
      <x:c r="I153" s="59"/>
      <x:c r="J153" s="59"/>
      <x:c r="K153" s="59"/>
      <x:c r="L153" s="59"/>
      <x:c r="M153" s="59"/>
      <x:c r="N153" s="59"/>
      <x:c r="O153" s="59"/>
    </x:row>
    <x:row r="154">
      <x:c r="A154" s="59"/>
      <x:c r="B154" s="59"/>
      <x:c r="C154" s="59"/>
      <x:c r="D154" s="59"/>
      <x:c r="E154" s="59"/>
      <x:c r="F154" s="59"/>
      <x:c r="G154" s="59"/>
      <x:c r="H154" s="59"/>
      <x:c r="I154" s="59"/>
      <x:c r="J154" s="59"/>
      <x:c r="K154" s="59"/>
      <x:c r="L154" s="59"/>
      <x:c r="M154" s="59"/>
      <x:c r="N154" s="59"/>
      <x:c r="O154" s="59"/>
    </x:row>
    <x:row r="155">
      <x:c r="A155" s="59"/>
      <x:c r="B155" s="59"/>
      <x:c r="C155" s="59"/>
      <x:c r="D155" s="59"/>
      <x:c r="E155" s="59"/>
      <x:c r="F155" s="59"/>
      <x:c r="G155" s="59"/>
      <x:c r="H155" s="59"/>
      <x:c r="I155" s="59"/>
      <x:c r="J155" s="59"/>
      <x:c r="K155" s="59"/>
      <x:c r="L155" s="59"/>
      <x:c r="M155" s="59"/>
      <x:c r="N155" s="59"/>
      <x:c r="O155" s="59"/>
    </x:row>
    <x:row r="156">
      <x:c r="A156" s="59"/>
      <x:c r="B156" s="59"/>
      <x:c r="C156" s="59"/>
      <x:c r="D156" s="59"/>
      <x:c r="E156" s="59"/>
      <x:c r="F156" s="59"/>
      <x:c r="G156" s="59"/>
      <x:c r="H156" s="59"/>
      <x:c r="I156" s="59"/>
      <x:c r="J156" s="59"/>
      <x:c r="K156" s="59"/>
      <x:c r="L156" s="59"/>
      <x:c r="M156" s="59"/>
      <x:c r="N156" s="59"/>
      <x:c r="O156" s="59"/>
    </x:row>
    <x:row r="157">
      <x:c r="A157" s="59"/>
      <x:c r="B157" s="59"/>
      <x:c r="C157" s="59"/>
      <x:c r="D157" s="59"/>
      <x:c r="E157" s="59"/>
      <x:c r="F157" s="59"/>
      <x:c r="G157" s="59"/>
      <x:c r="H157" s="59"/>
      <x:c r="I157" s="59"/>
      <x:c r="J157" s="59"/>
      <x:c r="K157" s="59"/>
      <x:c r="L157" s="59"/>
      <x:c r="M157" s="59"/>
      <x:c r="N157" s="59"/>
      <x:c r="O157" s="59"/>
    </x:row>
    <x:row r="158">
      <x:c r="A158" s="59"/>
      <x:c r="B158" s="59"/>
      <x:c r="C158" s="59"/>
      <x:c r="D158" s="59"/>
      <x:c r="E158" s="59"/>
      <x:c r="F158" s="59"/>
      <x:c r="G158" s="59"/>
      <x:c r="H158" s="59"/>
      <x:c r="I158" s="59"/>
      <x:c r="J158" s="59"/>
      <x:c r="K158" s="59"/>
      <x:c r="L158" s="59"/>
      <x:c r="M158" s="59"/>
      <x:c r="N158" s="59"/>
      <x:c r="O158" s="59"/>
    </x:row>
    <x:row r="159">
      <x:c r="A159" s="59"/>
      <x:c r="B159" s="59"/>
      <x:c r="C159" s="59"/>
      <x:c r="D159" s="59"/>
      <x:c r="E159" s="59"/>
      <x:c r="F159" s="59"/>
      <x:c r="G159" s="59"/>
      <x:c r="H159" s="59"/>
      <x:c r="I159" s="59"/>
      <x:c r="J159" s="59"/>
      <x:c r="K159" s="59"/>
      <x:c r="L159" s="59"/>
      <x:c r="M159" s="59"/>
      <x:c r="N159" s="59"/>
      <x:c r="O159" s="59"/>
    </x:row>
    <x:row r="160">
      <x:c r="A160" s="59"/>
      <x:c r="B160" s="59"/>
      <x:c r="C160" s="59"/>
      <x:c r="D160" s="59"/>
      <x:c r="E160" s="59"/>
      <x:c r="F160" s="59"/>
      <x:c r="G160" s="59"/>
      <x:c r="H160" s="59"/>
      <x:c r="I160" s="59"/>
      <x:c r="J160" s="59"/>
      <x:c r="K160" s="59"/>
      <x:c r="L160" s="59"/>
      <x:c r="M160" s="59"/>
      <x:c r="N160" s="59"/>
      <x:c r="O160" s="59"/>
    </x:row>
    <x:row r="161">
      <x:c r="A161" s="59"/>
      <x:c r="B161" s="59"/>
      <x:c r="C161" s="59"/>
      <x:c r="D161" s="59"/>
      <x:c r="E161" s="59"/>
      <x:c r="F161" s="59"/>
      <x:c r="G161" s="59"/>
      <x:c r="H161" s="59"/>
      <x:c r="I161" s="59"/>
      <x:c r="J161" s="59"/>
      <x:c r="K161" s="59"/>
      <x:c r="L161" s="59"/>
      <x:c r="M161" s="59"/>
      <x:c r="N161" s="59"/>
      <x:c r="O161" s="59"/>
    </x:row>
    <x:row r="162">
      <x:c r="A162" s="59"/>
      <x:c r="B162" s="59"/>
      <x:c r="C162" s="59"/>
      <x:c r="D162" s="59"/>
      <x:c r="E162" s="59"/>
      <x:c r="F162" s="59"/>
      <x:c r="G162" s="59"/>
      <x:c r="H162" s="59"/>
      <x:c r="I162" s="59"/>
      <x:c r="J162" s="59"/>
      <x:c r="K162" s="59"/>
      <x:c r="L162" s="59"/>
      <x:c r="M162" s="59"/>
      <x:c r="N162" s="59"/>
      <x:c r="O162" s="59"/>
    </x:row>
    <x:row r="163">
      <x:c r="A163" s="59"/>
      <x:c r="B163" s="59"/>
      <x:c r="C163" s="59"/>
      <x:c r="D163" s="59"/>
      <x:c r="E163" s="59"/>
      <x:c r="F163" s="59"/>
      <x:c r="G163" s="59"/>
      <x:c r="H163" s="59"/>
      <x:c r="I163" s="59"/>
      <x:c r="J163" s="59"/>
      <x:c r="K163" s="59"/>
      <x:c r="L163" s="59"/>
      <x:c r="M163" s="59"/>
      <x:c r="N163" s="59"/>
      <x:c r="O163" s="59"/>
    </x:row>
    <x:row r="164">
      <x:c r="A164" s="59"/>
      <x:c r="B164" s="59"/>
      <x:c r="C164" s="59"/>
      <x:c r="D164" s="59"/>
      <x:c r="E164" s="59"/>
      <x:c r="F164" s="59"/>
      <x:c r="G164" s="59"/>
      <x:c r="H164" s="59"/>
      <x:c r="I164" s="59"/>
      <x:c r="J164" s="59"/>
      <x:c r="K164" s="59"/>
      <x:c r="L164" s="59"/>
      <x:c r="M164" s="59"/>
      <x:c r="N164" s="59"/>
      <x:c r="O164" s="59"/>
    </x:row>
    <x:row r="165">
      <x:c r="A165" s="59"/>
      <x:c r="B165" s="59"/>
      <x:c r="C165" s="59"/>
      <x:c r="D165" s="59"/>
      <x:c r="E165" s="59"/>
      <x:c r="F165" s="59"/>
      <x:c r="G165" s="59"/>
      <x:c r="H165" s="59"/>
      <x:c r="I165" s="59"/>
      <x:c r="J165" s="59"/>
      <x:c r="K165" s="59"/>
      <x:c r="L165" s="59"/>
      <x:c r="M165" s="59"/>
      <x:c r="N165" s="59"/>
      <x:c r="O165" s="59"/>
    </x:row>
    <x:row r="166">
      <x:c r="A166" s="59"/>
      <x:c r="B166" s="59"/>
      <x:c r="C166" s="59"/>
      <x:c r="D166" s="59"/>
      <x:c r="E166" s="59"/>
      <x:c r="F166" s="59"/>
      <x:c r="G166" s="59"/>
      <x:c r="H166" s="59"/>
      <x:c r="I166" s="59"/>
      <x:c r="J166" s="59"/>
      <x:c r="K166" s="59"/>
      <x:c r="L166" s="59"/>
      <x:c r="M166" s="59"/>
      <x:c r="N166" s="59"/>
      <x:c r="O166" s="59"/>
    </x:row>
    <x:row r="167">
      <x:c r="A167" s="59"/>
      <x:c r="B167" s="59"/>
      <x:c r="C167" s="59"/>
      <x:c r="D167" s="59"/>
      <x:c r="E167" s="59"/>
      <x:c r="F167" s="59"/>
      <x:c r="G167" s="59"/>
      <x:c r="H167" s="59"/>
      <x:c r="I167" s="59"/>
      <x:c r="J167" s="59"/>
      <x:c r="K167" s="59"/>
      <x:c r="L167" s="59"/>
      <x:c r="M167" s="59"/>
      <x:c r="N167" s="59"/>
      <x:c r="O167" s="59"/>
    </x:row>
    <x:row r="168">
      <x:c r="A168" s="59"/>
      <x:c r="B168" s="59"/>
      <x:c r="C168" s="59"/>
      <x:c r="D168" s="59"/>
      <x:c r="E168" s="59"/>
      <x:c r="F168" s="59"/>
      <x:c r="G168" s="59"/>
      <x:c r="H168" s="59"/>
      <x:c r="I168" s="59"/>
      <x:c r="J168" s="59"/>
      <x:c r="K168" s="59"/>
      <x:c r="L168" s="59"/>
      <x:c r="M168" s="59"/>
      <x:c r="N168" s="59"/>
      <x:c r="O168" s="59"/>
    </x:row>
    <x:row r="169">
      <x:c r="A169" s="59"/>
      <x:c r="B169" s="59"/>
      <x:c r="C169" s="59"/>
      <x:c r="D169" s="59"/>
      <x:c r="E169" s="59"/>
      <x:c r="F169" s="59"/>
      <x:c r="G169" s="59"/>
      <x:c r="H169" s="59"/>
      <x:c r="I169" s="59"/>
      <x:c r="J169" s="59"/>
      <x:c r="K169" s="59"/>
      <x:c r="L169" s="59"/>
      <x:c r="M169" s="59"/>
      <x:c r="N169" s="59"/>
      <x:c r="O169" s="59"/>
    </x:row>
    <x:row r="170">
      <x:c r="A170" s="59"/>
      <x:c r="B170" s="59"/>
      <x:c r="C170" s="59"/>
      <x:c r="D170" s="59"/>
      <x:c r="E170" s="59"/>
      <x:c r="F170" s="59"/>
      <x:c r="G170" s="59"/>
      <x:c r="H170" s="59"/>
      <x:c r="I170" s="59"/>
      <x:c r="J170" s="59"/>
      <x:c r="K170" s="59"/>
      <x:c r="L170" s="59"/>
      <x:c r="M170" s="59"/>
      <x:c r="N170" s="59"/>
      <x:c r="O170" s="59"/>
    </x:row>
    <x:row r="171">
      <x:c r="A171" s="59"/>
      <x:c r="B171" s="59"/>
      <x:c r="C171" s="59"/>
      <x:c r="D171" s="59"/>
      <x:c r="E171" s="59"/>
      <x:c r="F171" s="59"/>
      <x:c r="G171" s="59"/>
      <x:c r="H171" s="59"/>
      <x:c r="I171" s="59"/>
      <x:c r="J171" s="59"/>
      <x:c r="K171" s="59"/>
      <x:c r="L171" s="59"/>
      <x:c r="M171" s="59"/>
      <x:c r="N171" s="59"/>
      <x:c r="O171" s="59"/>
    </x:row>
    <x:row r="172">
      <x:c r="A172" s="59"/>
      <x:c r="B172" s="59"/>
      <x:c r="C172" s="59"/>
      <x:c r="D172" s="59"/>
      <x:c r="E172" s="59"/>
      <x:c r="F172" s="59"/>
      <x:c r="G172" s="59"/>
      <x:c r="H172" s="59"/>
      <x:c r="I172" s="59"/>
      <x:c r="J172" s="59"/>
      <x:c r="K172" s="59"/>
      <x:c r="L172" s="59"/>
      <x:c r="M172" s="59"/>
      <x:c r="N172" s="59"/>
      <x:c r="O172" s="59"/>
    </x:row>
    <x:row r="173">
      <x:c r="A173" s="59"/>
      <x:c r="B173" s="59"/>
      <x:c r="C173" s="59"/>
      <x:c r="D173" s="59"/>
      <x:c r="E173" s="59"/>
      <x:c r="F173" s="59"/>
      <x:c r="G173" s="59"/>
      <x:c r="H173" s="59"/>
      <x:c r="I173" s="59"/>
      <x:c r="J173" s="59"/>
      <x:c r="K173" s="59"/>
      <x:c r="L173" s="59"/>
      <x:c r="M173" s="59"/>
      <x:c r="N173" s="59"/>
      <x:c r="O173" s="59"/>
    </x:row>
    <x:row r="174">
      <x:c r="A174" s="59"/>
      <x:c r="B174" s="59"/>
      <x:c r="C174" s="59"/>
      <x:c r="D174" s="59"/>
      <x:c r="E174" s="59"/>
      <x:c r="F174" s="59"/>
      <x:c r="G174" s="59"/>
      <x:c r="H174" s="59"/>
      <x:c r="I174" s="59"/>
      <x:c r="J174" s="59"/>
      <x:c r="K174" s="59"/>
      <x:c r="L174" s="59"/>
      <x:c r="M174" s="59"/>
      <x:c r="N174" s="59"/>
      <x:c r="O174" s="59"/>
    </x:row>
    <x:row r="175">
      <x:c r="A175" s="59"/>
      <x:c r="B175" s="59"/>
      <x:c r="C175" s="59"/>
      <x:c r="D175" s="59"/>
      <x:c r="E175" s="59"/>
      <x:c r="F175" s="59"/>
      <x:c r="G175" s="59"/>
      <x:c r="H175" s="59"/>
      <x:c r="I175" s="59"/>
      <x:c r="J175" s="59"/>
      <x:c r="K175" s="59"/>
      <x:c r="L175" s="59"/>
      <x:c r="M175" s="59"/>
      <x:c r="N175" s="59"/>
      <x:c r="O175" s="59"/>
    </x:row>
    <x:row r="176">
      <x:c r="A176" s="59"/>
      <x:c r="B176" s="59"/>
      <x:c r="C176" s="59"/>
      <x:c r="D176" s="59"/>
      <x:c r="E176" s="59"/>
      <x:c r="F176" s="59"/>
      <x:c r="G176" s="59"/>
      <x:c r="H176" s="59"/>
      <x:c r="I176" s="59"/>
      <x:c r="J176" s="59"/>
      <x:c r="K176" s="59"/>
      <x:c r="L176" s="59"/>
      <x:c r="M176" s="59"/>
      <x:c r="N176" s="59"/>
      <x:c r="O176" s="59"/>
    </x:row>
    <x:row r="177">
      <x:c r="A177" s="59"/>
      <x:c r="B177" s="59"/>
      <x:c r="C177" s="59"/>
      <x:c r="D177" s="59"/>
      <x:c r="E177" s="59"/>
      <x:c r="F177" s="59"/>
      <x:c r="G177" s="59"/>
      <x:c r="H177" s="59"/>
      <x:c r="I177" s="59"/>
      <x:c r="J177" s="59"/>
      <x:c r="K177" s="59"/>
      <x:c r="L177" s="59"/>
      <x:c r="M177" s="59"/>
      <x:c r="N177" s="59"/>
      <x:c r="O177" s="59"/>
    </x:row>
    <x:row r="178">
      <x:c r="A178" s="59"/>
      <x:c r="B178" s="59"/>
      <x:c r="C178" s="59"/>
      <x:c r="D178" s="59"/>
      <x:c r="E178" s="59"/>
      <x:c r="F178" s="59"/>
      <x:c r="G178" s="59"/>
      <x:c r="H178" s="59"/>
      <x:c r="I178" s="59"/>
      <x:c r="J178" s="59"/>
      <x:c r="K178" s="59"/>
      <x:c r="L178" s="59"/>
      <x:c r="M178" s="59"/>
      <x:c r="N178" s="59"/>
      <x:c r="O178" s="59"/>
    </x:row>
    <x:row r="179">
      <x:c r="A179" s="59"/>
      <x:c r="B179" s="59"/>
      <x:c r="C179" s="59"/>
      <x:c r="D179" s="59"/>
      <x:c r="E179" s="59"/>
      <x:c r="F179" s="59"/>
      <x:c r="G179" s="59"/>
      <x:c r="H179" s="59"/>
      <x:c r="I179" s="59"/>
      <x:c r="J179" s="59"/>
      <x:c r="K179" s="59"/>
      <x:c r="L179" s="59"/>
      <x:c r="M179" s="59"/>
      <x:c r="N179" s="59"/>
      <x:c r="O179" s="59"/>
    </x:row>
    <x:row r="180">
      <x:c r="A180" s="59"/>
      <x:c r="B180" s="59"/>
      <x:c r="C180" s="59"/>
      <x:c r="D180" s="59"/>
      <x:c r="E180" s="59"/>
      <x:c r="F180" s="59"/>
      <x:c r="G180" s="59"/>
      <x:c r="H180" s="59"/>
      <x:c r="I180" s="59"/>
      <x:c r="J180" s="59"/>
      <x:c r="K180" s="59"/>
      <x:c r="L180" s="59"/>
      <x:c r="M180" s="59"/>
      <x:c r="N180" s="59"/>
      <x:c r="O180" s="59"/>
    </x:row>
    <x:row r="181">
      <x:c r="A181" s="59"/>
      <x:c r="B181" s="59"/>
      <x:c r="C181" s="59"/>
      <x:c r="D181" s="59"/>
      <x:c r="E181" s="59"/>
      <x:c r="F181" s="59"/>
      <x:c r="G181" s="59"/>
      <x:c r="H181" s="59"/>
      <x:c r="I181" s="59"/>
      <x:c r="J181" s="59"/>
      <x:c r="K181" s="59"/>
      <x:c r="L181" s="59"/>
      <x:c r="M181" s="59"/>
      <x:c r="N181" s="59"/>
      <x:c r="O181" s="59"/>
    </x:row>
    <x:row r="182">
      <x:c r="A182" s="59"/>
      <x:c r="B182" s="59"/>
      <x:c r="C182" s="59"/>
      <x:c r="D182" s="59"/>
      <x:c r="E182" s="59"/>
      <x:c r="F182" s="59"/>
      <x:c r="G182" s="59"/>
      <x:c r="H182" s="59"/>
      <x:c r="I182" s="59"/>
      <x:c r="J182" s="59"/>
      <x:c r="K182" s="59"/>
      <x:c r="L182" s="59"/>
      <x:c r="M182" s="59"/>
      <x:c r="N182" s="59"/>
      <x:c r="O182" s="59"/>
    </x:row>
    <x:row r="183">
      <x:c r="A183" s="59"/>
      <x:c r="B183" s="59"/>
      <x:c r="C183" s="59"/>
      <x:c r="D183" s="59"/>
      <x:c r="E183" s="59"/>
      <x:c r="F183" s="59"/>
      <x:c r="G183" s="59"/>
      <x:c r="H183" s="59"/>
      <x:c r="I183" s="59"/>
      <x:c r="J183" s="59"/>
      <x:c r="K183" s="59"/>
      <x:c r="L183" s="59"/>
      <x:c r="M183" s="59"/>
      <x:c r="N183" s="59"/>
      <x:c r="O183" s="59"/>
    </x:row>
    <x:row r="184">
      <x:c r="A184" s="59"/>
      <x:c r="B184" s="59"/>
      <x:c r="C184" s="59"/>
      <x:c r="D184" s="59"/>
      <x:c r="E184" s="59"/>
      <x:c r="F184" s="59"/>
      <x:c r="G184" s="59"/>
      <x:c r="H184" s="59"/>
      <x:c r="I184" s="59"/>
      <x:c r="J184" s="59"/>
      <x:c r="K184" s="59"/>
      <x:c r="L184" s="59"/>
      <x:c r="M184" s="59"/>
      <x:c r="N184" s="59"/>
      <x:c r="O184" s="59"/>
    </x:row>
    <x:row r="185">
      <x:c r="A185" s="59"/>
      <x:c r="B185" s="59"/>
      <x:c r="C185" s="59"/>
      <x:c r="D185" s="59"/>
      <x:c r="E185" s="59"/>
      <x:c r="F185" s="59"/>
      <x:c r="G185" s="59"/>
      <x:c r="H185" s="59"/>
      <x:c r="I185" s="59"/>
      <x:c r="J185" s="59"/>
      <x:c r="K185" s="59"/>
      <x:c r="L185" s="59"/>
      <x:c r="M185" s="59"/>
      <x:c r="N185" s="59"/>
      <x:c r="O185" s="59"/>
    </x:row>
    <x:row r="186">
      <x:c r="A186" s="59"/>
      <x:c r="B186" s="59"/>
      <x:c r="C186" s="59"/>
      <x:c r="D186" s="59"/>
      <x:c r="E186" s="59"/>
      <x:c r="F186" s="59"/>
      <x:c r="G186" s="59"/>
      <x:c r="H186" s="59"/>
      <x:c r="I186" s="59"/>
      <x:c r="J186" s="59"/>
      <x:c r="K186" s="59"/>
      <x:c r="L186" s="59"/>
      <x:c r="M186" s="59"/>
      <x:c r="N186" s="59"/>
      <x:c r="O186" s="59"/>
    </x:row>
    <x:row r="187">
      <x:c r="A187" s="59"/>
      <x:c r="B187" s="59"/>
      <x:c r="C187" s="59"/>
      <x:c r="D187" s="59"/>
      <x:c r="E187" s="59"/>
      <x:c r="F187" s="59"/>
      <x:c r="G187" s="59"/>
      <x:c r="H187" s="59"/>
      <x:c r="I187" s="59"/>
      <x:c r="J187" s="59"/>
      <x:c r="K187" s="59"/>
      <x:c r="L187" s="59"/>
      <x:c r="M187" s="59"/>
      <x:c r="N187" s="59"/>
      <x:c r="O187" s="59"/>
    </x:row>
    <x:row r="188">
      <x:c r="A188" s="59"/>
      <x:c r="B188" s="59"/>
      <x:c r="C188" s="59"/>
      <x:c r="D188" s="59"/>
      <x:c r="E188" s="59"/>
      <x:c r="F188" s="59"/>
      <x:c r="G188" s="59"/>
      <x:c r="H188" s="59"/>
      <x:c r="I188" s="59"/>
      <x:c r="J188" s="59"/>
      <x:c r="K188" s="59"/>
      <x:c r="L188" s="59"/>
      <x:c r="M188" s="59"/>
      <x:c r="N188" s="59"/>
      <x:c r="O188" s="59"/>
    </x:row>
    <x:row r="189">
      <x:c r="A189" s="59"/>
      <x:c r="B189" s="59"/>
      <x:c r="C189" s="59"/>
      <x:c r="D189" s="59"/>
      <x:c r="E189" s="59"/>
      <x:c r="F189" s="59"/>
      <x:c r="G189" s="59"/>
      <x:c r="H189" s="59"/>
      <x:c r="I189" s="59"/>
      <x:c r="J189" s="59"/>
      <x:c r="K189" s="59"/>
      <x:c r="L189" s="59"/>
      <x:c r="M189" s="59"/>
      <x:c r="N189" s="59"/>
      <x:c r="O189" s="59"/>
    </x:row>
    <x:row r="190">
      <x:c r="A190" s="59"/>
      <x:c r="B190" s="59"/>
      <x:c r="C190" s="59"/>
      <x:c r="D190" s="59"/>
      <x:c r="E190" s="59"/>
      <x:c r="F190" s="59"/>
      <x:c r="G190" s="59"/>
      <x:c r="H190" s="59"/>
      <x:c r="I190" s="59"/>
      <x:c r="J190" s="59"/>
      <x:c r="K190" s="59"/>
      <x:c r="L190" s="59"/>
      <x:c r="M190" s="59"/>
      <x:c r="N190" s="59"/>
      <x:c r="O190" s="59"/>
    </x:row>
    <x:row r="191">
      <x:c r="A191" s="59"/>
      <x:c r="B191" s="59"/>
      <x:c r="C191" s="59"/>
      <x:c r="D191" s="59"/>
      <x:c r="E191" s="59"/>
      <x:c r="F191" s="59"/>
      <x:c r="G191" s="59"/>
      <x:c r="H191" s="59"/>
      <x:c r="I191" s="59"/>
      <x:c r="J191" s="59"/>
      <x:c r="K191" s="59"/>
      <x:c r="L191" s="59"/>
      <x:c r="M191" s="59"/>
      <x:c r="N191" s="59"/>
      <x:c r="O191" s="59"/>
    </x:row>
    <x:row r="192">
      <x:c r="A192" s="59"/>
      <x:c r="B192" s="59"/>
      <x:c r="C192" s="59"/>
      <x:c r="D192" s="59"/>
      <x:c r="E192" s="59"/>
      <x:c r="F192" s="59"/>
      <x:c r="G192" s="59"/>
      <x:c r="H192" s="59"/>
      <x:c r="I192" s="59"/>
      <x:c r="J192" s="59"/>
      <x:c r="K192" s="59"/>
      <x:c r="L192" s="59"/>
      <x:c r="M192" s="59"/>
      <x:c r="N192" s="59"/>
      <x:c r="O192" s="59"/>
    </x:row>
    <x:row r="193">
      <x:c r="A193" s="59"/>
      <x:c r="B193" s="59"/>
      <x:c r="C193" s="59"/>
      <x:c r="D193" s="59"/>
      <x:c r="E193" s="59"/>
      <x:c r="F193" s="59"/>
      <x:c r="G193" s="59"/>
      <x:c r="H193" s="59"/>
      <x:c r="I193" s="59"/>
      <x:c r="J193" s="59"/>
      <x:c r="K193" s="59"/>
      <x:c r="L193" s="59"/>
      <x:c r="M193" s="59"/>
      <x:c r="N193" s="59"/>
      <x:c r="O193" s="59"/>
    </x:row>
    <x:row r="194">
      <x:c r="A194" s="59"/>
      <x:c r="B194" s="59"/>
      <x:c r="C194" s="59"/>
      <x:c r="D194" s="59"/>
      <x:c r="E194" s="59"/>
      <x:c r="F194" s="59"/>
      <x:c r="G194" s="59"/>
      <x:c r="H194" s="59"/>
      <x:c r="I194" s="59"/>
      <x:c r="J194" s="59"/>
      <x:c r="K194" s="59"/>
      <x:c r="L194" s="59"/>
      <x:c r="M194" s="59"/>
      <x:c r="N194" s="59"/>
      <x:c r="O194" s="59"/>
    </x:row>
    <x:row r="195">
      <x:c r="A195" s="59"/>
      <x:c r="B195" s="59"/>
      <x:c r="C195" s="59"/>
      <x:c r="D195" s="59"/>
      <x:c r="E195" s="59"/>
      <x:c r="F195" s="59"/>
      <x:c r="G195" s="59"/>
      <x:c r="H195" s="59"/>
      <x:c r="I195" s="59"/>
      <x:c r="J195" s="59"/>
      <x:c r="K195" s="59"/>
      <x:c r="L195" s="59"/>
      <x:c r="M195" s="59"/>
      <x:c r="N195" s="59"/>
      <x:c r="O195" s="59"/>
    </x:row>
    <x:row r="196">
      <x:c r="A196" s="59"/>
      <x:c r="B196" s="59"/>
      <x:c r="C196" s="59"/>
      <x:c r="D196" s="59"/>
      <x:c r="E196" s="59"/>
      <x:c r="F196" s="59"/>
      <x:c r="G196" s="59"/>
      <x:c r="H196" s="59"/>
      <x:c r="I196" s="59"/>
      <x:c r="J196" s="59"/>
      <x:c r="K196" s="59"/>
      <x:c r="L196" s="59"/>
      <x:c r="M196" s="59"/>
      <x:c r="N196" s="59"/>
      <x:c r="O196" s="59"/>
    </x:row>
    <x:row r="197">
      <x:c r="A197" s="59"/>
      <x:c r="B197" s="59"/>
      <x:c r="C197" s="59"/>
      <x:c r="D197" s="59"/>
      <x:c r="E197" s="59"/>
      <x:c r="F197" s="59"/>
      <x:c r="G197" s="59"/>
      <x:c r="H197" s="59"/>
      <x:c r="I197" s="59"/>
      <x:c r="J197" s="59"/>
      <x:c r="K197" s="59"/>
      <x:c r="L197" s="59"/>
      <x:c r="M197" s="59"/>
      <x:c r="N197" s="59"/>
      <x:c r="O197" s="59"/>
    </x:row>
    <x:row r="198">
      <x:c r="A198" s="59"/>
      <x:c r="B198" s="59"/>
      <x:c r="C198" s="59"/>
      <x:c r="D198" s="59"/>
      <x:c r="E198" s="59"/>
      <x:c r="F198" s="59"/>
      <x:c r="G198" s="59"/>
      <x:c r="H198" s="59"/>
      <x:c r="I198" s="59"/>
      <x:c r="J198" s="59"/>
      <x:c r="K198" s="59"/>
      <x:c r="L198" s="59"/>
      <x:c r="M198" s="59"/>
      <x:c r="N198" s="59"/>
      <x:c r="O198" s="59"/>
    </x:row>
    <x:row r="199">
      <x:c r="A199" s="59"/>
      <x:c r="B199" s="59"/>
      <x:c r="C199" s="59"/>
      <x:c r="D199" s="59"/>
      <x:c r="E199" s="59"/>
      <x:c r="F199" s="59"/>
      <x:c r="G199" s="59"/>
      <x:c r="H199" s="59"/>
      <x:c r="I199" s="59"/>
      <x:c r="J199" s="59"/>
      <x:c r="K199" s="59"/>
      <x:c r="L199" s="59"/>
      <x:c r="M199" s="59"/>
      <x:c r="N199" s="59"/>
      <x:c r="O199" s="59"/>
    </x:row>
    <x:row r="200">
      <x:c r="A200" s="59"/>
      <x:c r="B200" s="59"/>
      <x:c r="C200" s="59"/>
      <x:c r="D200" s="59"/>
      <x:c r="E200" s="59"/>
      <x:c r="F200" s="59"/>
      <x:c r="G200" s="59"/>
      <x:c r="H200" s="59"/>
      <x:c r="I200" s="59"/>
      <x:c r="J200" s="59"/>
      <x:c r="K200" s="59"/>
      <x:c r="L200" s="59"/>
      <x:c r="M200" s="59"/>
      <x:c r="N200" s="59"/>
      <x:c r="O200" s="59"/>
    </x:row>
  </x:sheetData>
  <x:mergeCells>
    <x:mergeCell ref="A1:N1"/>
    <x:mergeCell ref="A2:N2"/>
    <x:mergeCell ref="A3:N3"/>
    <x:mergeCell ref="A5:C5"/>
    <x:mergeCell ref="A6:C8"/>
    <x:mergeCell ref="D5:F5"/>
    <x:mergeCell ref="D6:F8"/>
    <x:mergeCell ref="G5:I5"/>
    <x:mergeCell ref="G6:I8"/>
    <x:mergeCell ref="J5:L5"/>
    <x:mergeCell ref="J6:L8"/>
    <x:mergeCell ref="M5:N5"/>
    <x:mergeCell ref="M6:N8"/>
    <x:mergeCell ref="A10:N10"/>
  </x:mergeCells>
  <x:conditionalFormatting sqref="M6:N8">
    <x:cfRule type="expression" dxfId="7" priority="1">
      <x:formula>M6="Critical"</x:formula>
    </x:cfRule>
    <x:cfRule type="expression" dxfId="8" priority="2">
      <x:formula>M6="High"</x:formula>
    </x:cfRule>
    <x:cfRule type="expression" dxfId="9" priority="3">
      <x:formula>M6="Moderate"</x:formula>
    </x:cfRule>
    <x:cfRule type="expression" dxfId="10" priority="4">
      <x:formula>M6="Normal"</x:formula>
    </x:cfRule>
  </x:conditionalFormatting>
  <x:pageMargins left="0.7" right="0.7" top="0.75" bottom="0.75" header="0.3" footer="0.3"/>
  <x:drawing xmlns:r="http://schemas.openxmlformats.org/officeDocument/2006/relationships" r:id="Rc3846812feac4bf1"/>
</x:worksheet>
</file>

<file path=xl/worksheets/sheet3.xml><?xml version="1.0" encoding="utf-8"?>
<x:worksheet xmlns:x="http://schemas.openxmlformats.org/spreadsheetml/2006/main">
  <x:sheetFormatPr defaultRowHeight="15"/>
  <x:cols>
    <x:col min="1" max="1" width="9" hidden="0" customWidth="1"/>
    <x:col min="2" max="2" width="20" hidden="0" customWidth="1"/>
    <x:col min="3" max="3" width="28" hidden="0" customWidth="1"/>
    <x:col min="4" max="4" width="38" hidden="0" customWidth="1"/>
    <x:col min="5" max="5" width="46" hidden="0" customWidth="1"/>
    <x:col min="6" max="6" width="32" hidden="0" customWidth="1"/>
    <x:col min="7" max="7" width="15" hidden="0" customWidth="1"/>
    <x:col min="8" max="8" width="23" hidden="0" customWidth="1"/>
    <x:col min="9" max="9" width="23" hidden="0" customWidth="1"/>
    <x:col min="10" max="10" width="23" hidden="0" customWidth="1"/>
    <x:col min="11" max="11" width="11" hidden="0" customWidth="1"/>
    <x:col min="12" max="12" width="21" hidden="0" customWidth="1"/>
    <x:col min="13" max="13" width="42" hidden="0" customWidth="1"/>
    <x:col min="14" max="14" width="34" hidden="0" customWidth="1"/>
    <x:col min="15" max="15" width="12" hidden="0" customWidth="1"/>
  </x:cols>
  <x:sheetData>
    <x:row r="1" ht="34" customHeight="1">
      <x:c r="A1" s="56" t="str">
        <x:v>OT Monitoring KPI Catalog</x:v>
      </x:c>
      <x:c r="B1" s="56"/>
      <x:c r="C1" s="56"/>
      <x:c r="D1" s="56"/>
      <x:c r="E1" s="56"/>
      <x:c r="F1" s="56"/>
      <x:c r="G1" s="56"/>
      <x:c r="H1" s="56"/>
      <x:c r="I1" s="56"/>
      <x:c r="J1" s="56"/>
      <x:c r="K1" s="56"/>
      <x:c r="L1" s="56"/>
      <x:c r="M1" s="56"/>
      <x:c r="N1" s="56"/>
      <x:c r="O1" s="56"/>
    </x:row>
    <x:row r="2" ht="20" customHeight="1">
      <x:c r="A2" s="57" t="str">
        <x:v>Author: Yuval Sinay | Version 1.0 | 02.08.2026</x:v>
      </x:c>
      <x:c r="B2" s="57"/>
      <x:c r="C2" s="57"/>
      <x:c r="D2" s="57"/>
      <x:c r="E2" s="57"/>
      <x:c r="F2" s="57"/>
      <x:c r="G2" s="57"/>
      <x:c r="H2" s="57"/>
      <x:c r="I2" s="57"/>
      <x:c r="J2" s="57"/>
      <x:c r="K2" s="57"/>
      <x:c r="L2" s="57"/>
      <x:c r="M2" s="57"/>
      <x:c r="N2" s="57"/>
      <x:c r="O2" s="57"/>
    </x:row>
    <x:row r="3" ht="28" customHeight="1">
      <x:c r="A3" s="58" t="str">
        <x:v>Use this catalog to select, tailor, and assign the metrics required for each OT zone, site, or critical process.</x:v>
      </x:c>
      <x:c r="B3" s="58"/>
      <x:c r="C3" s="58"/>
      <x:c r="D3" s="58"/>
      <x:c r="E3" s="58"/>
      <x:c r="F3" s="58"/>
      <x:c r="G3" s="58"/>
      <x:c r="H3" s="58"/>
      <x:c r="I3" s="58"/>
      <x:c r="J3" s="58"/>
      <x:c r="K3" s="58"/>
      <x:c r="L3" s="58"/>
      <x:c r="M3" s="58"/>
      <x:c r="N3" s="58"/>
      <x:c r="O3" s="58"/>
    </x:row>
    <x:row r="4">
      <x:c r="A4" s="59"/>
      <x:c r="B4" s="59"/>
      <x:c r="C4" s="59"/>
      <x:c r="D4" s="59"/>
      <x:c r="E4" s="59"/>
      <x:c r="F4" s="59"/>
      <x:c r="G4" s="59"/>
      <x:c r="H4" s="59"/>
      <x:c r="I4" s="59"/>
      <x:c r="J4" s="59"/>
      <x:c r="K4" s="59"/>
      <x:c r="L4" s="59"/>
      <x:c r="M4" s="59"/>
      <x:c r="N4" s="59"/>
      <x:c r="O4" s="59"/>
    </x:row>
    <x:row r="5" ht="32" customHeight="1">
      <x:c r="A5" s="82" t="str">
        <x:v>ID</x:v>
      </x:c>
      <x:c r="B5" s="82" t="str">
        <x:v>Monitoring Domain</x:v>
      </x:c>
      <x:c r="C5" s="82" t="str">
        <x:v>KPI / Indicator</x:v>
      </x:c>
      <x:c r="D5" s="82" t="str">
        <x:v>What It Measures</x:v>
      </x:c>
      <x:c r="E5" s="82" t="str">
        <x:v>Calculation or Detection Logic</x:v>
      </x:c>
      <x:c r="F5" s="82" t="str">
        <x:v>Primary Data Sources</x:v>
      </x:c>
      <x:c r="G5" s="82" t="str">
        <x:v>Review Frequency</x:v>
      </x:c>
      <x:c r="H5" s="82" t="str">
        <x:v>Green / Normal</x:v>
      </x:c>
      <x:c r="I5" s="82" t="str">
        <x:v>Amber / Investigate</x:v>
      </x:c>
      <x:c r="J5" s="82" t="str">
        <x:v>Red / Critical</x:v>
      </x:c>
      <x:c r="K5" s="82" t="str">
        <x:v>Priority</x:v>
      </x:c>
      <x:c r="L5" s="82" t="str">
        <x:v>Primary Owner</x:v>
      </x:c>
      <x:c r="M5" s="82" t="str">
        <x:v>Immediate Response</x:v>
      </x:c>
      <x:c r="N5" s="82" t="str">
        <x:v>Framework Mapping</x:v>
      </x:c>
      <x:c r="O5" s="82" t="str">
        <x:v>Unit</x:v>
      </x:c>
    </x:row>
    <x:row r="6" ht="58" customHeight="1">
      <x:c r="A6" s="83" t="str">
        <x:v>AST-01</x:v>
      </x:c>
      <x:c r="B6" s="83" t="str">
        <x:v>Asset Visibility</x:v>
      </x:c>
      <x:c r="C6" s="83" t="str">
        <x:v>Known Asset Coverage</x:v>
      </x:c>
      <x:c r="D6" s="83" t="str">
        <x:v>Percentage of observed OT assets matched to the approved inventory.</x:v>
      </x:c>
      <x:c r="E6" s="83" t="str">
        <x:v>Known observed assets / total observed assets × 100.</x:v>
      </x:c>
      <x:c r="F6" s="83" t="str">
        <x:v>Passive network sensor; CMDB; asset inventory</x:v>
      </x:c>
      <x:c r="G6" s="83" t="str">
        <x:v>Daily</x:v>
      </x:c>
      <x:c r="H6" s="83" t="str">
        <x:v>&gt;= 98%</x:v>
      </x:c>
      <x:c r="I6" s="83" t="str">
        <x:v>95% to &lt;98%</x:v>
      </x:c>
      <x:c r="J6" s="83" t="str">
        <x:v>&lt;95%</x:v>
      </x:c>
      <x:c r="K6" s="83" t="str">
        <x:v>Critical</x:v>
      </x:c>
      <x:c r="L6" s="83" t="str">
        <x:v>OT Asset Owner</x:v>
      </x:c>
      <x:c r="M6" s="83" t="str">
        <x:v>Identify unknown assets; validate ownership; restrict communication until approved.</x:v>
      </x:c>
      <x:c r="N6" s="83" t="str">
        <x:v>NIST SP 800-82; ISA/IEC 62443 zones and conduits</x:v>
      </x:c>
      <x:c r="O6" s="83" t="str">
        <x:v>%</x:v>
      </x:c>
    </x:row>
    <x:row r="7" ht="58" customHeight="1">
      <x:c r="A7" s="83" t="str">
        <x:v>AST-02</x:v>
      </x:c>
      <x:c r="B7" s="83" t="str">
        <x:v>Asset Visibility</x:v>
      </x:c>
      <x:c r="C7" s="83" t="str">
        <x:v>New or Unknown Assets</x:v>
      </x:c>
      <x:c r="D7" s="83" t="str">
        <x:v>Number of devices first observed or not present in the authorized inventory.</x:v>
      </x:c>
      <x:c r="E7" s="83" t="str">
        <x:v>Count unique MAC/IP/device fingerprints not mapped to an approved asset.</x:v>
      </x:c>
      <x:c r="F7" s="83" t="str">
        <x:v>Passive network sensor; NAC; switch CAM tables</x:v>
      </x:c>
      <x:c r="G7" s="83" t="str">
        <x:v>Real time</x:v>
      </x:c>
      <x:c r="H7" s="83" t="str">
        <x:v>0</x:v>
      </x:c>
      <x:c r="I7" s="83" t="str">
        <x:v>1</x:v>
      </x:c>
      <x:c r="J7" s="83" t="str">
        <x:v>2 or more</x:v>
      </x:c>
      <x:c r="K7" s="83" t="str">
        <x:v>Critical</x:v>
      </x:c>
      <x:c r="L7" s="83" t="str">
        <x:v>OT SOC</x:v>
      </x:c>
      <x:c r="M7" s="83" t="str">
        <x:v>Validate device, location, owner, and maintenance activity; isolate if unauthorized.</x:v>
      </x:c>
      <x:c r="N7" s="83" t="str">
        <x:v>MITRE ATT&amp;CK ICS: Remote System Discovery</x:v>
      </x:c>
      <x:c r="O7" s="83" t="str">
        <x:v>count</x:v>
      </x:c>
    </x:row>
    <x:row r="8" ht="58" customHeight="1">
      <x:c r="A8" s="83" t="str">
        <x:v>AST-03</x:v>
      </x:c>
      <x:c r="B8" s="83" t="str">
        <x:v>Asset Visibility</x:v>
      </x:c>
      <x:c r="C8" s="83" t="str">
        <x:v>Asset Identity Changes</x:v>
      </x:c>
      <x:c r="D8" s="83" t="str">
        <x:v>Unexpected changes to IP, MAC, hostname, vendor fingerprint, role, or zone.</x:v>
      </x:c>
      <x:c r="E8" s="83" t="str">
        <x:v>Compare current asset attributes with the last approved baseline.</x:v>
      </x:c>
      <x:c r="F8" s="83" t="str">
        <x:v>Passive sensor; DHCP; switch logs; CMDB</x:v>
      </x:c>
      <x:c r="G8" s="83" t="str">
        <x:v>Daily</x:v>
      </x:c>
      <x:c r="H8" s="83" t="str">
        <x:v>0</x:v>
      </x:c>
      <x:c r="I8" s="83" t="str">
        <x:v>1 approved change</x:v>
      </x:c>
      <x:c r="J8" s="83" t="str">
        <x:v>Any unapproved change</x:v>
      </x:c>
      <x:c r="K8" s="83" t="str">
        <x:v>High</x:v>
      </x:c>
      <x:c r="L8" s="83" t="str">
        <x:v>OT Network Engineering</x:v>
      </x:c>
      <x:c r="M8" s="83" t="str">
        <x:v>Confirm change record; check for device replacement, spoofing, or misconfiguration.</x:v>
      </x:c>
      <x:c r="N8" s="83" t="str">
        <x:v>NIST SP 800-82 asset management</x:v>
      </x:c>
      <x:c r="O8" s="83" t="str">
        <x:v>count</x:v>
      </x:c>
    </x:row>
    <x:row r="9" ht="58" customHeight="1">
      <x:c r="A9" s="83" t="str">
        <x:v>AST-04</x:v>
      </x:c>
      <x:c r="B9" s="83" t="str">
        <x:v>Asset Visibility</x:v>
      </x:c>
      <x:c r="C9" s="83" t="str">
        <x:v>Unsupported Firmware Exposure</x:v>
      </x:c>
      <x:c r="D9" s="83" t="str">
        <x:v>Assets running firmware that is obsolete, unsupported, or outside the approved version.</x:v>
      </x:c>
      <x:c r="E9" s="83" t="str">
        <x:v>Count assets whose firmware does not match the approved version list.</x:v>
      </x:c>
      <x:c r="F9" s="83" t="str">
        <x:v>Asset inventory; vendor management platform</x:v>
      </x:c>
      <x:c r="G9" s="83" t="str">
        <x:v>Weekly</x:v>
      </x:c>
      <x:c r="H9" s="83" t="str">
        <x:v>0</x:v>
      </x:c>
      <x:c r="I9" s="83" t="str">
        <x:v>1-2 with mitigation</x:v>
      </x:c>
      <x:c r="J9" s="83" t="str">
        <x:v>&gt;2 or any safety-critical asset</x:v>
      </x:c>
      <x:c r="K9" s="83" t="str">
        <x:v>High</x:v>
      </x:c>
      <x:c r="L9" s="83" t="str">
        <x:v>Control Engineering</x:v>
      </x:c>
      <x:c r="M9" s="83" t="str">
        <x:v>Assess exploitability and operational impact; define upgrade or compensating controls.</x:v>
      </x:c>
      <x:c r="N9" s="83" t="str">
        <x:v>ISA/IEC 62443 lifecycle security</x:v>
      </x:c>
      <x:c r="O9" s="83" t="str">
        <x:v>count</x:v>
      </x:c>
    </x:row>
    <x:row r="10" ht="58" customHeight="1">
      <x:c r="A10" s="83" t="str">
        <x:v>NET-01</x:v>
      </x:c>
      <x:c r="B10" s="83" t="str">
        <x:v>Network Health</x:v>
      </x:c>
      <x:c r="C10" s="83" t="str">
        <x:v>Network Availability</x:v>
      </x:c>
      <x:c r="D10" s="83" t="str">
        <x:v>Availability of critical OT communication paths and network services.</x:v>
      </x:c>
      <x:c r="E10" s="83" t="str">
        <x:v>Available minutes / scheduled operating minutes × 100.</x:v>
      </x:c>
      <x:c r="F10" s="83" t="str">
        <x:v>Switches; routers; NMS; OT sensors</x:v>
      </x:c>
      <x:c r="G10" s="83" t="str">
        <x:v>Real time</x:v>
      </x:c>
      <x:c r="H10" s="83" t="str">
        <x:v>&gt;=99.95%</x:v>
      </x:c>
      <x:c r="I10" s="83" t="str">
        <x:v>99.5% to &lt;99.95%</x:v>
      </x:c>
      <x:c r="J10" s="83" t="str">
        <x:v>&lt;99.5%</x:v>
      </x:c>
      <x:c r="K10" s="83" t="str">
        <x:v>Critical</x:v>
      </x:c>
      <x:c r="L10" s="83" t="str">
        <x:v>OT Network Engineering</x:v>
      </x:c>
      <x:c r="M10" s="83" t="str">
        <x:v>Check redundant paths, switch health, power, and physical connectivity.</x:v>
      </x:c>
      <x:c r="N10" s="83" t="str">
        <x:v>NIST SP 800-82 availability</x:v>
      </x:c>
      <x:c r="O10" s="83" t="str">
        <x:v>%</x:v>
      </x:c>
    </x:row>
    <x:row r="11" ht="58" customHeight="1">
      <x:c r="A11" s="83" t="str">
        <x:v>NET-02</x:v>
      </x:c>
      <x:c r="B11" s="83" t="str">
        <x:v>Network Health</x:v>
      </x:c>
      <x:c r="C11" s="83" t="str">
        <x:v>Packet Loss</x:v>
      </x:c>
      <x:c r="D11" s="83" t="str">
        <x:v>Percentage of packets lost across critical control paths.</x:v>
      </x:c>
      <x:c r="E11" s="83" t="str">
        <x:v>Lost packets / transmitted packets × 100.</x:v>
      </x:c>
      <x:c r="F11" s="83" t="str">
        <x:v>NMS; TAP/SPAN sensor; interface counters</x:v>
      </x:c>
      <x:c r="G11" s="83" t="str">
        <x:v>Real time</x:v>
      </x:c>
      <x:c r="H11" s="83" t="str">
        <x:v>&lt;0.1%</x:v>
      </x:c>
      <x:c r="I11" s="83" t="str">
        <x:v>0.1% to 1% </x:v>
      </x:c>
      <x:c r="J11" s="83" t="str">
        <x:v>&gt;1% or process impact</x:v>
      </x:c>
      <x:c r="K11" s="83" t="str">
        <x:v>High</x:v>
      </x:c>
      <x:c r="L11" s="83" t="str">
        <x:v>OT Network Engineering</x:v>
      </x:c>
      <x:c r="M11" s="83" t="str">
        <x:v>Locate affected link or device; check errors, congestion, duplex, and physical media.</x:v>
      </x:c>
      <x:c r="N11" s="83" t="str">
        <x:v>NIST SP 800-82 performance monitoring</x:v>
      </x:c>
      <x:c r="O11" s="83" t="str">
        <x:v>%</x:v>
      </x:c>
    </x:row>
    <x:row r="12" ht="58" customHeight="1">
      <x:c r="A12" s="83" t="str">
        <x:v>NET-03</x:v>
      </x:c>
      <x:c r="B12" s="83" t="str">
        <x:v>Network Health</x:v>
      </x:c>
      <x:c r="C12" s="83" t="str">
        <x:v>Control-Path Latency</x:v>
      </x:c>
      <x:c r="D12" s="83" t="str">
        <x:v>Average and maximum latency on communications supporting control functions.</x:v>
      </x:c>
      <x:c r="E12" s="83" t="str">
        <x:v>Measure round-trip or one-way delay against the approved baseline.</x:v>
      </x:c>
      <x:c r="F12" s="83" t="str">
        <x:v>NMS; passive sensor; device diagnostics</x:v>
      </x:c>
      <x:c r="G12" s="83" t="str">
        <x:v>Real time</x:v>
      </x:c>
      <x:c r="H12" s="83" t="str">
        <x:v>Within baseline +10%</x:v>
      </x:c>
      <x:c r="I12" s="83" t="str">
        <x:v>Baseline +10% to +30%</x:v>
      </x:c>
      <x:c r="J12" s="83" t="str">
        <x:v>&gt;Baseline +30% or missed cycle</x:v>
      </x:c>
      <x:c r="K12" s="83" t="str">
        <x:v>High</x:v>
      </x:c>
      <x:c r="L12" s="83" t="str">
        <x:v>Control Engineering</x:v>
      </x:c>
      <x:c r="M12" s="83" t="str">
        <x:v>Correlate with congestion, network changes, failover, and controller performance.</x:v>
      </x:c>
      <x:c r="N12" s="83" t="str">
        <x:v>NIST SP 800-82 performance monitoring</x:v>
      </x:c>
      <x:c r="O12" s="83" t="str">
        <x:v>ms</x:v>
      </x:c>
    </x:row>
    <x:row r="13" ht="58" customHeight="1">
      <x:c r="A13" s="83" t="str">
        <x:v>NET-04</x:v>
      </x:c>
      <x:c r="B13" s="83" t="str">
        <x:v>Network Health</x:v>
      </x:c>
      <x:c r="C13" s="83" t="str">
        <x:v>Jitter</x:v>
      </x:c>
      <x:c r="D13" s="83" t="str">
        <x:v>Variation in packet delay for time-sensitive industrial traffic.</x:v>
      </x:c>
      <x:c r="E13" s="83" t="str">
        <x:v>Standard deviation or peak variation of packet delay.</x:v>
      </x:c>
      <x:c r="F13" s="83" t="str">
        <x:v>NMS; passive sensor</x:v>
      </x:c>
      <x:c r="G13" s="83" t="str">
        <x:v>Real time</x:v>
      </x:c>
      <x:c r="H13" s="83" t="str">
        <x:v>Within approved baseline</x:v>
      </x:c>
      <x:c r="I13" s="83" t="str">
        <x:v>10%-30% above baseline</x:v>
      </x:c>
      <x:c r="J13" s="83" t="str">
        <x:v>&gt;30% above baseline</x:v>
      </x:c>
      <x:c r="K13" s="83" t="str">
        <x:v>Medium</x:v>
      </x:c>
      <x:c r="L13" s="83" t="str">
        <x:v>OT Network Engineering</x:v>
      </x:c>
      <x:c r="M13" s="83" t="str">
        <x:v>Investigate congestion, QoS changes, path changes, or faulty interfaces.</x:v>
      </x:c>
      <x:c r="N13" s="83" t="str">
        <x:v>NIST SP 800-82 availability</x:v>
      </x:c>
      <x:c r="O13" s="83" t="str">
        <x:v>ms</x:v>
      </x:c>
    </x:row>
    <x:row r="14" ht="58" customHeight="1">
      <x:c r="A14" s="83" t="str">
        <x:v>NET-05</x:v>
      </x:c>
      <x:c r="B14" s="83" t="str">
        <x:v>Network Health</x:v>
      </x:c>
      <x:c r="C14" s="83" t="str">
        <x:v>Interface Error Rate</x:v>
      </x:c>
      <x:c r="D14" s="83" t="str">
        <x:v>CRC errors, discards, overruns, collisions, and other interface errors.</x:v>
      </x:c>
      <x:c r="E14" s="83" t="str">
        <x:v>Errors and discards per 10,000 packets or per minute.</x:v>
      </x:c>
      <x:c r="F14" s="83" t="str">
        <x:v>Switch/router interface counters</x:v>
      </x:c>
      <x:c r="G14" s="83" t="str">
        <x:v>Real time</x:v>
      </x:c>
      <x:c r="H14" s="83" t="str">
        <x:v>&lt;1 per 10,000</x:v>
      </x:c>
      <x:c r="I14" s="83" t="str">
        <x:v>1-10 per 10,000</x:v>
      </x:c>
      <x:c r="J14" s="83" t="str">
        <x:v>&gt;10 per 10,000</x:v>
      </x:c>
      <x:c r="K14" s="83" t="str">
        <x:v>High</x:v>
      </x:c>
      <x:c r="L14" s="83" t="str">
        <x:v>OT Network Engineering</x:v>
      </x:c>
      <x:c r="M14" s="83" t="str">
        <x:v>Check cabling, optics, interference, port configuration, and device hardware.</x:v>
      </x:c>
      <x:c r="N14" s="83" t="str">
        <x:v>NIST SP 800-82 reliability</x:v>
      </x:c>
      <x:c r="O14" s="83" t="str">
        <x:v>rate</x:v>
      </x:c>
    </x:row>
    <x:row r="15" ht="58" customHeight="1">
      <x:c r="A15" s="83" t="str">
        <x:v>NET-06</x:v>
      </x:c>
      <x:c r="B15" s="83" t="str">
        <x:v>Network Health</x:v>
      </x:c>
      <x:c r="C15" s="83" t="str">
        <x:v>Link or Port Flapping</x:v>
      </x:c>
      <x:c r="D15" s="83" t="str">
        <x:v>Repeated link-up/link-down or spanning-tree topology changes.</x:v>
      </x:c>
      <x:c r="E15" s="83" t="str">
        <x:v>Count transitions within a defined time window.</x:v>
      </x:c>
      <x:c r="F15" s="83" t="str">
        <x:v>Switch logs; NMS</x:v>
      </x:c>
      <x:c r="G15" s="83" t="str">
        <x:v>Real time</x:v>
      </x:c>
      <x:c r="H15" s="83" t="str">
        <x:v>0</x:v>
      </x:c>
      <x:c r="I15" s="83" t="str">
        <x:v>1-2 per hour</x:v>
      </x:c>
      <x:c r="J15" s="83" t="str">
        <x:v>&gt;2 per hour or critical link</x:v>
      </x:c>
      <x:c r="K15" s="83" t="str">
        <x:v>High</x:v>
      </x:c>
      <x:c r="L15" s="83" t="str">
        <x:v>OT Network Engineering</x:v>
      </x:c>
      <x:c r="M15" s="83" t="str">
        <x:v>Inspect physical path, power, loop conditions, and unauthorized device connection.</x:v>
      </x:c>
      <x:c r="N15" s="83" t="str">
        <x:v>ISA/IEC 62443 system integrity</x:v>
      </x:c>
      <x:c r="O15" s="83" t="str">
        <x:v>count/hour</x:v>
      </x:c>
    </x:row>
    <x:row r="16" ht="58" customHeight="1">
      <x:c r="A16" s="83" t="str">
        <x:v>NET-07</x:v>
      </x:c>
      <x:c r="B16" s="83" t="str">
        <x:v>Network Health</x:v>
      </x:c>
      <x:c r="C16" s="83" t="str">
        <x:v>Redundancy Failover Events</x:v>
      </x:c>
      <x:c r="D16" s="83" t="str">
        <x:v>Use or repeated switching of redundant links, servers, or control paths.</x:v>
      </x:c>
      <x:c r="E16" s="83" t="str">
        <x:v>Count failovers and duration on secondary paths.</x:v>
      </x:c>
      <x:c r="F16" s="83" t="str">
        <x:v>NMS; cluster logs; control system logs</x:v>
      </x:c>
      <x:c r="G16" s="83" t="str">
        <x:v>Real time</x:v>
      </x:c>
      <x:c r="H16" s="83" t="str">
        <x:v>0 unexpected</x:v>
      </x:c>
      <x:c r="I16" s="83" t="str">
        <x:v>1 short approved event</x:v>
      </x:c>
      <x:c r="J16" s="83" t="str">
        <x:v>Repeated or failed failover</x:v>
      </x:c>
      <x:c r="K16" s="83" t="str">
        <x:v>Critical</x:v>
      </x:c>
      <x:c r="L16" s="83" t="str">
        <x:v>Control Engineering</x:v>
      </x:c>
      <x:c r="M16" s="83" t="str">
        <x:v>Confirm redundancy health and restore primary path without disrupting operations.</x:v>
      </x:c>
      <x:c r="N16" s="83" t="str">
        <x:v>NIST SP 800-82 resilience</x:v>
      </x:c>
      <x:c r="O16" s="83" t="str">
        <x:v>count</x:v>
      </x:c>
    </x:row>
    <x:row r="17" ht="58" customHeight="1">
      <x:c r="A17" s="83" t="str">
        <x:v>COM-01</x:v>
      </x:c>
      <x:c r="B17" s="83" t="str">
        <x:v>Communication Behavior</x:v>
      </x:c>
      <x:c r="C17" s="83" t="str">
        <x:v>New Communication Pair</x:v>
      </x:c>
      <x:c r="D17" s="83" t="str">
        <x:v>A new source-destination relationship not present in the approved baseline.</x:v>
      </x:c>
      <x:c r="E17" s="83" t="str">
        <x:v>Compare flow graph with approved zone and conduit matrix.</x:v>
      </x:c>
      <x:c r="F17" s="83" t="str">
        <x:v>Passive network sensor; flow telemetry</x:v>
      </x:c>
      <x:c r="G17" s="83" t="str">
        <x:v>Real time</x:v>
      </x:c>
      <x:c r="H17" s="83" t="str">
        <x:v>0</x:v>
      </x:c>
      <x:c r="I17" s="83" t="str">
        <x:v>1 approved or explainable</x:v>
      </x:c>
      <x:c r="J17" s="83" t="str">
        <x:v>Any unapproved pair</x:v>
      </x:c>
      <x:c r="K17" s="83" t="str">
        <x:v>Critical</x:v>
      </x:c>
      <x:c r="L17" s="83" t="str">
        <x:v>OT SOC</x:v>
      </x:c>
      <x:c r="M17" s="83" t="str">
        <x:v>Validate business need and change record; block or contain unauthorized path.</x:v>
      </x:c>
      <x:c r="N17" s="83" t="str">
        <x:v>ISA/IEC 62443 zones and conduits</x:v>
      </x:c>
      <x:c r="O17" s="83" t="str">
        <x:v>count</x:v>
      </x:c>
    </x:row>
    <x:row r="18" ht="58" customHeight="1">
      <x:c r="A18" s="83" t="str">
        <x:v>COM-02</x:v>
      </x:c>
      <x:c r="B18" s="83" t="str">
        <x:v>Communication Behavior</x:v>
      </x:c>
      <x:c r="C18" s="83" t="str">
        <x:v>Unexpected Protocol or Port</x:v>
      </x:c>
      <x:c r="D18" s="83" t="str">
        <x:v>Use of a protocol or port not approved for the asset, zone, or conduit.</x:v>
      </x:c>
      <x:c r="E18" s="83" t="str">
        <x:v>Compare observed protocol and service against allowlist.</x:v>
      </x:c>
      <x:c r="F18" s="83" t="str">
        <x:v>Passive sensor; firewall; IDS</x:v>
      </x:c>
      <x:c r="G18" s="83" t="str">
        <x:v>Real time</x:v>
      </x:c>
      <x:c r="H18" s="83" t="str">
        <x:v>0</x:v>
      </x:c>
      <x:c r="I18" s="83" t="str">
        <x:v>1 low-risk approved deviation</x:v>
      </x:c>
      <x:c r="J18" s="83" t="str">
        <x:v>Any unapproved management or industrial protocol</x:v>
      </x:c>
      <x:c r="K18" s="83" t="str">
        <x:v>High</x:v>
      </x:c>
      <x:c r="L18" s="83" t="str">
        <x:v>Detection Engineering</x:v>
      </x:c>
      <x:c r="M18" s="83" t="str">
        <x:v>Identify application and origin; validate configuration; restrict communication.</x:v>
      </x:c>
      <x:c r="N18" s="83" t="str">
        <x:v>NIST SP 800-82 network segmentation</x:v>
      </x:c>
      <x:c r="O18" s="83" t="str">
        <x:v>count</x:v>
      </x:c>
    </x:row>
    <x:row r="19" ht="58" customHeight="1">
      <x:c r="A19" s="83" t="str">
        <x:v>COM-03</x:v>
      </x:c>
      <x:c r="B19" s="83" t="str">
        <x:v>Communication Behavior</x:v>
      </x:c>
      <x:c r="C19" s="83" t="str">
        <x:v>Connection Fan-Out</x:v>
      </x:c>
      <x:c r="D19" s="83" t="str">
        <x:v>Number of distinct destinations contacted by one asset within a time window.</x:v>
      </x:c>
      <x:c r="E19" s="83" t="str">
        <x:v>Count unique destinations per source and compare with baseline.</x:v>
      </x:c>
      <x:c r="F19" s="83" t="str">
        <x:v>Flow telemetry; passive sensor</x:v>
      </x:c>
      <x:c r="G19" s="83" t="str">
        <x:v>Real time</x:v>
      </x:c>
      <x:c r="H19" s="83" t="str">
        <x:v>Within baseline</x:v>
      </x:c>
      <x:c r="I19" s="83" t="str">
        <x:v>20%-50% above baseline</x:v>
      </x:c>
      <x:c r="J19" s="83" t="str">
        <x:v>&gt;50% above baseline or scanning pattern</x:v>
      </x:c>
      <x:c r="K19" s="83" t="str">
        <x:v>High</x:v>
      </x:c>
      <x:c r="L19" s="83" t="str">
        <x:v>OT SOC</x:v>
      </x:c>
      <x:c r="M19" s="83" t="str">
        <x:v>Check for discovery, malware, misconfiguration, or engineering activity.</x:v>
      </x:c>
      <x:c r="N19" s="83" t="str">
        <x:v>MITRE ATT&amp;CK ICS: discovery</x:v>
      </x:c>
      <x:c r="O19" s="83" t="str">
        <x:v>destinations</x:v>
      </x:c>
    </x:row>
    <x:row r="20" ht="58" customHeight="1">
      <x:c r="A20" s="83" t="str">
        <x:v>COM-04</x:v>
      </x:c>
      <x:c r="B20" s="83" t="str">
        <x:v>Communication Behavior</x:v>
      </x:c>
      <x:c r="C20" s="83" t="str">
        <x:v>Traffic Volume Deviation</x:v>
      </x:c>
      <x:c r="D20" s="83" t="str">
        <x:v>Deviation from normal bytes, packets, sessions, or message frequency.</x:v>
      </x:c>
      <x:c r="E20" s="83" t="str">
        <x:v>Current volume compared with time-of-day and operating-mode baseline.</x:v>
      </x:c>
      <x:c r="F20" s="83" t="str">
        <x:v>Flow telemetry; passive sensor</x:v>
      </x:c>
      <x:c r="G20" s="83" t="str">
        <x:v>Real time</x:v>
      </x:c>
      <x:c r="H20" s="83" t="str">
        <x:v>Within ±15%</x:v>
      </x:c>
      <x:c r="I20" s="83" t="str">
        <x:v>15%-40% deviation</x:v>
      </x:c>
      <x:c r="J20" s="83" t="str">
        <x:v>&gt;40% deviation or process impact</x:v>
      </x:c>
      <x:c r="K20" s="83" t="str">
        <x:v>Medium</x:v>
      </x:c>
      <x:c r="L20" s="83" t="str">
        <x:v>OT SOC</x:v>
      </x:c>
      <x:c r="M20" s="83" t="str">
        <x:v>Identify source, protocol, and operational cause; inspect for transfer or flooding.</x:v>
      </x:c>
      <x:c r="N20" s="83" t="str">
        <x:v>NIST SP 800-82 anomaly detection</x:v>
      </x:c>
      <x:c r="O20" s="83" t="str">
        <x:v>% deviation</x:v>
      </x:c>
    </x:row>
    <x:row r="21" ht="58" customHeight="1">
      <x:c r="A21" s="83" t="str">
        <x:v>COM-05</x:v>
      </x:c>
      <x:c r="B21" s="83" t="str">
        <x:v>Communication Behavior</x:v>
      </x:c>
      <x:c r="C21" s="83" t="str">
        <x:v>Polling Interval Deviation</x:v>
      </x:c>
      <x:c r="D21" s="83" t="str">
        <x:v>Changes in normal cyclic polling frequency between controllers, HMIs, and field devices.</x:v>
      </x:c>
      <x:c r="E21" s="83" t="str">
        <x:v>Compare current inter-message timing with learned baseline.</x:v>
      </x:c>
      <x:c r="F21" s="83" t="str">
        <x:v>Passive industrial protocol sensor</x:v>
      </x:c>
      <x:c r="G21" s="83" t="str">
        <x:v>Real time</x:v>
      </x:c>
      <x:c r="H21" s="83" t="str">
        <x:v>Within ±10%</x:v>
      </x:c>
      <x:c r="I21" s="83" t="str">
        <x:v>10%-30% deviation</x:v>
      </x:c>
      <x:c r="J21" s="83" t="str">
        <x:v>&gt;30%, missed polls, or new master</x:v>
      </x:c>
      <x:c r="K21" s="83" t="str">
        <x:v>High</x:v>
      </x:c>
      <x:c r="L21" s="83" t="str">
        <x:v>Control Engineering</x:v>
      </x:c>
      <x:c r="M21" s="83" t="str">
        <x:v>Check controller load, communications settings, network impairment, or spoofed master.</x:v>
      </x:c>
      <x:c r="N21" s="83" t="str">
        <x:v>NIST SP 800-82 OT traffic characteristics</x:v>
      </x:c>
      <x:c r="O21" s="83" t="str">
        <x:v>% deviation</x:v>
      </x:c>
    </x:row>
    <x:row r="22" ht="58" customHeight="1">
      <x:c r="A22" s="83" t="str">
        <x:v>COM-06</x:v>
      </x:c>
      <x:c r="B22" s="83" t="str">
        <x:v>Communication Behavior</x:v>
      </x:c>
      <x:c r="C22" s="83" t="str">
        <x:v>TCP Reset or Session Failure Rate</x:v>
      </x:c>
      <x:c r="D22" s="83" t="str">
        <x:v>Abnormal session termination, handshake failure, or repeated reconnects.</x:v>
      </x:c>
      <x:c r="E22" s="83" t="str">
        <x:v>Resets and failures / total sessions × 100.</x:v>
      </x:c>
      <x:c r="F22" s="83" t="str">
        <x:v>Passive sensor; firewall</x:v>
      </x:c>
      <x:c r="G22" s="83" t="str">
        <x:v>Real time</x:v>
      </x:c>
      <x:c r="H22" s="83" t="str">
        <x:v>&lt;0.5%</x:v>
      </x:c>
      <x:c r="I22" s="83" t="str">
        <x:v>0.5%-3%</x:v>
      </x:c>
      <x:c r="J22" s="83" t="str">
        <x:v>&gt;3% or critical session loss</x:v>
      </x:c>
      <x:c r="K22" s="83" t="str">
        <x:v>Medium</x:v>
      </x:c>
      <x:c r="L22" s="83" t="str">
        <x:v>OT Network Engineering</x:v>
      </x:c>
      <x:c r="M22" s="83" t="str">
        <x:v>Check network stability, security devices, endpoint health, and connection limits.</x:v>
      </x:c>
      <x:c r="N22" s="83" t="str">
        <x:v>NIST SP 800-82 network health</x:v>
      </x:c>
      <x:c r="O22" s="83" t="str">
        <x:v>%</x:v>
      </x:c>
    </x:row>
    <x:row r="23" ht="58" customHeight="1">
      <x:c r="A23" s="83" t="str">
        <x:v>CTL-01</x:v>
      </x:c>
      <x:c r="B23" s="83" t="str">
        <x:v>Control Integrity</x:v>
      </x:c>
      <x:c r="C23" s="83" t="str">
        <x:v>Unauthorized Write Commands</x:v>
      </x:c>
      <x:c r="D23" s="83" t="str">
        <x:v>Write, force, start, stop, reset, or setpoint commands from an unapproved source.</x:v>
      </x:c>
      <x:c r="E23" s="83" t="str">
        <x:v>Match industrial write functions against authorized sources, users, and maintenance windows.</x:v>
      </x:c>
      <x:c r="F23" s="83" t="str">
        <x:v>Industrial protocol IDS; controller logs</x:v>
      </x:c>
      <x:c r="G23" s="83" t="str">
        <x:v>Real time</x:v>
      </x:c>
      <x:c r="H23" s="83" t="str">
        <x:v>0</x:v>
      </x:c>
      <x:c r="I23" s="83" t="str">
        <x:v>1 approved maintenance action</x:v>
      </x:c>
      <x:c r="J23" s="83" t="str">
        <x:v>Any unapproved command</x:v>
      </x:c>
      <x:c r="K23" s="83" t="str">
        <x:v>Critical</x:v>
      </x:c>
      <x:c r="L23" s="83" t="str">
        <x:v>Control Engineering</x:v>
      </x:c>
      <x:c r="M23" s="83" t="str">
        <x:v>Validate command and process state; preserve evidence; block source if safe.</x:v>
      </x:c>
      <x:c r="N23" s="83" t="str">
        <x:v>MITRE ATT&amp;CK ICS: Modify Control Logic; Impair Process Control</x:v>
      </x:c>
      <x:c r="O23" s="83" t="str">
        <x:v>count</x:v>
      </x:c>
    </x:row>
    <x:row r="24" ht="58" customHeight="1">
      <x:c r="A24" s="83" t="str">
        <x:v>CTL-02</x:v>
      </x:c>
      <x:c r="B24" s="83" t="str">
        <x:v>Control Integrity</x:v>
      </x:c>
      <x:c r="C24" s="83" t="str">
        <x:v>Program Download or Online Edit</x:v>
      </x:c>
      <x:c r="D24" s="83" t="str">
        <x:v>Program download, logic transfer, online edit, or configuration change to a controller.</x:v>
      </x:c>
      <x:c r="E24" s="83" t="str">
        <x:v>Detect protocol functions, engineering logs, and controller alarms associated with program changes.</x:v>
      </x:c>
      <x:c r="F24" s="83" t="str">
        <x:v>Engineering workstation; PLC logs; passive sensor</x:v>
      </x:c>
      <x:c r="G24" s="83" t="str">
        <x:v>Real time</x:v>
      </x:c>
      <x:c r="H24" s="83" t="str">
        <x:v>0 outside approved change</x:v>
      </x:c>
      <x:c r="I24" s="83" t="str">
        <x:v>Approved change with ticket</x:v>
      </x:c>
      <x:c r="J24" s="83" t="str">
        <x:v>Any unapproved or unexplained change</x:v>
      </x:c>
      <x:c r="K24" s="83" t="str">
        <x:v>Critical</x:v>
      </x:c>
      <x:c r="L24" s="83" t="str">
        <x:v>Control Engineering</x:v>
      </x:c>
      <x:c r="M24" s="83" t="str">
        <x:v>Place process in safe state if necessary; compare logic hash; activate incident response.</x:v>
      </x:c>
      <x:c r="N24" s="83" t="str">
        <x:v>MITRE ATT&amp;CK ICS: Program Download / Online Edit</x:v>
      </x:c>
      <x:c r="O24" s="83" t="str">
        <x:v>count</x:v>
      </x:c>
    </x:row>
    <x:row r="25" ht="58" customHeight="1">
      <x:c r="A25" s="83" t="str">
        <x:v>CTL-03</x:v>
      </x:c>
      <x:c r="B25" s="83" t="str">
        <x:v>Control Integrity</x:v>
      </x:c>
      <x:c r="C25" s="83" t="str">
        <x:v>Controller Operating Mode Change</x:v>
      </x:c>
      <x:c r="D25" s="83" t="str">
        <x:v>Change between RUN, PROGRAM, STOP, REMOTE, or equivalent operating modes.</x:v>
      </x:c>
      <x:c r="E25" s="83" t="str">
        <x:v>Detect mode-change functions and controller state events.</x:v>
      </x:c>
      <x:c r="F25" s="83" t="str">
        <x:v>Controller logs; industrial protocol monitoring</x:v>
      </x:c>
      <x:c r="G25" s="83" t="str">
        <x:v>Real time</x:v>
      </x:c>
      <x:c r="H25" s="83" t="str">
        <x:v>0 unexpected</x:v>
      </x:c>
      <x:c r="I25" s="83" t="str">
        <x:v>Approved maintenance transition</x:v>
      </x:c>
      <x:c r="J25" s="83" t="str">
        <x:v>Unapproved STOP/PROGRAM or safety impact</x:v>
      </x:c>
      <x:c r="K25" s="83" t="str">
        <x:v>Critical</x:v>
      </x:c>
      <x:c r="L25" s="83" t="str">
        <x:v>Control Engineering</x:v>
      </x:c>
      <x:c r="M25" s="83" t="str">
        <x:v>Confirm operator intent; assess process safety; restore approved mode under procedure.</x:v>
      </x:c>
      <x:c r="N25" s="83" t="str">
        <x:v>MITRE ATT&amp;CK ICS: Change Operating Mode</x:v>
      </x:c>
      <x:c r="O25" s="83" t="str">
        <x:v>count</x:v>
      </x:c>
    </x:row>
    <x:row r="26" ht="58" customHeight="1">
      <x:c r="A26" s="83" t="str">
        <x:v>CTL-04</x:v>
      </x:c>
      <x:c r="B26" s="83" t="str">
        <x:v>Control Integrity</x:v>
      </x:c>
      <x:c r="C26" s="83" t="str">
        <x:v>Firmware Modification</x:v>
      </x:c>
      <x:c r="D26" s="83" t="str">
        <x:v>Firmware update, downgrade, replacement, or unexpected firmware hash change.</x:v>
      </x:c>
      <x:c r="E26" s="83" t="str">
        <x:v>Compare firmware version/hash and detect transfer or update functions.</x:v>
      </x:c>
      <x:c r="F26" s="83" t="str">
        <x:v>Asset management; controller logs; passive sensor</x:v>
      </x:c>
      <x:c r="G26" s="83" t="str">
        <x:v>Real time</x:v>
      </x:c>
      <x:c r="H26" s="83" t="str">
        <x:v>0 unexpected</x:v>
      </x:c>
      <x:c r="I26" s="83" t="str">
        <x:v>Approved change</x:v>
      </x:c>
      <x:c r="J26" s="83" t="str">
        <x:v>Any unapproved modification</x:v>
      </x:c>
      <x:c r="K26" s="83" t="str">
        <x:v>Critical</x:v>
      </x:c>
      <x:c r="L26" s="83" t="str">
        <x:v>Control Engineering</x:v>
      </x:c>
      <x:c r="M26" s="83" t="str">
        <x:v>Verify image authenticity, change ticket, vendor source, and device integrity.</x:v>
      </x:c>
      <x:c r="N26" s="83" t="str">
        <x:v>MITRE ATT&amp;CK ICS: Modify Firmware</x:v>
      </x:c>
      <x:c r="O26" s="83" t="str">
        <x:v>count</x:v>
      </x:c>
    </x:row>
    <x:row r="27" ht="58" customHeight="1">
      <x:c r="A27" s="83" t="str">
        <x:v>CTL-05</x:v>
      </x:c>
      <x:c r="B27" s="83" t="str">
        <x:v>Control Integrity</x:v>
      </x:c>
      <x:c r="C27" s="83" t="str">
        <x:v>Control Logic Hash Deviation</x:v>
      </x:c>
      <x:c r="D27" s="83" t="str">
        <x:v>Difference between current controller logic and the approved golden version.</x:v>
      </x:c>
      <x:c r="E27" s="83" t="str">
        <x:v>Compare cryptographic hash or vendor project checksum.</x:v>
      </x:c>
      <x:c r="F27" s="83" t="str">
        <x:v>Configuration backup platform; engineering repository</x:v>
      </x:c>
      <x:c r="G27" s="83" t="str">
        <x:v>Daily and after change</x:v>
      </x:c>
      <x:c r="H27" s="83" t="str">
        <x:v>0</x:v>
      </x:c>
      <x:c r="I27" s="83" t="str">
        <x:v>Approved pending update</x:v>
      </x:c>
      <x:c r="J27" s="83" t="str">
        <x:v>Any unexplained deviation</x:v>
      </x:c>
      <x:c r="K27" s="83" t="str">
        <x:v>Critical</x:v>
      </x:c>
      <x:c r="L27" s="83" t="str">
        <x:v>Control Engineering</x:v>
      </x:c>
      <x:c r="M27" s="83" t="str">
        <x:v>Retrieve project, perform controlled comparison, and preserve current image.</x:v>
      </x:c>
      <x:c r="N27" s="83" t="str">
        <x:v>ISA/IEC 62443 system integrity</x:v>
      </x:c>
      <x:c r="O27" s="83" t="str">
        <x:v>count</x:v>
      </x:c>
    </x:row>
    <x:row r="28" ht="58" customHeight="1">
      <x:c r="A28" s="83" t="str">
        <x:v>CTL-06</x:v>
      </x:c>
      <x:c r="B28" s="83" t="str">
        <x:v>Control Integrity</x:v>
      </x:c>
      <x:c r="C28" s="83" t="str">
        <x:v>Rogue Master or Engineering Station</x:v>
      </x:c>
      <x:c r="D28" s="83" t="str">
        <x:v>A new host initiating master, programming, or supervisory functions.</x:v>
      </x:c>
      <x:c r="E28" s="83" t="str">
        <x:v>Identify first-time or unauthorized initiators of industrial control messages.</x:v>
      </x:c>
      <x:c r="F28" s="83" t="str">
        <x:v>Passive industrial protocol sensor</x:v>
      </x:c>
      <x:c r="G28" s="83" t="str">
        <x:v>Real time</x:v>
      </x:c>
      <x:c r="H28" s="83" t="str">
        <x:v>0</x:v>
      </x:c>
      <x:c r="I28" s="83" t="str">
        <x:v>Approved temporary engineering station</x:v>
      </x:c>
      <x:c r="J28" s="83" t="str">
        <x:v>Any unapproved master</x:v>
      </x:c>
      <x:c r="K28" s="83" t="str">
        <x:v>Critical</x:v>
      </x:c>
      <x:c r="L28" s="83" t="str">
        <x:v>OT SOC</x:v>
      </x:c>
      <x:c r="M28" s="83" t="str">
        <x:v>Validate maintenance activity; restrict source; review commands already issued.</x:v>
      </x:c>
      <x:c r="N28" s="83" t="str">
        <x:v>MITRE ATT&amp;CK ICS: discovery and control manipulation</x:v>
      </x:c>
      <x:c r="O28" s="83" t="str">
        <x:v>count</x:v>
      </x:c>
    </x:row>
    <x:row r="29" ht="58" customHeight="1">
      <x:c r="A29" s="83" t="str">
        <x:v>PRC-01</x:v>
      </x:c>
      <x:c r="B29" s="83" t="str">
        <x:v>Process Integrity</x:v>
      </x:c>
      <x:c r="C29" s="83" t="str">
        <x:v>Out-of-Range Process Values</x:v>
      </x:c>
      <x:c r="D29" s="83" t="str">
        <x:v>Process variables outside engineering, safety, or operating limits.</x:v>
      </x:c>
      <x:c r="E29" s="83" t="str">
        <x:v>Compare tags with approved min/max and operating-mode limits.</x:v>
      </x:c>
      <x:c r="F29" s="83" t="str">
        <x:v>Historian; SCADA; DCS; SIS</x:v>
      </x:c>
      <x:c r="G29" s="83" t="str">
        <x:v>Real time</x:v>
      </x:c>
      <x:c r="H29" s="83" t="str">
        <x:v>Within operating limits</x:v>
      </x:c>
      <x:c r="I29" s="83" t="str">
        <x:v>Near alarm boundary</x:v>
      </x:c>
      <x:c r="J29" s="83" t="str">
        <x:v>Beyond trip/safety boundary</x:v>
      </x:c>
      <x:c r="K29" s="83" t="str">
        <x:v>Critical</x:v>
      </x:c>
      <x:c r="L29" s="83" t="str">
        <x:v>Process Engineering</x:v>
      </x:c>
      <x:c r="M29" s="83" t="str">
        <x:v>Validate sensor and process condition; follow operational safety procedure.</x:v>
      </x:c>
      <x:c r="N29" s="83" t="str">
        <x:v>NIST SP 800-82 process monitoring</x:v>
      </x:c>
      <x:c r="O29" s="83" t="str">
        <x:v>count</x:v>
      </x:c>
    </x:row>
    <x:row r="30" ht="58" customHeight="1">
      <x:c r="A30" s="83" t="str">
        <x:v>PRC-02</x:v>
      </x:c>
      <x:c r="B30" s="83" t="str">
        <x:v>Process Integrity</x:v>
      </x:c>
      <x:c r="C30" s="83" t="str">
        <x:v>Impossible Rate of Change</x:v>
      </x:c>
      <x:c r="D30" s="83" t="str">
        <x:v>A process value changes faster than physically or operationally possible.</x:v>
      </x:c>
      <x:c r="E30" s="83" t="str">
        <x:v>Calculate rate of change and compare with physical constraints.</x:v>
      </x:c>
      <x:c r="F30" s="83" t="str">
        <x:v>Historian; analytics platform</x:v>
      </x:c>
      <x:c r="G30" s="83" t="str">
        <x:v>Real time</x:v>
      </x:c>
      <x:c r="H30" s="83" t="str">
        <x:v>Within physical model</x:v>
      </x:c>
      <x:c r="I30" s="83" t="str">
        <x:v>Unusual but plausible</x:v>
      </x:c>
      <x:c r="J30" s="83" t="str">
        <x:v>Physically impossible or safety-relevant</x:v>
      </x:c>
      <x:c r="K30" s="83" t="str">
        <x:v>Critical</x:v>
      </x:c>
      <x:c r="L30" s="83" t="str">
        <x:v>Process Engineering</x:v>
      </x:c>
      <x:c r="M30" s="83" t="str">
        <x:v>Cross-check redundant sensors; assess manipulation, sensor fault, or process upset.</x:v>
      </x:c>
      <x:c r="N30" s="83" t="str">
        <x:v>Process anomaly detection</x:v>
      </x:c>
      <x:c r="O30" s="83" t="str">
        <x:v>events</x:v>
      </x:c>
    </x:row>
    <x:row r="31" ht="58" customHeight="1">
      <x:c r="A31" s="83" t="str">
        <x:v>PRC-03</x:v>
      </x:c>
      <x:c r="B31" s="83" t="str">
        <x:v>Process Integrity</x:v>
      </x:c>
      <x:c r="C31" s="83" t="str">
        <x:v>Frozen or Stale Tags</x:v>
      </x:c>
      <x:c r="D31" s="83" t="str">
        <x:v>Tags that have not updated within the expected interval.</x:v>
      </x:c>
      <x:c r="E31" s="83" t="str">
        <x:v>Current time minus last valid update compared with tag-specific limit.</x:v>
      </x:c>
      <x:c r="F31" s="83" t="str">
        <x:v>Historian; OPC server; SCADA</x:v>
      </x:c>
      <x:c r="G31" s="83" t="str">
        <x:v>Real time</x:v>
      </x:c>
      <x:c r="H31" s="83" t="str">
        <x:v>0 critical stale tags</x:v>
      </x:c>
      <x:c r="I31" s="83" t="str">
        <x:v>1-2 noncritical</x:v>
      </x:c>
      <x:c r="J31" s="83" t="str">
        <x:v>Any critical tag or widespread stale data</x:v>
      </x:c>
      <x:c r="K31" s="83" t="str">
        <x:v>High</x:v>
      </x:c>
      <x:c r="L31" s="83" t="str">
        <x:v>Control Engineering</x:v>
      </x:c>
      <x:c r="M31" s="83" t="str">
        <x:v>Check communications, OPC services, controller health, and sensor status.</x:v>
      </x:c>
      <x:c r="N31" s="83" t="str">
        <x:v>MITRE ATT&amp;CK ICS: Block OT Message</x:v>
      </x:c>
      <x:c r="O31" s="83" t="str">
        <x:v>count</x:v>
      </x:c>
    </x:row>
    <x:row r="32" ht="58" customHeight="1">
      <x:c r="A32" s="83" t="str">
        <x:v>PRC-04</x:v>
      </x:c>
      <x:c r="B32" s="83" t="str">
        <x:v>Process Integrity</x:v>
      </x:c>
      <x:c r="C32" s="83" t="str">
        <x:v>Command-Response Mismatch</x:v>
      </x:c>
      <x:c r="D32" s="83" t="str">
        <x:v>A control command is not followed by the expected physical or logical response.</x:v>
      </x:c>
      <x:c r="E32" s="83" t="str">
        <x:v>Correlate command, actuator state, and process variable within expected time.</x:v>
      </x:c>
      <x:c r="F32" s="83" t="str">
        <x:v>Historian; controller events; SCADA</x:v>
      </x:c>
      <x:c r="G32" s="83" t="str">
        <x:v>Real time</x:v>
      </x:c>
      <x:c r="H32" s="83" t="str">
        <x:v>0</x:v>
      </x:c>
      <x:c r="I32" s="83" t="str">
        <x:v>1 explainable delay</x:v>
      </x:c>
      <x:c r="J32" s="83" t="str">
        <x:v>Any safety-critical mismatch</x:v>
      </x:c>
      <x:c r="K32" s="83" t="str">
        <x:v>Critical</x:v>
      </x:c>
      <x:c r="L32" s="83" t="str">
        <x:v>Process Engineering</x:v>
      </x:c>
      <x:c r="M32" s="83" t="str">
        <x:v>Assess actuator, field wiring, interlock, spoofing, or blocked communications.</x:v>
      </x:c>
      <x:c r="N32" s="83" t="str">
        <x:v>MITRE ATT&amp;CK ICS: Block OT Message; Impair Process Control</x:v>
      </x:c>
      <x:c r="O32" s="83" t="str">
        <x:v>count</x:v>
      </x:c>
    </x:row>
    <x:row r="33" ht="58" customHeight="1">
      <x:c r="A33" s="83" t="str">
        <x:v>PRC-05</x:v>
      </x:c>
      <x:c r="B33" s="83" t="str">
        <x:v>Process Integrity</x:v>
      </x:c>
      <x:c r="C33" s="83" t="str">
        <x:v>Alarm, Trip, and Interlock Rate</x:v>
      </x:c>
      <x:c r="D33" s="83" t="str">
        <x:v>Frequency and pattern of process alarms, trips, interlocks, overrides, or bypasses.</x:v>
      </x:c>
      <x:c r="E33" s="83" t="str">
        <x:v>Count and compare with process-state baseline.</x:v>
      </x:c>
      <x:c r="F33" s="83" t="str">
        <x:v>SCADA/DCS alarm server; SIS</x:v>
      </x:c>
      <x:c r="G33" s="83" t="str">
        <x:v>Real time</x:v>
      </x:c>
      <x:c r="H33" s="83" t="str">
        <x:v>Within baseline</x:v>
      </x:c>
      <x:c r="I33" s="83" t="str">
        <x:v>20%-50% above baseline</x:v>
      </x:c>
      <x:c r="J33" s="83" t="str">
        <x:v>&gt;50%, alarm flood, or safety trip</x:v>
      </x:c>
      <x:c r="K33" s="83" t="str">
        <x:v>Critical</x:v>
      </x:c>
      <x:c r="L33" s="83" t="str">
        <x:v>Shift Supervisor</x:v>
      </x:c>
      <x:c r="M33" s="83" t="str">
        <x:v>Stabilize process; identify initiating condition; preserve alarm sequence.</x:v>
      </x:c>
      <x:c r="N33" s="83" t="str">
        <x:v>NIST SP 800-82 safety and availability</x:v>
      </x:c>
      <x:c r="O33" s="83" t="str">
        <x:v>events/hour</x:v>
      </x:c>
    </x:row>
    <x:row r="34" ht="58" customHeight="1">
      <x:c r="A34" s="83" t="str">
        <x:v>PRC-06</x:v>
      </x:c>
      <x:c r="B34" s="83" t="str">
        <x:v>Process Integrity</x:v>
      </x:c>
      <x:c r="C34" s="83" t="str">
        <x:v>Safety Bypass Duration</x:v>
      </x:c>
      <x:c r="D34" s="83" t="str">
        <x:v>Duration and number of active safety bypasses, inhibited alarms, or forced points.</x:v>
      </x:c>
      <x:c r="E34" s="83" t="str">
        <x:v>Track activation, approval, and elapsed time against permit.</x:v>
      </x:c>
      <x:c r="F34" s="83" t="str">
        <x:v>SIS; DCS; maintenance system</x:v>
      </x:c>
      <x:c r="G34" s="83" t="str">
        <x:v>Real time</x:v>
      </x:c>
      <x:c r="H34" s="83" t="str">
        <x:v>0 or approved within window</x:v>
      </x:c>
      <x:c r="I34" s="83" t="str">
        <x:v>Approaching approved end time</x:v>
      </x:c>
      <x:c r="J34" s="83" t="str">
        <x:v>Unapproved or expired bypass</x:v>
      </x:c>
      <x:c r="K34" s="83" t="str">
        <x:v>Critical</x:v>
      </x:c>
      <x:c r="L34" s="83" t="str">
        <x:v>Safety Manager</x:v>
      </x:c>
      <x:c r="M34" s="83" t="str">
        <x:v>Verify permit and compensating controls; remove bypass under approved procedure.</x:v>
      </x:c>
      <x:c r="N34" s="83" t="str">
        <x:v>ISA/IEC 62443 safety coordination</x:v>
      </x:c>
      <x:c r="O34" s="83" t="str">
        <x:v>minutes</x:v>
      </x:c>
    </x:row>
    <x:row r="35" ht="58" customHeight="1">
      <x:c r="A35" s="83" t="str">
        <x:v>IAM-01</x:v>
      </x:c>
      <x:c r="B35" s="83" t="str">
        <x:v>Identity and Access</x:v>
      </x:c>
      <x:c r="C35" s="83" t="str">
        <x:v>Failed Authentication Rate</x:v>
      </x:c>
      <x:c r="D35" s="83" t="str">
        <x:v>Failed logons against HMIs, engineering workstations, servers, network devices, or remote access.</x:v>
      </x:c>
      <x:c r="E35" s="83" t="str">
        <x:v>Failed authentications per account/source and time window.</x:v>
      </x:c>
      <x:c r="F35" s="83" t="str">
        <x:v>Windows/Linux logs; VPN; firewall; application logs</x:v>
      </x:c>
      <x:c r="G35" s="83" t="str">
        <x:v>Real time</x:v>
      </x:c>
      <x:c r="H35" s="83" t="str">
        <x:v>Within baseline</x:v>
      </x:c>
      <x:c r="I35" s="83" t="str">
        <x:v>3-5 failures in 15 min</x:v>
      </x:c>
      <x:c r="J35" s="83" t="str">
        <x:v>&gt;5, multiple accounts, or privileged target</x:v>
      </x:c>
      <x:c r="K35" s="83" t="str">
        <x:v>High</x:v>
      </x:c>
      <x:c r="L35" s="83" t="str">
        <x:v>OT SOC</x:v>
      </x:c>
      <x:c r="M35" s="83" t="str">
        <x:v>Validate user activity; investigate brute force, stale credentials, or configuration failure.</x:v>
      </x:c>
      <x:c r="N35" s="83" t="str">
        <x:v>MITRE ATT&amp;CK ICS: Valid Accounts</x:v>
      </x:c>
      <x:c r="O35" s="83" t="str">
        <x:v>events</x:v>
      </x:c>
    </x:row>
    <x:row r="36" ht="58" customHeight="1">
      <x:c r="A36" s="83" t="str">
        <x:v>IAM-02</x:v>
      </x:c>
      <x:c r="B36" s="83" t="str">
        <x:v>Identity and Access</x:v>
      </x:c>
      <x:c r="C36" s="83" t="str">
        <x:v>Privileged Account Use</x:v>
      </x:c>
      <x:c r="D36" s="83" t="str">
        <x:v>Use of administrator, engineering, safety, or shared privileged accounts.</x:v>
      </x:c>
      <x:c r="E36" s="83" t="str">
        <x:v>Count sessions and actions; compare with authorized schedule and source.</x:v>
      </x:c>
      <x:c r="F36" s="83" t="str">
        <x:v>Authentication logs; PAM; engineering tools</x:v>
      </x:c>
      <x:c r="G36" s="83" t="str">
        <x:v>Real time</x:v>
      </x:c>
      <x:c r="H36" s="83" t="str">
        <x:v>Approved and ticketed</x:v>
      </x:c>
      <x:c r="I36" s="83" t="str">
        <x:v>Unusual time or source</x:v>
      </x:c>
      <x:c r="J36" s="83" t="str">
        <x:v>Unapproved privileged activity</x:v>
      </x:c>
      <x:c r="K36" s="83" t="str">
        <x:v>Critical</x:v>
      </x:c>
      <x:c r="L36" s="83" t="str">
        <x:v>OT SOC</x:v>
      </x:c>
      <x:c r="M36" s="83" t="str">
        <x:v>Contact owner; review commands and changes; suspend access if unauthorized.</x:v>
      </x:c>
      <x:c r="N36" s="83" t="str">
        <x:v>ISA/IEC 62443 access control</x:v>
      </x:c>
      <x:c r="O36" s="83" t="str">
        <x:v>sessions</x:v>
      </x:c>
    </x:row>
    <x:row r="37" ht="58" customHeight="1">
      <x:c r="A37" s="83" t="str">
        <x:v>IAM-03</x:v>
      </x:c>
      <x:c r="B37" s="83" t="str">
        <x:v>Identity and Access</x:v>
      </x:c>
      <x:c r="C37" s="83" t="str">
        <x:v>Dormant or Shared Account Activity</x:v>
      </x:c>
      <x:c r="D37" s="83" t="str">
        <x:v>Activity by dormant, generic, default, vendor, or shared accounts.</x:v>
      </x:c>
      <x:c r="E37" s="83" t="str">
        <x:v>Match authentication events to account classification and last-use baseline.</x:v>
      </x:c>
      <x:c r="F37" s="83" t="str">
        <x:v>Directory; local accounts; PAM; VPN</x:v>
      </x:c>
      <x:c r="G37" s="83" t="str">
        <x:v>Daily</x:v>
      </x:c>
      <x:c r="H37" s="83" t="str">
        <x:v>0 unexpected</x:v>
      </x:c>
      <x:c r="I37" s="83" t="str">
        <x:v>Approved vendor/shared use</x:v>
      </x:c>
      <x:c r="J37" s="83" t="str">
        <x:v>Dormant/default account use</x:v>
      </x:c>
      <x:c r="K37" s="83" t="str">
        <x:v>High</x:v>
      </x:c>
      <x:c r="L37" s="83" t="str">
        <x:v>Identity Management</x:v>
      </x:c>
      <x:c r="M37" s="83" t="str">
        <x:v>Disable or rotate credentials; review session activity and exposure.</x:v>
      </x:c>
      <x:c r="N37" s="83" t="str">
        <x:v>MITRE ATT&amp;CK ICS: Valid Accounts</x:v>
      </x:c>
      <x:c r="O37" s="83" t="str">
        <x:v>sessions</x:v>
      </x:c>
    </x:row>
    <x:row r="38" ht="58" customHeight="1">
      <x:c r="A38" s="83" t="str">
        <x:v>IAM-04</x:v>
      </x:c>
      <x:c r="B38" s="83" t="str">
        <x:v>Identity and Access</x:v>
      </x:c>
      <x:c r="C38" s="83" t="str">
        <x:v>Concurrent or Geographically Inconsistent Sessions</x:v>
      </x:c>
      <x:c r="D38" s="83" t="str">
        <x:v>Same account used concurrently or from inconsistent origins.</x:v>
      </x:c>
      <x:c r="E38" s="83" t="str">
        <x:v>Correlate account, source, time, device, and remote-access location.</x:v>
      </x:c>
      <x:c r="F38" s="83" t="str">
        <x:v>VPN; jump server; authentication logs</x:v>
      </x:c>
      <x:c r="G38" s="83" t="str">
        <x:v>Real time</x:v>
      </x:c>
      <x:c r="H38" s="83" t="str">
        <x:v>0</x:v>
      </x:c>
      <x:c r="I38" s="83" t="str">
        <x:v>Explainable handover</x:v>
      </x:c>
      <x:c r="J38" s="83" t="str">
        <x:v>Unexplained concurrent use</x:v>
      </x:c>
      <x:c r="K38" s="83" t="str">
        <x:v>High</x:v>
      </x:c>
      <x:c r="L38" s="83" t="str">
        <x:v>OT SOC</x:v>
      </x:c>
      <x:c r="M38" s="83" t="str">
        <x:v>Terminate suspicious session and validate account owner.</x:v>
      </x:c>
      <x:c r="N38" s="83" t="str">
        <x:v>Access control monitoring</x:v>
      </x:c>
      <x:c r="O38" s="83" t="str">
        <x:v>events</x:v>
      </x:c>
    </x:row>
    <x:row r="39" ht="58" customHeight="1">
      <x:c r="A39" s="83" t="str">
        <x:v>RMT-01</x:v>
      </x:c>
      <x:c r="B39" s="83" t="str">
        <x:v>Remote Access</x:v>
      </x:c>
      <x:c r="C39" s="83" t="str">
        <x:v>Remote Session Compliance</x:v>
      </x:c>
      <x:c r="D39" s="83" t="str">
        <x:v>Percentage of remote OT sessions using approved VPN, MFA, jump host, ticket, and recording.</x:v>
      </x:c>
      <x:c r="E39" s="83" t="str">
        <x:v>Compliant sessions / total remote OT sessions × 100.</x:v>
      </x:c>
      <x:c r="F39" s="83" t="str">
        <x:v>VPN; PAM; jump server; ticketing</x:v>
      </x:c>
      <x:c r="G39" s="83" t="str">
        <x:v>Real time</x:v>
      </x:c>
      <x:c r="H39" s="83" t="str">
        <x:v>&gt;=99%</x:v>
      </x:c>
      <x:c r="I39" s="83" t="str">
        <x:v>95%-&lt;99%</x:v>
      </x:c>
      <x:c r="J39" s="83" t="str">
        <x:v>&lt;95% or direct device access</x:v>
      </x:c>
      <x:c r="K39" s="83" t="str">
        <x:v>Critical</x:v>
      </x:c>
      <x:c r="L39" s="83" t="str">
        <x:v>Remote Access Owner</x:v>
      </x:c>
      <x:c r="M39" s="83" t="str">
        <x:v>Terminate noncompliant access when safe; validate vendor and maintenance purpose.</x:v>
      </x:c>
      <x:c r="N39" s="83" t="str">
        <x:v>ISA/IEC 62443 remote access</x:v>
      </x:c>
      <x:c r="O39" s="83" t="str">
        <x:v>%</x:v>
      </x:c>
    </x:row>
    <x:row r="40" ht="58" customHeight="1">
      <x:c r="A40" s="83" t="str">
        <x:v>RMT-02</x:v>
      </x:c>
      <x:c r="B40" s="83" t="str">
        <x:v>Remote Access</x:v>
      </x:c>
      <x:c r="C40" s="83" t="str">
        <x:v>Remote Access Outside Window</x:v>
      </x:c>
      <x:c r="D40" s="83" t="str">
        <x:v>Remote connection outside an approved maintenance or support window.</x:v>
      </x:c>
      <x:c r="E40" s="83" t="str">
        <x:v>Compare session time against approved ticket and schedule.</x:v>
      </x:c>
      <x:c r="F40" s="83" t="str">
        <x:v>VPN; PAM; ticketing</x:v>
      </x:c>
      <x:c r="G40" s="83" t="str">
        <x:v>Real time</x:v>
      </x:c>
      <x:c r="H40" s="83" t="str">
        <x:v>0</x:v>
      </x:c>
      <x:c r="I40" s="83" t="str">
        <x:v>Approved emergency access</x:v>
      </x:c>
      <x:c r="J40" s="83" t="str">
        <x:v>Any unapproved session</x:v>
      </x:c>
      <x:c r="K40" s="83" t="str">
        <x:v>High</x:v>
      </x:c>
      <x:c r="L40" s="83" t="str">
        <x:v>OT SOC</x:v>
      </x:c>
      <x:c r="M40" s="83" t="str">
        <x:v>Contact sponsor; validate work; terminate and investigate if unauthorized.</x:v>
      </x:c>
      <x:c r="N40" s="83" t="str">
        <x:v>NIST SP 800-82 remote access</x:v>
      </x:c>
      <x:c r="O40" s="83" t="str">
        <x:v>sessions</x:v>
      </x:c>
    </x:row>
    <x:row r="41" ht="58" customHeight="1">
      <x:c r="A41" s="83" t="str">
        <x:v>RMT-03</x:v>
      </x:c>
      <x:c r="B41" s="83" t="str">
        <x:v>Remote Access</x:v>
      </x:c>
      <x:c r="C41" s="83" t="str">
        <x:v>Long-Lived or Orphaned Sessions</x:v>
      </x:c>
      <x:c r="D41" s="83" t="str">
        <x:v>Remote sessions exceeding approved duration or remaining active after work completion.</x:v>
      </x:c>
      <x:c r="E41" s="83" t="str">
        <x:v>Session duration compared with ticketed time and inactivity limits.</x:v>
      </x:c>
      <x:c r="F41" s="83" t="str">
        <x:v>VPN; jump host; PAM</x:v>
      </x:c>
      <x:c r="G41" s="83" t="str">
        <x:v>Real time</x:v>
      </x:c>
      <x:c r="H41" s="83" t="str">
        <x:v>Within approved duration</x:v>
      </x:c>
      <x:c r="I41" s="83" t="str">
        <x:v>Up to 25% over limit</x:v>
      </x:c>
      <x:c r="J41" s="83" t="str">
        <x:v>&gt;25% over limit or no owner</x:v>
      </x:c>
      <x:c r="K41" s="83" t="str">
        <x:v>Medium</x:v>
      </x:c>
      <x:c r="L41" s="83" t="str">
        <x:v>Remote Access Owner</x:v>
      </x:c>
      <x:c r="M41" s="83" t="str">
        <x:v>Contact user, end session, and verify no residual access.</x:v>
      </x:c>
      <x:c r="N41" s="83" t="str">
        <x:v>ISA/IEC 62443 session management</x:v>
      </x:c>
      <x:c r="O41" s="83" t="str">
        <x:v>sessions</x:v>
      </x:c>
    </x:row>
    <x:row r="42" ht="58" customHeight="1">
      <x:c r="A42" s="83" t="str">
        <x:v>SEG-01</x:v>
      </x:c>
      <x:c r="B42" s="83" t="str">
        <x:v>Segmentation</x:v>
      </x:c>
      <x:c r="C42" s="83" t="str">
        <x:v>IT-to-OT Policy Violations</x:v>
      </x:c>
      <x:c r="D42" s="83" t="str">
        <x:v>Connections from enterprise zones to OT assets that violate approved conduits.</x:v>
      </x:c>
      <x:c r="E42" s="83" t="str">
        <x:v>Compare firewall/flow events with zone-conduit allowlist.</x:v>
      </x:c>
      <x:c r="F42" s="83" t="str">
        <x:v>Firewall; flow telemetry; passive sensor</x:v>
      </x:c>
      <x:c r="G42" s="83" t="str">
        <x:v>Real time</x:v>
      </x:c>
      <x:c r="H42" s="83" t="str">
        <x:v>0</x:v>
      </x:c>
      <x:c r="I42" s="83" t="str">
        <x:v>Blocked attempts with known cause</x:v>
      </x:c>
      <x:c r="J42" s="83" t="str">
        <x:v>Allowed or repeated unauthorized path</x:v>
      </x:c>
      <x:c r="K42" s="83" t="str">
        <x:v>Critical</x:v>
      </x:c>
      <x:c r="L42" s="83" t="str">
        <x:v>OT Network Security</x:v>
      </x:c>
      <x:c r="M42" s="83" t="str">
        <x:v>Block path if safe; identify initiating host; review firewall and routing changes.</x:v>
      </x:c>
      <x:c r="N42" s="83" t="str">
        <x:v>ISA/IEC 62443 zones and conduits</x:v>
      </x:c>
      <x:c r="O42" s="83" t="str">
        <x:v>events</x:v>
      </x:c>
    </x:row>
    <x:row r="43" ht="58" customHeight="1">
      <x:c r="A43" s="83" t="str">
        <x:v>SEG-02</x:v>
      </x:c>
      <x:c r="B43" s="83" t="str">
        <x:v>Segmentation</x:v>
      </x:c>
      <x:c r="C43" s="83" t="str">
        <x:v>Direct Internet Connectivity</x:v>
      </x:c>
      <x:c r="D43" s="83" t="str">
        <x:v>Inbound or outbound internet communication by assets not explicitly approved.</x:v>
      </x:c>
      <x:c r="E43" s="83" t="str">
        <x:v>Match OT flows and DNS activity against approved external destinations.</x:v>
      </x:c>
      <x:c r="F43" s="83" t="str">
        <x:v>Firewall; proxy; DNS; passive sensor</x:v>
      </x:c>
      <x:c r="G43" s="83" t="str">
        <x:v>Real time</x:v>
      </x:c>
      <x:c r="H43" s="83" t="str">
        <x:v>0</x:v>
      </x:c>
      <x:c r="I43" s="83" t="str">
        <x:v>Approved brokered service</x:v>
      </x:c>
      <x:c r="J43" s="83" t="str">
        <x:v>Any direct unapproved connection</x:v>
      </x:c>
      <x:c r="K43" s="83" t="str">
        <x:v>Critical</x:v>
      </x:c>
      <x:c r="L43" s="83" t="str">
        <x:v>OT Network Security</x:v>
      </x:c>
      <x:c r="M43" s="83" t="str">
        <x:v>Contain source; identify destination and transferred data; remove direct route.</x:v>
      </x:c>
      <x:c r="N43" s="83" t="str">
        <x:v>NIST SP 800-82 network architecture</x:v>
      </x:c>
      <x:c r="O43" s="83" t="str">
        <x:v>connections</x:v>
      </x:c>
    </x:row>
    <x:row r="44" ht="58" customHeight="1">
      <x:c r="A44" s="83" t="str">
        <x:v>SEG-03</x:v>
      </x:c>
      <x:c r="B44" s="83" t="str">
        <x:v>Segmentation</x:v>
      </x:c>
      <x:c r="C44" s="83" t="str">
        <x:v>Firewall Deny Surge</x:v>
      </x:c>
      <x:c r="D44" s="83" t="str">
        <x:v>Rapid increase in blocked connections at OT boundaries.</x:v>
      </x:c>
      <x:c r="E44" s="83" t="str">
        <x:v>Current deny rate compared with historical baseline and source diversity.</x:v>
      </x:c>
      <x:c r="F44" s="83" t="str">
        <x:v>Firewall; SIEM</x:v>
      </x:c>
      <x:c r="G44" s="83" t="str">
        <x:v>Real time</x:v>
      </x:c>
      <x:c r="H44" s="83" t="str">
        <x:v>Within baseline</x:v>
      </x:c>
      <x:c r="I44" s="83" t="str">
        <x:v>2× baseline</x:v>
      </x:c>
      <x:c r="J44" s="83" t="str">
        <x:v>5× baseline or distributed sources</x:v>
      </x:c>
      <x:c r="K44" s="83" t="str">
        <x:v>Medium</x:v>
      </x:c>
      <x:c r="L44" s="83" t="str">
        <x:v>OT SOC</x:v>
      </x:c>
      <x:c r="M44" s="83" t="str">
        <x:v>Identify source, target, protocol, scan pattern, and operational cause.</x:v>
      </x:c>
      <x:c r="N44" s="83" t="str">
        <x:v>Boundary protection monitoring</x:v>
      </x:c>
      <x:c r="O44" s="83" t="str">
        <x:v>events/min</x:v>
      </x:c>
    </x:row>
    <x:row r="45" ht="58" customHeight="1">
      <x:c r="A45" s="83" t="str">
        <x:v>SEG-04</x:v>
      </x:c>
      <x:c r="B45" s="83" t="str">
        <x:v>Segmentation</x:v>
      </x:c>
      <x:c r="C45" s="83" t="str">
        <x:v>DMZ Bypass or Alternate Path</x:v>
      </x:c>
      <x:c r="D45" s="83" t="str">
        <x:v>Traffic bypassing the industrial DMZ, jump host, proxy, or approved security control.</x:v>
      </x:c>
      <x:c r="E45" s="83" t="str">
        <x:v>Detect direct routes and flows not traversing required enforcement points.</x:v>
      </x:c>
      <x:c r="F45" s="83" t="str">
        <x:v>Flow telemetry; routing; firewall</x:v>
      </x:c>
      <x:c r="G45" s="83" t="str">
        <x:v>Real time</x:v>
      </x:c>
      <x:c r="H45" s="83" t="str">
        <x:v>0</x:v>
      </x:c>
      <x:c r="I45" s="83" t="str">
        <x:v>Approved temporary exception</x:v>
      </x:c>
      <x:c r="J45" s="83" t="str">
        <x:v>Any unapproved bypass</x:v>
      </x:c>
      <x:c r="K45" s="83" t="str">
        <x:v>Critical</x:v>
      </x:c>
      <x:c r="L45" s="83" t="str">
        <x:v>OT Network Security</x:v>
      </x:c>
      <x:c r="M45" s="83" t="str">
        <x:v>Remove alternate path and investigate configuration or unauthorized device.</x:v>
      </x:c>
      <x:c r="N45" s="83" t="str">
        <x:v>ISA/IEC 62443 zones and conduits</x:v>
      </x:c>
      <x:c r="O45" s="83" t="str">
        <x:v>events</x:v>
      </x:c>
    </x:row>
    <x:row r="46" ht="58" customHeight="1">
      <x:c r="A46" s="83" t="str">
        <x:v>END-01</x:v>
      </x:c>
      <x:c r="B46" s="83" t="str">
        <x:v>Endpoint and Server Health</x:v>
      </x:c>
      <x:c r="C46" s="83" t="str">
        <x:v>Critical OT Service Availability</x:v>
      </x:c>
      <x:c r="D46" s="83" t="str">
        <x:v>Availability of HMI, SCADA, historian, OPC, domain, time, engineering, and safety-support services.</x:v>
      </x:c>
      <x:c r="E46" s="83" t="str">
        <x:v>Available service checks / scheduled checks × 100.</x:v>
      </x:c>
      <x:c r="F46" s="83" t="str">
        <x:v>NMS; application monitoring; Windows services</x:v>
      </x:c>
      <x:c r="G46" s="83" t="str">
        <x:v>Real time</x:v>
      </x:c>
      <x:c r="H46" s="83" t="str">
        <x:v>&gt;=99.95%</x:v>
      </x:c>
      <x:c r="I46" s="83" t="str">
        <x:v>99.5%-&lt;99.95%</x:v>
      </x:c>
      <x:c r="J46" s="83" t="str">
        <x:v>&lt;99.5% or control impact</x:v>
      </x:c>
      <x:c r="K46" s="83" t="str">
        <x:v>Critical</x:v>
      </x:c>
      <x:c r="L46" s="83" t="str">
        <x:v>OT Platform Owner</x:v>
      </x:c>
      <x:c r="M46" s="83" t="str">
        <x:v>Restore service using approved recovery procedure; assess process visibility and control.</x:v>
      </x:c>
      <x:c r="N46" s="83" t="str">
        <x:v>NIST SP 800-82 availability</x:v>
      </x:c>
      <x:c r="O46" s="83" t="str">
        <x:v>%</x:v>
      </x:c>
    </x:row>
    <x:row r="47" ht="58" customHeight="1">
      <x:c r="A47" s="83" t="str">
        <x:v>END-02</x:v>
      </x:c>
      <x:c r="B47" s="83" t="str">
        <x:v>Endpoint and Server Health</x:v>
      </x:c>
      <x:c r="C47" s="83" t="str">
        <x:v>Unapproved Software or Process</x:v>
      </x:c>
      <x:c r="D47" s="83" t="str">
        <x:v>New executable, service, scheduled task, remote tool, script, or software installation.</x:v>
      </x:c>
      <x:c r="E47" s="83" t="str">
        <x:v>Compare process/software inventory with allowlist and change records.</x:v>
      </x:c>
      <x:c r="F47" s="83" t="str">
        <x:v>EDR; application control; host logs</x:v>
      </x:c>
      <x:c r="G47" s="83" t="str">
        <x:v>Real time</x:v>
      </x:c>
      <x:c r="H47" s="83" t="str">
        <x:v>0</x:v>
      </x:c>
      <x:c r="I47" s="83" t="str">
        <x:v>Approved deployment</x:v>
      </x:c>
      <x:c r="J47" s="83" t="str">
        <x:v>Any unapproved execution</x:v>
      </x:c>
      <x:c r="K47" s="83" t="str">
        <x:v>High</x:v>
      </x:c>
      <x:c r="L47" s="83" t="str">
        <x:v>OT Endpoint Security</x:v>
      </x:c>
      <x:c r="M47" s="83" t="str">
        <x:v>Validate change; collect process lineage; contain if suspicious and operationally safe.</x:v>
      </x:c>
      <x:c r="N47" s="83" t="str">
        <x:v>MITRE ATT&amp;CK ICS execution techniques</x:v>
      </x:c>
      <x:c r="O47" s="83" t="str">
        <x:v>events</x:v>
      </x:c>
    </x:row>
    <x:row r="48" ht="58" customHeight="1">
      <x:c r="A48" s="83" t="str">
        <x:v>END-03</x:v>
      </x:c>
      <x:c r="B48" s="83" t="str">
        <x:v>Endpoint and Server Health</x:v>
      </x:c>
      <x:c r="C48" s="83" t="str">
        <x:v>Removable Media Events</x:v>
      </x:c>
      <x:c r="D48" s="83" t="str">
        <x:v>Connection, mount, file transfer, or execution from USB or removable media.</x:v>
      </x:c>
      <x:c r="E48" s="83" t="str">
        <x:v>Monitor device-control and operating-system events.</x:v>
      </x:c>
      <x:c r="F48" s="83" t="str">
        <x:v>EDR; device control; Windows logs</x:v>
      </x:c>
      <x:c r="G48" s="83" t="str">
        <x:v>Real time</x:v>
      </x:c>
      <x:c r="H48" s="83" t="str">
        <x:v>0 or approved scanned media</x:v>
      </x:c>
      <x:c r="I48" s="83" t="str">
        <x:v>Approved exception</x:v>
      </x:c>
      <x:c r="J48" s="83" t="str">
        <x:v>Unapproved media or execution</x:v>
      </x:c>
      <x:c r="K48" s="83" t="str">
        <x:v>High</x:v>
      </x:c>
      <x:c r="L48" s="83" t="str">
        <x:v>OT Endpoint Security</x:v>
      </x:c>
      <x:c r="M48" s="83" t="str">
        <x:v>Identify media and user; scan in controlled environment; review transferred files.</x:v>
      </x:c>
      <x:c r="N48" s="83" t="str">
        <x:v>NIST SP 800-82 portable media</x:v>
      </x:c>
      <x:c r="O48" s="83" t="str">
        <x:v>events</x:v>
      </x:c>
    </x:row>
    <x:row r="49" ht="58" customHeight="1">
      <x:c r="A49" s="83" t="str">
        <x:v>END-04</x:v>
      </x:c>
      <x:c r="B49" s="83" t="str">
        <x:v>Endpoint and Server Health</x:v>
      </x:c>
      <x:c r="C49" s="83" t="str">
        <x:v>Security Agent or Logging Disabled</x:v>
      </x:c>
      <x:c r="D49" s="83" t="str">
        <x:v>Stopping or impairment of EDR, AV, logging, application control, or monitoring agents.</x:v>
      </x:c>
      <x:c r="E49" s="83" t="str">
        <x:v>Detect service stop, heartbeat loss, policy change, or log gap.</x:v>
      </x:c>
      <x:c r="F49" s="83" t="str">
        <x:v>EDR; SIEM; host monitoring</x:v>
      </x:c>
      <x:c r="G49" s="83" t="str">
        <x:v>Real time</x:v>
      </x:c>
      <x:c r="H49" s="83" t="str">
        <x:v>0</x:v>
      </x:c>
      <x:c r="I49" s="83" t="str">
        <x:v>Short approved maintenance outage</x:v>
      </x:c>
      <x:c r="J49" s="83" t="str">
        <x:v>Unapproved or multi-host outage</x:v>
      </x:c>
      <x:c r="K49" s="83" t="str">
        <x:v>Critical</x:v>
      </x:c>
      <x:c r="L49" s="83" t="str">
        <x:v>OT Endpoint Security</x:v>
      </x:c>
      <x:c r="M49" s="83" t="str">
        <x:v>Verify operational cause; restore visibility; inspect for tampering.</x:v>
      </x:c>
      <x:c r="N49" s="83" t="str">
        <x:v>MITRE ATT&amp;CK ICS: Impair Defenses</x:v>
      </x:c>
      <x:c r="O49" s="83" t="str">
        <x:v>events</x:v>
      </x:c>
    </x:row>
    <x:row r="50" ht="58" customHeight="1">
      <x:c r="A50" s="83" t="str">
        <x:v>END-05</x:v>
      </x:c>
      <x:c r="B50" s="83" t="str">
        <x:v>Endpoint and Server Health</x:v>
      </x:c>
      <x:c r="C50" s="83" t="str">
        <x:v>Resource Saturation</x:v>
      </x:c>
      <x:c r="D50" s="83" t="str">
        <x:v>CPU, memory, disk, handle, queue, or service saturation that may affect OT applications.</x:v>
      </x:c>
      <x:c r="E50" s="83" t="str">
        <x:v>Compare utilization and queue metrics with asset-specific limits.</x:v>
      </x:c>
      <x:c r="F50" s="83" t="str">
        <x:v>Host monitoring; application telemetry</x:v>
      </x:c>
      <x:c r="G50" s="83" t="str">
        <x:v>Real time</x:v>
      </x:c>
      <x:c r="H50" s="83" t="str">
        <x:v>&lt;70% sustained</x:v>
      </x:c>
      <x:c r="I50" s="83" t="str">
        <x:v>70%-90% sustained</x:v>
      </x:c>
      <x:c r="J50" s="83" t="str">
        <x:v>&gt;90% or application impact</x:v>
      </x:c>
      <x:c r="K50" s="83" t="str">
        <x:v>High</x:v>
      </x:c>
      <x:c r="L50" s="83" t="str">
        <x:v>OT Platform Owner</x:v>
      </x:c>
      <x:c r="M50" s="83" t="str">
        <x:v>Identify process, workload, storage issue, or denial-of-service condition.</x:v>
      </x:c>
      <x:c r="N50" s="83" t="str">
        <x:v>NIST SP 800-82 availability</x:v>
      </x:c>
      <x:c r="O50" s="83" t="str">
        <x:v>%</x:v>
      </x:c>
    </x:row>
    <x:row r="51" ht="58" customHeight="1">
      <x:c r="A51" s="83" t="str">
        <x:v>TIM-01</x:v>
      </x:c>
      <x:c r="B51" s="83" t="str">
        <x:v>Time Integrity</x:v>
      </x:c>
      <x:c r="C51" s="83" t="str">
        <x:v>Time Synchronization Offset</x:v>
      </x:c>
      <x:c r="D51" s="83" t="str">
        <x:v>Difference between OT asset clocks and the approved authoritative time source.</x:v>
      </x:c>
      <x:c r="E51" s="83" t="str">
        <x:v>Absolute time offset and drift rate by asset class.</x:v>
      </x:c>
      <x:c r="F51" s="83" t="str">
        <x:v>NTP/PTP monitoring; device logs</x:v>
      </x:c>
      <x:c r="G51" s="83" t="str">
        <x:v>Real time</x:v>
      </x:c>
      <x:c r="H51" s="83" t="str">
        <x:v>Within approved tolerance</x:v>
      </x:c>
      <x:c r="I51" s="83" t="str">
        <x:v>2× approved tolerance</x:v>
      </x:c>
      <x:c r="J51" s="83" t="str">
        <x:v>Causes event ordering or control impact</x:v>
      </x:c>
      <x:c r="K51" s="83" t="str">
        <x:v>High</x:v>
      </x:c>
      <x:c r="L51" s="83" t="str">
        <x:v>OT Network Engineering</x:v>
      </x:c>
      <x:c r="M51" s="83" t="str">
        <x:v>Verify time source, path, authentication, and device configuration.</x:v>
      </x:c>
      <x:c r="N51" s="83" t="str">
        <x:v>NIST SP 800-82 logging and time</x:v>
      </x:c>
      <x:c r="O51" s="83" t="str">
        <x:v>ms</x:v>
      </x:c>
    </x:row>
    <x:row r="52" ht="58" customHeight="1">
      <x:c r="A52" s="83" t="str">
        <x:v>TIM-02</x:v>
      </x:c>
      <x:c r="B52" s="83" t="str">
        <x:v>Time Integrity</x:v>
      </x:c>
      <x:c r="C52" s="83" t="str">
        <x:v>Unapproved Time Source Change</x:v>
      </x:c>
      <x:c r="D52" s="83" t="str">
        <x:v>Asset begins using an unauthorized NTP/PTP server or loses synchronization.</x:v>
      </x:c>
      <x:c r="E52" s="83" t="str">
        <x:v>Compare observed time-source communication with allowlist.</x:v>
      </x:c>
      <x:c r="F52" s="83" t="str">
        <x:v>Passive sensor; NTP logs; device config</x:v>
      </x:c>
      <x:c r="G52" s="83" t="str">
        <x:v>Real time</x:v>
      </x:c>
      <x:c r="H52" s="83" t="str">
        <x:v>0</x:v>
      </x:c>
      <x:c r="I52" s="83" t="str">
        <x:v>Approved migration</x:v>
      </x:c>
      <x:c r="J52" s="83" t="str">
        <x:v>Any unapproved source</x:v>
      </x:c>
      <x:c r="K52" s="83" t="str">
        <x:v>High</x:v>
      </x:c>
      <x:c r="L52" s="83" t="str">
        <x:v>OT Network Engineering</x:v>
      </x:c>
      <x:c r="M52" s="83" t="str">
        <x:v>Restore approved source; review configuration changes and event chronology.</x:v>
      </x:c>
      <x:c r="N52" s="83" t="str">
        <x:v>System integrity monitoring</x:v>
      </x:c>
      <x:c r="O52" s="83" t="str">
        <x:v>events</x:v>
      </x:c>
    </x:row>
    <x:row r="53" ht="58" customHeight="1">
      <x:c r="A53" s="83" t="str">
        <x:v>MON-01</x:v>
      </x:c>
      <x:c r="B53" s="83" t="str">
        <x:v>Monitoring Health</x:v>
      </x:c>
      <x:c r="C53" s="83" t="str">
        <x:v>Telemetry Source Coverage</x:v>
      </x:c>
      <x:c r="D53" s="83" t="str">
        <x:v>Percentage of in-scope assets and enforcement points providing expected telemetry.</x:v>
      </x:c>
      <x:c r="E53" s="83" t="str">
        <x:v>Reporting sources / expected sources × 100.</x:v>
      </x:c>
      <x:c r="F53" s="83" t="str">
        <x:v>SIEM; sensor manager; log pipeline</x:v>
      </x:c>
      <x:c r="G53" s="83" t="str">
        <x:v>Daily</x:v>
      </x:c>
      <x:c r="H53" s="83" t="str">
        <x:v>&gt;=98%</x:v>
      </x:c>
      <x:c r="I53" s="83" t="str">
        <x:v>95%-&lt;98%</x:v>
      </x:c>
      <x:c r="J53" s="83" t="str">
        <x:v>&lt;95% or critical blind spot</x:v>
      </x:c>
      <x:c r="K53" s="83" t="str">
        <x:v>Critical</x:v>
      </x:c>
      <x:c r="L53" s="83" t="str">
        <x:v>SOC Engineering</x:v>
      </x:c>
      <x:c r="M53" s="83" t="str">
        <x:v>Restore sensor, log, SPAN/TAP, credential, or pipeline function.</x:v>
      </x:c>
      <x:c r="N53" s="83" t="str">
        <x:v>NIST SP 800-82 continuous monitoring</x:v>
      </x:c>
      <x:c r="O53" s="83" t="str">
        <x:v>%</x:v>
      </x:c>
    </x:row>
    <x:row r="54" ht="58" customHeight="1">
      <x:c r="A54" s="83" t="str">
        <x:v>MON-02</x:v>
      </x:c>
      <x:c r="B54" s="83" t="str">
        <x:v>Monitoring Health</x:v>
      </x:c>
      <x:c r="C54" s="83" t="str">
        <x:v>Log Ingestion Delay</x:v>
      </x:c>
      <x:c r="D54" s="83" t="str">
        <x:v>Delay between event generation and availability to detection or investigation systems.</x:v>
      </x:c>
      <x:c r="E54" s="83" t="str">
        <x:v>SIEM receipt time minus event generation time.</x:v>
      </x:c>
      <x:c r="F54" s="83" t="str">
        <x:v>SIEM; collectors; message bus</x:v>
      </x:c>
      <x:c r="G54" s="83" t="str">
        <x:v>Real time</x:v>
      </x:c>
      <x:c r="H54" s="83" t="str">
        <x:v>&lt;60 sec</x:v>
      </x:c>
      <x:c r="I54" s="83" t="str">
        <x:v>60-300 sec</x:v>
      </x:c>
      <x:c r="J54" s="83" t="str">
        <x:v>&gt;300 sec or missing critical logs</x:v>
      </x:c>
      <x:c r="K54" s="83" t="str">
        <x:v>High</x:v>
      </x:c>
      <x:c r="L54" s="83" t="str">
        <x:v>SOC Engineering</x:v>
      </x:c>
      <x:c r="M54" s="83" t="str">
        <x:v>Check collector queues, network paths, parsing, storage, and clock synchronization.</x:v>
      </x:c>
      <x:c r="N54" s="83" t="str">
        <x:v>Continuous monitoring</x:v>
      </x:c>
      <x:c r="O54" s="83" t="str">
        <x:v>seconds</x:v>
      </x:c>
    </x:row>
    <x:row r="55" ht="58" customHeight="1">
      <x:c r="A55" s="83" t="str">
        <x:v>MON-03</x:v>
      </x:c>
      <x:c r="B55" s="83" t="str">
        <x:v>Monitoring Health</x:v>
      </x:c>
      <x:c r="C55" s="83" t="str">
        <x:v>Packet Capture Loss</x:v>
      </x:c>
      <x:c r="D55" s="83" t="str">
        <x:v>Percentage of packets dropped by TAP, SPAN, sensor, or collection pipeline.</x:v>
      </x:c>
      <x:c r="E55" s="83" t="str">
        <x:v>Dropped capture packets / received packets × 100.</x:v>
      </x:c>
      <x:c r="F55" s="83" t="str">
        <x:v>Sensor health; capture statistics</x:v>
      </x:c>
      <x:c r="G55" s="83" t="str">
        <x:v>Real time</x:v>
      </x:c>
      <x:c r="H55" s="83" t="str">
        <x:v>&lt;0.1%</x:v>
      </x:c>
      <x:c r="I55" s="83" t="str">
        <x:v>0.1%-1%</x:v>
      </x:c>
      <x:c r="J55" s="83" t="str">
        <x:v>&gt;1% or protocol visibility loss</x:v>
      </x:c>
      <x:c r="K55" s="83" t="str">
        <x:v>High</x:v>
      </x:c>
      <x:c r="L55" s="83" t="str">
        <x:v>SOC Engineering</x:v>
      </x:c>
      <x:c r="M55" s="83" t="str">
        <x:v>Reduce oversubscription; fix SPAN/TAP; scale sensor capacity.</x:v>
      </x:c>
      <x:c r="N55" s="83" t="str">
        <x:v>NIST SP 800-82 passive monitoring</x:v>
      </x:c>
      <x:c r="O55" s="83" t="str">
        <x:v>%</x:v>
      </x:c>
    </x:row>
    <x:row r="56" ht="58" customHeight="1">
      <x:c r="A56" s="83" t="str">
        <x:v>MON-04</x:v>
      </x:c>
      <x:c r="B56" s="83" t="str">
        <x:v>Monitoring Health</x:v>
      </x:c>
      <x:c r="C56" s="83" t="str">
        <x:v>Detection Rule Health</x:v>
      </x:c>
      <x:c r="D56" s="83" t="str">
        <x:v>Percentage of priority detections recently tested and producing expected results.</x:v>
      </x:c>
      <x:c r="E56" s="83" t="str">
        <x:v>Successfully tested priority rules / total priority rules × 100.</x:v>
      </x:c>
      <x:c r="F56" s="83" t="str">
        <x:v>Detection repository; test harness; SIEM</x:v>
      </x:c>
      <x:c r="G56" s="83" t="str">
        <x:v>Monthly</x:v>
      </x:c>
      <x:c r="H56" s="83" t="str">
        <x:v>&gt;=95%</x:v>
      </x:c>
      <x:c r="I56" s="83" t="str">
        <x:v>85%-&lt;95%</x:v>
      </x:c>
      <x:c r="J56" s="83" t="str">
        <x:v>&lt;85%</x:v>
      </x:c>
      <x:c r="K56" s="83" t="str">
        <x:v>Medium</x:v>
      </x:c>
      <x:c r="L56" s="83" t="str">
        <x:v>Detection Engineering</x:v>
      </x:c>
      <x:c r="M56" s="83" t="str">
        <x:v>Repair parsing, logic, data dependencies, and test coverage.</x:v>
      </x:c>
      <x:c r="N56" s="83" t="str">
        <x:v>Detection assurance</x:v>
      </x:c>
      <x:c r="O56" s="83" t="str">
        <x:v>%</x:v>
      </x:c>
    </x:row>
    <x:row r="57" ht="58" customHeight="1">
      <x:c r="A57" s="83" t="str">
        <x:v>MON-05</x:v>
      </x:c>
      <x:c r="B57" s="83" t="str">
        <x:v>Monitoring Health</x:v>
      </x:c>
      <x:c r="C57" s="83" t="str">
        <x:v>Mean Time to Acknowledge</x:v>
      </x:c>
      <x:c r="D57" s="83" t="str">
        <x:v>Average time from high/critical alert creation to analyst acknowledgement.</x:v>
      </x:c>
      <x:c r="E57" s="83" t="str">
        <x:v>Sum acknowledgement delay / acknowledged alerts.</x:v>
      </x:c>
      <x:c r="F57" s="83" t="str">
        <x:v>SIEM; case management</x:v>
      </x:c>
      <x:c r="G57" s="83" t="str">
        <x:v>Daily</x:v>
      </x:c>
      <x:c r="H57" s="83" t="str">
        <x:v>&lt;5 min</x:v>
      </x:c>
      <x:c r="I57" s="83" t="str">
        <x:v>5-15 min</x:v>
      </x:c>
      <x:c r="J57" s="83" t="str">
        <x:v>&gt;15 min</x:v>
      </x:c>
      <x:c r="K57" s="83" t="str">
        <x:v>High</x:v>
      </x:c>
      <x:c r="L57" s="83" t="str">
        <x:v>OT SOC Lead</x:v>
      </x:c>
      <x:c r="M57" s="83" t="str">
        <x:v>Review staffing, routing, escalation, and alert quality.</x:v>
      </x:c>
      <x:c r="N57" s="83" t="str">
        <x:v>Incident response performance</x:v>
      </x:c>
      <x:c r="O57" s="83" t="str">
        <x:v>minutes</x:v>
      </x:c>
    </x:row>
    <x:row r="58" ht="58" customHeight="1">
      <x:c r="A58" s="83" t="str">
        <x:v>MON-06</x:v>
      </x:c>
      <x:c r="B58" s="83" t="str">
        <x:v>Monitoring Health</x:v>
      </x:c>
      <x:c r="C58" s="83" t="str">
        <x:v>False Positive Rate</x:v>
      </x:c>
      <x:c r="D58" s="83" t="str">
        <x:v>Percentage of investigated alerts closed as benign or expected activity.</x:v>
      </x:c>
      <x:c r="E58" s="83" t="str">
        <x:v>False positives / closed alerts × 100.</x:v>
      </x:c>
      <x:c r="F58" s="83" t="str">
        <x:v>SIEM; case management</x:v>
      </x:c>
      <x:c r="G58" s="83" t="str">
        <x:v>Weekly</x:v>
      </x:c>
      <x:c r="H58" s="83" t="str">
        <x:v>&lt;10%</x:v>
      </x:c>
      <x:c r="I58" s="83" t="str">
        <x:v>10%-25%</x:v>
      </x:c>
      <x:c r="J58" s="83" t="str">
        <x:v>&gt;25%</x:v>
      </x:c>
      <x:c r="K58" s="83" t="str">
        <x:v>Medium</x:v>
      </x:c>
      <x:c r="L58" s="83" t="str">
        <x:v>Detection Engineering</x:v>
      </x:c>
      <x:c r="M58" s="83" t="str">
        <x:v>Tune rule context, allowlists, thresholds, and asset criticality.</x:v>
      </x:c>
      <x:c r="N58" s="83" t="str">
        <x:v>Detection quality</x:v>
      </x:c>
      <x:c r="O58" s="83" t="str">
        <x:v>%</x:v>
      </x:c>
    </x:row>
    <x:row r="59">
      <x:c r="A59" s="59"/>
      <x:c r="B59" s="59"/>
      <x:c r="C59" s="59"/>
      <x:c r="D59" s="59"/>
      <x:c r="E59" s="59"/>
      <x:c r="F59" s="59"/>
      <x:c r="G59" s="59"/>
      <x:c r="H59" s="59"/>
      <x:c r="I59" s="59"/>
      <x:c r="J59" s="59"/>
      <x:c r="K59" s="59"/>
      <x:c r="L59" s="59"/>
      <x:c r="M59" s="59"/>
      <x:c r="N59" s="59"/>
      <x:c r="O59" s="59"/>
    </x:row>
    <x:row r="60">
      <x:c r="A60" s="59"/>
      <x:c r="B60" s="59"/>
      <x:c r="C60" s="59"/>
      <x:c r="D60" s="59"/>
      <x:c r="E60" s="59"/>
      <x:c r="F60" s="59"/>
      <x:c r="G60" s="59"/>
      <x:c r="H60" s="59"/>
      <x:c r="I60" s="59"/>
      <x:c r="J60" s="59"/>
      <x:c r="K60" s="59"/>
      <x:c r="L60" s="59"/>
      <x:c r="M60" s="59"/>
      <x:c r="N60" s="59"/>
      <x:c r="O60" s="59"/>
    </x:row>
    <x:row r="61">
      <x:c r="A61" s="59"/>
      <x:c r="B61" s="59"/>
      <x:c r="C61" s="59"/>
      <x:c r="D61" s="59"/>
      <x:c r="E61" s="59"/>
      <x:c r="F61" s="59"/>
      <x:c r="G61" s="59"/>
      <x:c r="H61" s="59"/>
      <x:c r="I61" s="59"/>
      <x:c r="J61" s="59"/>
      <x:c r="K61" s="59"/>
      <x:c r="L61" s="59"/>
      <x:c r="M61" s="59"/>
      <x:c r="N61" s="59"/>
      <x:c r="O61" s="59"/>
    </x:row>
    <x:row r="62">
      <x:c r="A62" s="59"/>
      <x:c r="B62" s="59"/>
      <x:c r="C62" s="59"/>
      <x:c r="D62" s="59"/>
      <x:c r="E62" s="59"/>
      <x:c r="F62" s="59"/>
      <x:c r="G62" s="59"/>
      <x:c r="H62" s="59"/>
      <x:c r="I62" s="59"/>
      <x:c r="J62" s="59"/>
      <x:c r="K62" s="59"/>
      <x:c r="L62" s="59"/>
      <x:c r="M62" s="59"/>
      <x:c r="N62" s="59"/>
      <x:c r="O62" s="59"/>
    </x:row>
    <x:row r="63">
      <x:c r="A63" s="59"/>
      <x:c r="B63" s="59"/>
      <x:c r="C63" s="59"/>
      <x:c r="D63" s="59"/>
      <x:c r="E63" s="59"/>
      <x:c r="F63" s="59"/>
      <x:c r="G63" s="59"/>
      <x:c r="H63" s="59"/>
      <x:c r="I63" s="59"/>
      <x:c r="J63" s="59"/>
      <x:c r="K63" s="59"/>
      <x:c r="L63" s="59"/>
      <x:c r="M63" s="59"/>
      <x:c r="N63" s="59"/>
      <x:c r="O63" s="59"/>
    </x:row>
    <x:row r="64">
      <x:c r="A64" s="59"/>
      <x:c r="B64" s="59"/>
      <x:c r="C64" s="59"/>
      <x:c r="D64" s="59"/>
      <x:c r="E64" s="59"/>
      <x:c r="F64" s="59"/>
      <x:c r="G64" s="59"/>
      <x:c r="H64" s="59"/>
      <x:c r="I64" s="59"/>
      <x:c r="J64" s="59"/>
      <x:c r="K64" s="59"/>
      <x:c r="L64" s="59"/>
      <x:c r="M64" s="59"/>
      <x:c r="N64" s="59"/>
      <x:c r="O64" s="59"/>
    </x:row>
    <x:row r="65">
      <x:c r="A65" s="59"/>
      <x:c r="B65" s="59"/>
      <x:c r="C65" s="59"/>
      <x:c r="D65" s="59"/>
      <x:c r="E65" s="59"/>
      <x:c r="F65" s="59"/>
      <x:c r="G65" s="59"/>
      <x:c r="H65" s="59"/>
      <x:c r="I65" s="59"/>
      <x:c r="J65" s="59"/>
      <x:c r="K65" s="59"/>
      <x:c r="L65" s="59"/>
      <x:c r="M65" s="59"/>
      <x:c r="N65" s="59"/>
      <x:c r="O65" s="59"/>
    </x:row>
    <x:row r="66">
      <x:c r="A66" s="59"/>
      <x:c r="B66" s="59"/>
      <x:c r="C66" s="59"/>
      <x:c r="D66" s="59"/>
      <x:c r="E66" s="59"/>
      <x:c r="F66" s="59"/>
      <x:c r="G66" s="59"/>
      <x:c r="H66" s="59"/>
      <x:c r="I66" s="59"/>
      <x:c r="J66" s="59"/>
      <x:c r="K66" s="59"/>
      <x:c r="L66" s="59"/>
      <x:c r="M66" s="59"/>
      <x:c r="N66" s="59"/>
      <x:c r="O66" s="59"/>
    </x:row>
    <x:row r="67">
      <x:c r="A67" s="59"/>
      <x:c r="B67" s="59"/>
      <x:c r="C67" s="59"/>
      <x:c r="D67" s="59"/>
      <x:c r="E67" s="59"/>
      <x:c r="F67" s="59"/>
      <x:c r="G67" s="59"/>
      <x:c r="H67" s="59"/>
      <x:c r="I67" s="59"/>
      <x:c r="J67" s="59"/>
      <x:c r="K67" s="59"/>
      <x:c r="L67" s="59"/>
      <x:c r="M67" s="59"/>
      <x:c r="N67" s="59"/>
      <x:c r="O67" s="59"/>
    </x:row>
    <x:row r="68">
      <x:c r="A68" s="59"/>
      <x:c r="B68" s="59"/>
      <x:c r="C68" s="59"/>
      <x:c r="D68" s="59"/>
      <x:c r="E68" s="59"/>
      <x:c r="F68" s="59"/>
      <x:c r="G68" s="59"/>
      <x:c r="H68" s="59"/>
      <x:c r="I68" s="59"/>
      <x:c r="J68" s="59"/>
      <x:c r="K68" s="59"/>
      <x:c r="L68" s="59"/>
      <x:c r="M68" s="59"/>
      <x:c r="N68" s="59"/>
      <x:c r="O68" s="59"/>
    </x:row>
    <x:row r="69">
      <x:c r="A69" s="59"/>
      <x:c r="B69" s="59"/>
      <x:c r="C69" s="59"/>
      <x:c r="D69" s="59"/>
      <x:c r="E69" s="59"/>
      <x:c r="F69" s="59"/>
      <x:c r="G69" s="59"/>
      <x:c r="H69" s="59"/>
      <x:c r="I69" s="59"/>
      <x:c r="J69" s="59"/>
      <x:c r="K69" s="59"/>
      <x:c r="L69" s="59"/>
      <x:c r="M69" s="59"/>
      <x:c r="N69" s="59"/>
      <x:c r="O69" s="59"/>
    </x:row>
    <x:row r="70">
      <x:c r="A70" s="59"/>
      <x:c r="B70" s="59"/>
      <x:c r="C70" s="59"/>
      <x:c r="D70" s="59"/>
      <x:c r="E70" s="59"/>
      <x:c r="F70" s="59"/>
      <x:c r="G70" s="59"/>
      <x:c r="H70" s="59"/>
      <x:c r="I70" s="59"/>
      <x:c r="J70" s="59"/>
      <x:c r="K70" s="59"/>
      <x:c r="L70" s="59"/>
      <x:c r="M70" s="59"/>
      <x:c r="N70" s="59"/>
      <x:c r="O70" s="59"/>
    </x:row>
    <x:row r="71">
      <x:c r="A71" s="59"/>
      <x:c r="B71" s="59"/>
      <x:c r="C71" s="59"/>
      <x:c r="D71" s="59"/>
      <x:c r="E71" s="59"/>
      <x:c r="F71" s="59"/>
      <x:c r="G71" s="59"/>
      <x:c r="H71" s="59"/>
      <x:c r="I71" s="59"/>
      <x:c r="J71" s="59"/>
      <x:c r="K71" s="59"/>
      <x:c r="L71" s="59"/>
      <x:c r="M71" s="59"/>
      <x:c r="N71" s="59"/>
      <x:c r="O71" s="59"/>
    </x:row>
    <x:row r="72">
      <x:c r="A72" s="59"/>
      <x:c r="B72" s="59"/>
      <x:c r="C72" s="59"/>
      <x:c r="D72" s="59"/>
      <x:c r="E72" s="59"/>
      <x:c r="F72" s="59"/>
      <x:c r="G72" s="59"/>
      <x:c r="H72" s="59"/>
      <x:c r="I72" s="59"/>
      <x:c r="J72" s="59"/>
      <x:c r="K72" s="59"/>
      <x:c r="L72" s="59"/>
      <x:c r="M72" s="59"/>
      <x:c r="N72" s="59"/>
      <x:c r="O72" s="59"/>
    </x:row>
    <x:row r="73">
      <x:c r="A73" s="59"/>
      <x:c r="B73" s="59"/>
      <x:c r="C73" s="59"/>
      <x:c r="D73" s="59"/>
      <x:c r="E73" s="59"/>
      <x:c r="F73" s="59"/>
      <x:c r="G73" s="59"/>
      <x:c r="H73" s="59"/>
      <x:c r="I73" s="59"/>
      <x:c r="J73" s="59"/>
      <x:c r="K73" s="59"/>
      <x:c r="L73" s="59"/>
      <x:c r="M73" s="59"/>
      <x:c r="N73" s="59"/>
      <x:c r="O73" s="59"/>
    </x:row>
    <x:row r="74">
      <x:c r="A74" s="59"/>
      <x:c r="B74" s="59"/>
      <x:c r="C74" s="59"/>
      <x:c r="D74" s="59"/>
      <x:c r="E74" s="59"/>
      <x:c r="F74" s="59"/>
      <x:c r="G74" s="59"/>
      <x:c r="H74" s="59"/>
      <x:c r="I74" s="59"/>
      <x:c r="J74" s="59"/>
      <x:c r="K74" s="59"/>
      <x:c r="L74" s="59"/>
      <x:c r="M74" s="59"/>
      <x:c r="N74" s="59"/>
      <x:c r="O74" s="59"/>
    </x:row>
    <x:row r="75">
      <x:c r="A75" s="59"/>
      <x:c r="B75" s="59"/>
      <x:c r="C75" s="59"/>
      <x:c r="D75" s="59"/>
      <x:c r="E75" s="59"/>
      <x:c r="F75" s="59"/>
      <x:c r="G75" s="59"/>
      <x:c r="H75" s="59"/>
      <x:c r="I75" s="59"/>
      <x:c r="J75" s="59"/>
      <x:c r="K75" s="59"/>
      <x:c r="L75" s="59"/>
      <x:c r="M75" s="59"/>
      <x:c r="N75" s="59"/>
      <x:c r="O75" s="59"/>
    </x:row>
    <x:row r="76">
      <x:c r="A76" s="59"/>
      <x:c r="B76" s="59"/>
      <x:c r="C76" s="59"/>
      <x:c r="D76" s="59"/>
      <x:c r="E76" s="59"/>
      <x:c r="F76" s="59"/>
      <x:c r="G76" s="59"/>
      <x:c r="H76" s="59"/>
      <x:c r="I76" s="59"/>
      <x:c r="J76" s="59"/>
      <x:c r="K76" s="59"/>
      <x:c r="L76" s="59"/>
      <x:c r="M76" s="59"/>
      <x:c r="N76" s="59"/>
      <x:c r="O76" s="59"/>
    </x:row>
    <x:row r="77">
      <x:c r="A77" s="59"/>
      <x:c r="B77" s="59"/>
      <x:c r="C77" s="59"/>
      <x:c r="D77" s="59"/>
      <x:c r="E77" s="59"/>
      <x:c r="F77" s="59"/>
      <x:c r="G77" s="59"/>
      <x:c r="H77" s="59"/>
      <x:c r="I77" s="59"/>
      <x:c r="J77" s="59"/>
      <x:c r="K77" s="59"/>
      <x:c r="L77" s="59"/>
      <x:c r="M77" s="59"/>
      <x:c r="N77" s="59"/>
      <x:c r="O77" s="59"/>
    </x:row>
    <x:row r="78">
      <x:c r="A78" s="59"/>
      <x:c r="B78" s="59"/>
      <x:c r="C78" s="59"/>
      <x:c r="D78" s="59"/>
      <x:c r="E78" s="59"/>
      <x:c r="F78" s="59"/>
      <x:c r="G78" s="59"/>
      <x:c r="H78" s="59"/>
      <x:c r="I78" s="59"/>
      <x:c r="J78" s="59"/>
      <x:c r="K78" s="59"/>
      <x:c r="L78" s="59"/>
      <x:c r="M78" s="59"/>
      <x:c r="N78" s="59"/>
      <x:c r="O78" s="59"/>
    </x:row>
    <x:row r="79">
      <x:c r="A79" s="59"/>
      <x:c r="B79" s="59"/>
      <x:c r="C79" s="59"/>
      <x:c r="D79" s="59"/>
      <x:c r="E79" s="59"/>
      <x:c r="F79" s="59"/>
      <x:c r="G79" s="59"/>
      <x:c r="H79" s="59"/>
      <x:c r="I79" s="59"/>
      <x:c r="J79" s="59"/>
      <x:c r="K79" s="59"/>
      <x:c r="L79" s="59"/>
      <x:c r="M79" s="59"/>
      <x:c r="N79" s="59"/>
      <x:c r="O79" s="59"/>
    </x:row>
    <x:row r="80">
      <x:c r="A80" s="59"/>
      <x:c r="B80" s="59"/>
      <x:c r="C80" s="59"/>
      <x:c r="D80" s="59"/>
      <x:c r="E80" s="59"/>
      <x:c r="F80" s="59"/>
      <x:c r="G80" s="59"/>
      <x:c r="H80" s="59"/>
      <x:c r="I80" s="59"/>
      <x:c r="J80" s="59"/>
      <x:c r="K80" s="59"/>
      <x:c r="L80" s="59"/>
      <x:c r="M80" s="59"/>
      <x:c r="N80" s="59"/>
      <x:c r="O80" s="59"/>
    </x:row>
    <x:row r="81">
      <x:c r="A81" s="59"/>
      <x:c r="B81" s="59"/>
      <x:c r="C81" s="59"/>
      <x:c r="D81" s="59"/>
      <x:c r="E81" s="59"/>
      <x:c r="F81" s="59"/>
      <x:c r="G81" s="59"/>
      <x:c r="H81" s="59"/>
      <x:c r="I81" s="59"/>
      <x:c r="J81" s="59"/>
      <x:c r="K81" s="59"/>
      <x:c r="L81" s="59"/>
      <x:c r="M81" s="59"/>
      <x:c r="N81" s="59"/>
      <x:c r="O81" s="59"/>
    </x:row>
    <x:row r="82">
      <x:c r="A82" s="59"/>
      <x:c r="B82" s="59"/>
      <x:c r="C82" s="59"/>
      <x:c r="D82" s="59"/>
      <x:c r="E82" s="59"/>
      <x:c r="F82" s="59"/>
      <x:c r="G82" s="59"/>
      <x:c r="H82" s="59"/>
      <x:c r="I82" s="59"/>
      <x:c r="J82" s="59"/>
      <x:c r="K82" s="59"/>
      <x:c r="L82" s="59"/>
      <x:c r="M82" s="59"/>
      <x:c r="N82" s="59"/>
      <x:c r="O82" s="59"/>
    </x:row>
    <x:row r="83">
      <x:c r="A83" s="59"/>
      <x:c r="B83" s="59"/>
      <x:c r="C83" s="59"/>
      <x:c r="D83" s="59"/>
      <x:c r="E83" s="59"/>
      <x:c r="F83" s="59"/>
      <x:c r="G83" s="59"/>
      <x:c r="H83" s="59"/>
      <x:c r="I83" s="59"/>
      <x:c r="J83" s="59"/>
      <x:c r="K83" s="59"/>
      <x:c r="L83" s="59"/>
      <x:c r="M83" s="59"/>
      <x:c r="N83" s="59"/>
      <x:c r="O83" s="59"/>
    </x:row>
    <x:row r="84">
      <x:c r="A84" s="59"/>
      <x:c r="B84" s="59"/>
      <x:c r="C84" s="59"/>
      <x:c r="D84" s="59"/>
      <x:c r="E84" s="59"/>
      <x:c r="F84" s="59"/>
      <x:c r="G84" s="59"/>
      <x:c r="H84" s="59"/>
      <x:c r="I84" s="59"/>
      <x:c r="J84" s="59"/>
      <x:c r="K84" s="59"/>
      <x:c r="L84" s="59"/>
      <x:c r="M84" s="59"/>
      <x:c r="N84" s="59"/>
      <x:c r="O84" s="59"/>
    </x:row>
    <x:row r="85">
      <x:c r="A85" s="59"/>
      <x:c r="B85" s="59"/>
      <x:c r="C85" s="59"/>
      <x:c r="D85" s="59"/>
      <x:c r="E85" s="59"/>
      <x:c r="F85" s="59"/>
      <x:c r="G85" s="59"/>
      <x:c r="H85" s="59"/>
      <x:c r="I85" s="59"/>
      <x:c r="J85" s="59"/>
      <x:c r="K85" s="59"/>
      <x:c r="L85" s="59"/>
      <x:c r="M85" s="59"/>
      <x:c r="N85" s="59"/>
      <x:c r="O85" s="59"/>
    </x:row>
    <x:row r="86">
      <x:c r="A86" s="59"/>
      <x:c r="B86" s="59"/>
      <x:c r="C86" s="59"/>
      <x:c r="D86" s="59"/>
      <x:c r="E86" s="59"/>
      <x:c r="F86" s="59"/>
      <x:c r="G86" s="59"/>
      <x:c r="H86" s="59"/>
      <x:c r="I86" s="59"/>
      <x:c r="J86" s="59"/>
      <x:c r="K86" s="59"/>
      <x:c r="L86" s="59"/>
      <x:c r="M86" s="59"/>
      <x:c r="N86" s="59"/>
      <x:c r="O86" s="59"/>
    </x:row>
    <x:row r="87">
      <x:c r="A87" s="59"/>
      <x:c r="B87" s="59"/>
      <x:c r="C87" s="59"/>
      <x:c r="D87" s="59"/>
      <x:c r="E87" s="59"/>
      <x:c r="F87" s="59"/>
      <x:c r="G87" s="59"/>
      <x:c r="H87" s="59"/>
      <x:c r="I87" s="59"/>
      <x:c r="J87" s="59"/>
      <x:c r="K87" s="59"/>
      <x:c r="L87" s="59"/>
      <x:c r="M87" s="59"/>
      <x:c r="N87" s="59"/>
      <x:c r="O87" s="59"/>
    </x:row>
    <x:row r="88">
      <x:c r="A88" s="59"/>
      <x:c r="B88" s="59"/>
      <x:c r="C88" s="59"/>
      <x:c r="D88" s="59"/>
      <x:c r="E88" s="59"/>
      <x:c r="F88" s="59"/>
      <x:c r="G88" s="59"/>
      <x:c r="H88" s="59"/>
      <x:c r="I88" s="59"/>
      <x:c r="J88" s="59"/>
      <x:c r="K88" s="59"/>
      <x:c r="L88" s="59"/>
      <x:c r="M88" s="59"/>
      <x:c r="N88" s="59"/>
      <x:c r="O88" s="59"/>
    </x:row>
    <x:row r="89">
      <x:c r="A89" s="59"/>
      <x:c r="B89" s="59"/>
      <x:c r="C89" s="59"/>
      <x:c r="D89" s="59"/>
      <x:c r="E89" s="59"/>
      <x:c r="F89" s="59"/>
      <x:c r="G89" s="59"/>
      <x:c r="H89" s="59"/>
      <x:c r="I89" s="59"/>
      <x:c r="J89" s="59"/>
      <x:c r="K89" s="59"/>
      <x:c r="L89" s="59"/>
      <x:c r="M89" s="59"/>
      <x:c r="N89" s="59"/>
      <x:c r="O89" s="59"/>
    </x:row>
    <x:row r="90">
      <x:c r="A90" s="59"/>
      <x:c r="B90" s="59"/>
      <x:c r="C90" s="59"/>
      <x:c r="D90" s="59"/>
      <x:c r="E90" s="59"/>
      <x:c r="F90" s="59"/>
      <x:c r="G90" s="59"/>
      <x:c r="H90" s="59"/>
      <x:c r="I90" s="59"/>
      <x:c r="J90" s="59"/>
      <x:c r="K90" s="59"/>
      <x:c r="L90" s="59"/>
      <x:c r="M90" s="59"/>
      <x:c r="N90" s="59"/>
      <x:c r="O90" s="59"/>
    </x:row>
    <x:row r="91">
      <x:c r="A91" s="59"/>
      <x:c r="B91" s="59"/>
      <x:c r="C91" s="59"/>
      <x:c r="D91" s="59"/>
      <x:c r="E91" s="59"/>
      <x:c r="F91" s="59"/>
      <x:c r="G91" s="59"/>
      <x:c r="H91" s="59"/>
      <x:c r="I91" s="59"/>
      <x:c r="J91" s="59"/>
      <x:c r="K91" s="59"/>
      <x:c r="L91" s="59"/>
      <x:c r="M91" s="59"/>
      <x:c r="N91" s="59"/>
      <x:c r="O91" s="59"/>
    </x:row>
    <x:row r="92">
      <x:c r="A92" s="59"/>
      <x:c r="B92" s="59"/>
      <x:c r="C92" s="59"/>
      <x:c r="D92" s="59"/>
      <x:c r="E92" s="59"/>
      <x:c r="F92" s="59"/>
      <x:c r="G92" s="59"/>
      <x:c r="H92" s="59"/>
      <x:c r="I92" s="59"/>
      <x:c r="J92" s="59"/>
      <x:c r="K92" s="59"/>
      <x:c r="L92" s="59"/>
      <x:c r="M92" s="59"/>
      <x:c r="N92" s="59"/>
      <x:c r="O92" s="59"/>
    </x:row>
    <x:row r="93">
      <x:c r="A93" s="59"/>
      <x:c r="B93" s="59"/>
      <x:c r="C93" s="59"/>
      <x:c r="D93" s="59"/>
      <x:c r="E93" s="59"/>
      <x:c r="F93" s="59"/>
      <x:c r="G93" s="59"/>
      <x:c r="H93" s="59"/>
      <x:c r="I93" s="59"/>
      <x:c r="J93" s="59"/>
      <x:c r="K93" s="59"/>
      <x:c r="L93" s="59"/>
      <x:c r="M93" s="59"/>
      <x:c r="N93" s="59"/>
      <x:c r="O93" s="59"/>
    </x:row>
    <x:row r="94">
      <x:c r="A94" s="59"/>
      <x:c r="B94" s="59"/>
      <x:c r="C94" s="59"/>
      <x:c r="D94" s="59"/>
      <x:c r="E94" s="59"/>
      <x:c r="F94" s="59"/>
      <x:c r="G94" s="59"/>
      <x:c r="H94" s="59"/>
      <x:c r="I94" s="59"/>
      <x:c r="J94" s="59"/>
      <x:c r="K94" s="59"/>
      <x:c r="L94" s="59"/>
      <x:c r="M94" s="59"/>
      <x:c r="N94" s="59"/>
      <x:c r="O94" s="59"/>
    </x:row>
    <x:row r="95">
      <x:c r="A95" s="59"/>
      <x:c r="B95" s="59"/>
      <x:c r="C95" s="59"/>
      <x:c r="D95" s="59"/>
      <x:c r="E95" s="59"/>
      <x:c r="F95" s="59"/>
      <x:c r="G95" s="59"/>
      <x:c r="H95" s="59"/>
      <x:c r="I95" s="59"/>
      <x:c r="J95" s="59"/>
      <x:c r="K95" s="59"/>
      <x:c r="L95" s="59"/>
      <x:c r="M95" s="59"/>
      <x:c r="N95" s="59"/>
      <x:c r="O95" s="59"/>
    </x:row>
    <x:row r="96">
      <x:c r="A96" s="59"/>
      <x:c r="B96" s="59"/>
      <x:c r="C96" s="59"/>
      <x:c r="D96" s="59"/>
      <x:c r="E96" s="59"/>
      <x:c r="F96" s="59"/>
      <x:c r="G96" s="59"/>
      <x:c r="H96" s="59"/>
      <x:c r="I96" s="59"/>
      <x:c r="J96" s="59"/>
      <x:c r="K96" s="59"/>
      <x:c r="L96" s="59"/>
      <x:c r="M96" s="59"/>
      <x:c r="N96" s="59"/>
      <x:c r="O96" s="59"/>
    </x:row>
    <x:row r="97">
      <x:c r="A97" s="59"/>
      <x:c r="B97" s="59"/>
      <x:c r="C97" s="59"/>
      <x:c r="D97" s="59"/>
      <x:c r="E97" s="59"/>
      <x:c r="F97" s="59"/>
      <x:c r="G97" s="59"/>
      <x:c r="H97" s="59"/>
      <x:c r="I97" s="59"/>
      <x:c r="J97" s="59"/>
      <x:c r="K97" s="59"/>
      <x:c r="L97" s="59"/>
      <x:c r="M97" s="59"/>
      <x:c r="N97" s="59"/>
      <x:c r="O97" s="59"/>
    </x:row>
    <x:row r="98">
      <x:c r="A98" s="59"/>
      <x:c r="B98" s="59"/>
      <x:c r="C98" s="59"/>
      <x:c r="D98" s="59"/>
      <x:c r="E98" s="59"/>
      <x:c r="F98" s="59"/>
      <x:c r="G98" s="59"/>
      <x:c r="H98" s="59"/>
      <x:c r="I98" s="59"/>
      <x:c r="J98" s="59"/>
      <x:c r="K98" s="59"/>
      <x:c r="L98" s="59"/>
      <x:c r="M98" s="59"/>
      <x:c r="N98" s="59"/>
      <x:c r="O98" s="59"/>
    </x:row>
    <x:row r="99">
      <x:c r="A99" s="59"/>
      <x:c r="B99" s="59"/>
      <x:c r="C99" s="59"/>
      <x:c r="D99" s="59"/>
      <x:c r="E99" s="59"/>
      <x:c r="F99" s="59"/>
      <x:c r="G99" s="59"/>
      <x:c r="H99" s="59"/>
      <x:c r="I99" s="59"/>
      <x:c r="J99" s="59"/>
      <x:c r="K99" s="59"/>
      <x:c r="L99" s="59"/>
      <x:c r="M99" s="59"/>
      <x:c r="N99" s="59"/>
      <x:c r="O99" s="59"/>
    </x:row>
    <x:row r="100">
      <x:c r="A100" s="59"/>
      <x:c r="B100" s="59"/>
      <x:c r="C100" s="59"/>
      <x:c r="D100" s="59"/>
      <x:c r="E100" s="59"/>
      <x:c r="F100" s="59"/>
      <x:c r="G100" s="59"/>
      <x:c r="H100" s="59"/>
      <x:c r="I100" s="59"/>
      <x:c r="J100" s="59"/>
      <x:c r="K100" s="59"/>
      <x:c r="L100" s="59"/>
      <x:c r="M100" s="59"/>
      <x:c r="N100" s="59"/>
      <x:c r="O100" s="59"/>
    </x:row>
    <x:row r="101">
      <x:c r="A101" s="59"/>
      <x:c r="B101" s="59"/>
      <x:c r="C101" s="59"/>
      <x:c r="D101" s="59"/>
      <x:c r="E101" s="59"/>
      <x:c r="F101" s="59"/>
      <x:c r="G101" s="59"/>
      <x:c r="H101" s="59"/>
      <x:c r="I101" s="59"/>
      <x:c r="J101" s="59"/>
      <x:c r="K101" s="59"/>
      <x:c r="L101" s="59"/>
      <x:c r="M101" s="59"/>
      <x:c r="N101" s="59"/>
      <x:c r="O101" s="59"/>
    </x:row>
    <x:row r="102">
      <x:c r="A102" s="59"/>
      <x:c r="B102" s="59"/>
      <x:c r="C102" s="59"/>
      <x:c r="D102" s="59"/>
      <x:c r="E102" s="59"/>
      <x:c r="F102" s="59"/>
      <x:c r="G102" s="59"/>
      <x:c r="H102" s="59"/>
      <x:c r="I102" s="59"/>
      <x:c r="J102" s="59"/>
      <x:c r="K102" s="59"/>
      <x:c r="L102" s="59"/>
      <x:c r="M102" s="59"/>
      <x:c r="N102" s="59"/>
      <x:c r="O102" s="59"/>
    </x:row>
    <x:row r="103">
      <x:c r="A103" s="59"/>
      <x:c r="B103" s="59"/>
      <x:c r="C103" s="59"/>
      <x:c r="D103" s="59"/>
      <x:c r="E103" s="59"/>
      <x:c r="F103" s="59"/>
      <x:c r="G103" s="59"/>
      <x:c r="H103" s="59"/>
      <x:c r="I103" s="59"/>
      <x:c r="J103" s="59"/>
      <x:c r="K103" s="59"/>
      <x:c r="L103" s="59"/>
      <x:c r="M103" s="59"/>
      <x:c r="N103" s="59"/>
      <x:c r="O103" s="59"/>
    </x:row>
    <x:row r="104">
      <x:c r="A104" s="59"/>
      <x:c r="B104" s="59"/>
      <x:c r="C104" s="59"/>
      <x:c r="D104" s="59"/>
      <x:c r="E104" s="59"/>
      <x:c r="F104" s="59"/>
      <x:c r="G104" s="59"/>
      <x:c r="H104" s="59"/>
      <x:c r="I104" s="59"/>
      <x:c r="J104" s="59"/>
      <x:c r="K104" s="59"/>
      <x:c r="L104" s="59"/>
      <x:c r="M104" s="59"/>
      <x:c r="N104" s="59"/>
      <x:c r="O104" s="59"/>
    </x:row>
    <x:row r="105">
      <x:c r="A105" s="59"/>
      <x:c r="B105" s="59"/>
      <x:c r="C105" s="59"/>
      <x:c r="D105" s="59"/>
      <x:c r="E105" s="59"/>
      <x:c r="F105" s="59"/>
      <x:c r="G105" s="59"/>
      <x:c r="H105" s="59"/>
      <x:c r="I105" s="59"/>
      <x:c r="J105" s="59"/>
      <x:c r="K105" s="59"/>
      <x:c r="L105" s="59"/>
      <x:c r="M105" s="59"/>
      <x:c r="N105" s="59"/>
      <x:c r="O105" s="59"/>
    </x:row>
    <x:row r="106">
      <x:c r="A106" s="59"/>
      <x:c r="B106" s="59"/>
      <x:c r="C106" s="59"/>
      <x:c r="D106" s="59"/>
      <x:c r="E106" s="59"/>
      <x:c r="F106" s="59"/>
      <x:c r="G106" s="59"/>
      <x:c r="H106" s="59"/>
      <x:c r="I106" s="59"/>
      <x:c r="J106" s="59"/>
      <x:c r="K106" s="59"/>
      <x:c r="L106" s="59"/>
      <x:c r="M106" s="59"/>
      <x:c r="N106" s="59"/>
      <x:c r="O106" s="59"/>
    </x:row>
    <x:row r="107">
      <x:c r="A107" s="59"/>
      <x:c r="B107" s="59"/>
      <x:c r="C107" s="59"/>
      <x:c r="D107" s="59"/>
      <x:c r="E107" s="59"/>
      <x:c r="F107" s="59"/>
      <x:c r="G107" s="59"/>
      <x:c r="H107" s="59"/>
      <x:c r="I107" s="59"/>
      <x:c r="J107" s="59"/>
      <x:c r="K107" s="59"/>
      <x:c r="L107" s="59"/>
      <x:c r="M107" s="59"/>
      <x:c r="N107" s="59"/>
      <x:c r="O107" s="59"/>
    </x:row>
    <x:row r="108">
      <x:c r="A108" s="59"/>
      <x:c r="B108" s="59"/>
      <x:c r="C108" s="59"/>
      <x:c r="D108" s="59"/>
      <x:c r="E108" s="59"/>
      <x:c r="F108" s="59"/>
      <x:c r="G108" s="59"/>
      <x:c r="H108" s="59"/>
      <x:c r="I108" s="59"/>
      <x:c r="J108" s="59"/>
      <x:c r="K108" s="59"/>
      <x:c r="L108" s="59"/>
      <x:c r="M108" s="59"/>
      <x:c r="N108" s="59"/>
      <x:c r="O108" s="59"/>
    </x:row>
    <x:row r="109">
      <x:c r="A109" s="59"/>
      <x:c r="B109" s="59"/>
      <x:c r="C109" s="59"/>
      <x:c r="D109" s="59"/>
      <x:c r="E109" s="59"/>
      <x:c r="F109" s="59"/>
      <x:c r="G109" s="59"/>
      <x:c r="H109" s="59"/>
      <x:c r="I109" s="59"/>
      <x:c r="J109" s="59"/>
      <x:c r="K109" s="59"/>
      <x:c r="L109" s="59"/>
      <x:c r="M109" s="59"/>
      <x:c r="N109" s="59"/>
      <x:c r="O109" s="59"/>
    </x:row>
    <x:row r="110">
      <x:c r="A110" s="59"/>
      <x:c r="B110" s="59"/>
      <x:c r="C110" s="59"/>
      <x:c r="D110" s="59"/>
      <x:c r="E110" s="59"/>
      <x:c r="F110" s="59"/>
      <x:c r="G110" s="59"/>
      <x:c r="H110" s="59"/>
      <x:c r="I110" s="59"/>
      <x:c r="J110" s="59"/>
      <x:c r="K110" s="59"/>
      <x:c r="L110" s="59"/>
      <x:c r="M110" s="59"/>
      <x:c r="N110" s="59"/>
      <x:c r="O110" s="59"/>
    </x:row>
    <x:row r="111">
      <x:c r="A111" s="59"/>
      <x:c r="B111" s="59"/>
      <x:c r="C111" s="59"/>
      <x:c r="D111" s="59"/>
      <x:c r="E111" s="59"/>
      <x:c r="F111" s="59"/>
      <x:c r="G111" s="59"/>
      <x:c r="H111" s="59"/>
      <x:c r="I111" s="59"/>
      <x:c r="J111" s="59"/>
      <x:c r="K111" s="59"/>
      <x:c r="L111" s="59"/>
      <x:c r="M111" s="59"/>
      <x:c r="N111" s="59"/>
      <x:c r="O111" s="59"/>
    </x:row>
    <x:row r="112">
      <x:c r="A112" s="59"/>
      <x:c r="B112" s="59"/>
      <x:c r="C112" s="59"/>
      <x:c r="D112" s="59"/>
      <x:c r="E112" s="59"/>
      <x:c r="F112" s="59"/>
      <x:c r="G112" s="59"/>
      <x:c r="H112" s="59"/>
      <x:c r="I112" s="59"/>
      <x:c r="J112" s="59"/>
      <x:c r="K112" s="59"/>
      <x:c r="L112" s="59"/>
      <x:c r="M112" s="59"/>
      <x:c r="N112" s="59"/>
      <x:c r="O112" s="59"/>
    </x:row>
    <x:row r="113">
      <x:c r="A113" s="59"/>
      <x:c r="B113" s="59"/>
      <x:c r="C113" s="59"/>
      <x:c r="D113" s="59"/>
      <x:c r="E113" s="59"/>
      <x:c r="F113" s="59"/>
      <x:c r="G113" s="59"/>
      <x:c r="H113" s="59"/>
      <x:c r="I113" s="59"/>
      <x:c r="J113" s="59"/>
      <x:c r="K113" s="59"/>
      <x:c r="L113" s="59"/>
      <x:c r="M113" s="59"/>
      <x:c r="N113" s="59"/>
      <x:c r="O113" s="59"/>
    </x:row>
    <x:row r="114">
      <x:c r="A114" s="59"/>
      <x:c r="B114" s="59"/>
      <x:c r="C114" s="59"/>
      <x:c r="D114" s="59"/>
      <x:c r="E114" s="59"/>
      <x:c r="F114" s="59"/>
      <x:c r="G114" s="59"/>
      <x:c r="H114" s="59"/>
      <x:c r="I114" s="59"/>
      <x:c r="J114" s="59"/>
      <x:c r="K114" s="59"/>
      <x:c r="L114" s="59"/>
      <x:c r="M114" s="59"/>
      <x:c r="N114" s="59"/>
      <x:c r="O114" s="59"/>
    </x:row>
    <x:row r="115">
      <x:c r="A115" s="59"/>
      <x:c r="B115" s="59"/>
      <x:c r="C115" s="59"/>
      <x:c r="D115" s="59"/>
      <x:c r="E115" s="59"/>
      <x:c r="F115" s="59"/>
      <x:c r="G115" s="59"/>
      <x:c r="H115" s="59"/>
      <x:c r="I115" s="59"/>
      <x:c r="J115" s="59"/>
      <x:c r="K115" s="59"/>
      <x:c r="L115" s="59"/>
      <x:c r="M115" s="59"/>
      <x:c r="N115" s="59"/>
      <x:c r="O115" s="59"/>
    </x:row>
    <x:row r="116">
      <x:c r="A116" s="59"/>
      <x:c r="B116" s="59"/>
      <x:c r="C116" s="59"/>
      <x:c r="D116" s="59"/>
      <x:c r="E116" s="59"/>
      <x:c r="F116" s="59"/>
      <x:c r="G116" s="59"/>
      <x:c r="H116" s="59"/>
      <x:c r="I116" s="59"/>
      <x:c r="J116" s="59"/>
      <x:c r="K116" s="59"/>
      <x:c r="L116" s="59"/>
      <x:c r="M116" s="59"/>
      <x:c r="N116" s="59"/>
      <x:c r="O116" s="59"/>
    </x:row>
    <x:row r="117">
      <x:c r="A117" s="59"/>
      <x:c r="B117" s="59"/>
      <x:c r="C117" s="59"/>
      <x:c r="D117" s="59"/>
      <x:c r="E117" s="59"/>
      <x:c r="F117" s="59"/>
      <x:c r="G117" s="59"/>
      <x:c r="H117" s="59"/>
      <x:c r="I117" s="59"/>
      <x:c r="J117" s="59"/>
      <x:c r="K117" s="59"/>
      <x:c r="L117" s="59"/>
      <x:c r="M117" s="59"/>
      <x:c r="N117" s="59"/>
      <x:c r="O117" s="59"/>
    </x:row>
    <x:row r="118">
      <x:c r="A118" s="59"/>
      <x:c r="B118" s="59"/>
      <x:c r="C118" s="59"/>
      <x:c r="D118" s="59"/>
      <x:c r="E118" s="59"/>
      <x:c r="F118" s="59"/>
      <x:c r="G118" s="59"/>
      <x:c r="H118" s="59"/>
      <x:c r="I118" s="59"/>
      <x:c r="J118" s="59"/>
      <x:c r="K118" s="59"/>
      <x:c r="L118" s="59"/>
      <x:c r="M118" s="59"/>
      <x:c r="N118" s="59"/>
      <x:c r="O118" s="59"/>
    </x:row>
    <x:row r="119">
      <x:c r="A119" s="59"/>
      <x:c r="B119" s="59"/>
      <x:c r="C119" s="59"/>
      <x:c r="D119" s="59"/>
      <x:c r="E119" s="59"/>
      <x:c r="F119" s="59"/>
      <x:c r="G119" s="59"/>
      <x:c r="H119" s="59"/>
      <x:c r="I119" s="59"/>
      <x:c r="J119" s="59"/>
      <x:c r="K119" s="59"/>
      <x:c r="L119" s="59"/>
      <x:c r="M119" s="59"/>
      <x:c r="N119" s="59"/>
      <x:c r="O119" s="59"/>
    </x:row>
    <x:row r="120">
      <x:c r="A120" s="59"/>
      <x:c r="B120" s="59"/>
      <x:c r="C120" s="59"/>
      <x:c r="D120" s="59"/>
      <x:c r="E120" s="59"/>
      <x:c r="F120" s="59"/>
      <x:c r="G120" s="59"/>
      <x:c r="H120" s="59"/>
      <x:c r="I120" s="59"/>
      <x:c r="J120" s="59"/>
      <x:c r="K120" s="59"/>
      <x:c r="L120" s="59"/>
      <x:c r="M120" s="59"/>
      <x:c r="N120" s="59"/>
      <x:c r="O120" s="59"/>
    </x:row>
    <x:row r="121">
      <x:c r="A121" s="59"/>
      <x:c r="B121" s="59"/>
      <x:c r="C121" s="59"/>
      <x:c r="D121" s="59"/>
      <x:c r="E121" s="59"/>
      <x:c r="F121" s="59"/>
      <x:c r="G121" s="59"/>
      <x:c r="H121" s="59"/>
      <x:c r="I121" s="59"/>
      <x:c r="J121" s="59"/>
      <x:c r="K121" s="59"/>
      <x:c r="L121" s="59"/>
      <x:c r="M121" s="59"/>
      <x:c r="N121" s="59"/>
      <x:c r="O121" s="59"/>
    </x:row>
    <x:row r="122">
      <x:c r="A122" s="59"/>
      <x:c r="B122" s="59"/>
      <x:c r="C122" s="59"/>
      <x:c r="D122" s="59"/>
      <x:c r="E122" s="59"/>
      <x:c r="F122" s="59"/>
      <x:c r="G122" s="59"/>
      <x:c r="H122" s="59"/>
      <x:c r="I122" s="59"/>
      <x:c r="J122" s="59"/>
      <x:c r="K122" s="59"/>
      <x:c r="L122" s="59"/>
      <x:c r="M122" s="59"/>
      <x:c r="N122" s="59"/>
      <x:c r="O122" s="59"/>
    </x:row>
    <x:row r="123">
      <x:c r="A123" s="59"/>
      <x:c r="B123" s="59"/>
      <x:c r="C123" s="59"/>
      <x:c r="D123" s="59"/>
      <x:c r="E123" s="59"/>
      <x:c r="F123" s="59"/>
      <x:c r="G123" s="59"/>
      <x:c r="H123" s="59"/>
      <x:c r="I123" s="59"/>
      <x:c r="J123" s="59"/>
      <x:c r="K123" s="59"/>
      <x:c r="L123" s="59"/>
      <x:c r="M123" s="59"/>
      <x:c r="N123" s="59"/>
      <x:c r="O123" s="59"/>
    </x:row>
    <x:row r="124">
      <x:c r="A124" s="59"/>
      <x:c r="B124" s="59"/>
      <x:c r="C124" s="59"/>
      <x:c r="D124" s="59"/>
      <x:c r="E124" s="59"/>
      <x:c r="F124" s="59"/>
      <x:c r="G124" s="59"/>
      <x:c r="H124" s="59"/>
      <x:c r="I124" s="59"/>
      <x:c r="J124" s="59"/>
      <x:c r="K124" s="59"/>
      <x:c r="L124" s="59"/>
      <x:c r="M124" s="59"/>
      <x:c r="N124" s="59"/>
      <x:c r="O124" s="59"/>
    </x:row>
    <x:row r="125">
      <x:c r="A125" s="59"/>
      <x:c r="B125" s="59"/>
      <x:c r="C125" s="59"/>
      <x:c r="D125" s="59"/>
      <x:c r="E125" s="59"/>
      <x:c r="F125" s="59"/>
      <x:c r="G125" s="59"/>
      <x:c r="H125" s="59"/>
      <x:c r="I125" s="59"/>
      <x:c r="J125" s="59"/>
      <x:c r="K125" s="59"/>
      <x:c r="L125" s="59"/>
      <x:c r="M125" s="59"/>
      <x:c r="N125" s="59"/>
      <x:c r="O125" s="59"/>
    </x:row>
    <x:row r="126">
      <x:c r="A126" s="59"/>
      <x:c r="B126" s="59"/>
      <x:c r="C126" s="59"/>
      <x:c r="D126" s="59"/>
      <x:c r="E126" s="59"/>
      <x:c r="F126" s="59"/>
      <x:c r="G126" s="59"/>
      <x:c r="H126" s="59"/>
      <x:c r="I126" s="59"/>
      <x:c r="J126" s="59"/>
      <x:c r="K126" s="59"/>
      <x:c r="L126" s="59"/>
      <x:c r="M126" s="59"/>
      <x:c r="N126" s="59"/>
      <x:c r="O126" s="59"/>
    </x:row>
    <x:row r="127">
      <x:c r="A127" s="59"/>
      <x:c r="B127" s="59"/>
      <x:c r="C127" s="59"/>
      <x:c r="D127" s="59"/>
      <x:c r="E127" s="59"/>
      <x:c r="F127" s="59"/>
      <x:c r="G127" s="59"/>
      <x:c r="H127" s="59"/>
      <x:c r="I127" s="59"/>
      <x:c r="J127" s="59"/>
      <x:c r="K127" s="59"/>
      <x:c r="L127" s="59"/>
      <x:c r="M127" s="59"/>
      <x:c r="N127" s="59"/>
      <x:c r="O127" s="59"/>
    </x:row>
    <x:row r="128">
      <x:c r="A128" s="59"/>
      <x:c r="B128" s="59"/>
      <x:c r="C128" s="59"/>
      <x:c r="D128" s="59"/>
      <x:c r="E128" s="59"/>
      <x:c r="F128" s="59"/>
      <x:c r="G128" s="59"/>
      <x:c r="H128" s="59"/>
      <x:c r="I128" s="59"/>
      <x:c r="J128" s="59"/>
      <x:c r="K128" s="59"/>
      <x:c r="L128" s="59"/>
      <x:c r="M128" s="59"/>
      <x:c r="N128" s="59"/>
      <x:c r="O128" s="59"/>
    </x:row>
    <x:row r="129">
      <x:c r="A129" s="59"/>
      <x:c r="B129" s="59"/>
      <x:c r="C129" s="59"/>
      <x:c r="D129" s="59"/>
      <x:c r="E129" s="59"/>
      <x:c r="F129" s="59"/>
      <x:c r="G129" s="59"/>
      <x:c r="H129" s="59"/>
      <x:c r="I129" s="59"/>
      <x:c r="J129" s="59"/>
      <x:c r="K129" s="59"/>
      <x:c r="L129" s="59"/>
      <x:c r="M129" s="59"/>
      <x:c r="N129" s="59"/>
      <x:c r="O129" s="59"/>
    </x:row>
    <x:row r="130">
      <x:c r="A130" s="59"/>
      <x:c r="B130" s="59"/>
      <x:c r="C130" s="59"/>
      <x:c r="D130" s="59"/>
      <x:c r="E130" s="59"/>
      <x:c r="F130" s="59"/>
      <x:c r="G130" s="59"/>
      <x:c r="H130" s="59"/>
      <x:c r="I130" s="59"/>
      <x:c r="J130" s="59"/>
      <x:c r="K130" s="59"/>
      <x:c r="L130" s="59"/>
      <x:c r="M130" s="59"/>
      <x:c r="N130" s="59"/>
      <x:c r="O130" s="59"/>
    </x:row>
    <x:row r="131">
      <x:c r="A131" s="59"/>
      <x:c r="B131" s="59"/>
      <x:c r="C131" s="59"/>
      <x:c r="D131" s="59"/>
      <x:c r="E131" s="59"/>
      <x:c r="F131" s="59"/>
      <x:c r="G131" s="59"/>
      <x:c r="H131" s="59"/>
      <x:c r="I131" s="59"/>
      <x:c r="J131" s="59"/>
      <x:c r="K131" s="59"/>
      <x:c r="L131" s="59"/>
      <x:c r="M131" s="59"/>
      <x:c r="N131" s="59"/>
      <x:c r="O131" s="59"/>
    </x:row>
    <x:row r="132">
      <x:c r="A132" s="59"/>
      <x:c r="B132" s="59"/>
      <x:c r="C132" s="59"/>
      <x:c r="D132" s="59"/>
      <x:c r="E132" s="59"/>
      <x:c r="F132" s="59"/>
      <x:c r="G132" s="59"/>
      <x:c r="H132" s="59"/>
      <x:c r="I132" s="59"/>
      <x:c r="J132" s="59"/>
      <x:c r="K132" s="59"/>
      <x:c r="L132" s="59"/>
      <x:c r="M132" s="59"/>
      <x:c r="N132" s="59"/>
      <x:c r="O132" s="59"/>
    </x:row>
    <x:row r="133">
      <x:c r="A133" s="59"/>
      <x:c r="B133" s="59"/>
      <x:c r="C133" s="59"/>
      <x:c r="D133" s="59"/>
      <x:c r="E133" s="59"/>
      <x:c r="F133" s="59"/>
      <x:c r="G133" s="59"/>
      <x:c r="H133" s="59"/>
      <x:c r="I133" s="59"/>
      <x:c r="J133" s="59"/>
      <x:c r="K133" s="59"/>
      <x:c r="L133" s="59"/>
      <x:c r="M133" s="59"/>
      <x:c r="N133" s="59"/>
      <x:c r="O133" s="59"/>
    </x:row>
    <x:row r="134">
      <x:c r="A134" s="59"/>
      <x:c r="B134" s="59"/>
      <x:c r="C134" s="59"/>
      <x:c r="D134" s="59"/>
      <x:c r="E134" s="59"/>
      <x:c r="F134" s="59"/>
      <x:c r="G134" s="59"/>
      <x:c r="H134" s="59"/>
      <x:c r="I134" s="59"/>
      <x:c r="J134" s="59"/>
      <x:c r="K134" s="59"/>
      <x:c r="L134" s="59"/>
      <x:c r="M134" s="59"/>
      <x:c r="N134" s="59"/>
      <x:c r="O134" s="59"/>
    </x:row>
    <x:row r="135">
      <x:c r="A135" s="59"/>
      <x:c r="B135" s="59"/>
      <x:c r="C135" s="59"/>
      <x:c r="D135" s="59"/>
      <x:c r="E135" s="59"/>
      <x:c r="F135" s="59"/>
      <x:c r="G135" s="59"/>
      <x:c r="H135" s="59"/>
      <x:c r="I135" s="59"/>
      <x:c r="J135" s="59"/>
      <x:c r="K135" s="59"/>
      <x:c r="L135" s="59"/>
      <x:c r="M135" s="59"/>
      <x:c r="N135" s="59"/>
      <x:c r="O135" s="59"/>
    </x:row>
    <x:row r="136">
      <x:c r="A136" s="59"/>
      <x:c r="B136" s="59"/>
      <x:c r="C136" s="59"/>
      <x:c r="D136" s="59"/>
      <x:c r="E136" s="59"/>
      <x:c r="F136" s="59"/>
      <x:c r="G136" s="59"/>
      <x:c r="H136" s="59"/>
      <x:c r="I136" s="59"/>
      <x:c r="J136" s="59"/>
      <x:c r="K136" s="59"/>
      <x:c r="L136" s="59"/>
      <x:c r="M136" s="59"/>
      <x:c r="N136" s="59"/>
      <x:c r="O136" s="59"/>
    </x:row>
    <x:row r="137">
      <x:c r="A137" s="59"/>
      <x:c r="B137" s="59"/>
      <x:c r="C137" s="59"/>
      <x:c r="D137" s="59"/>
      <x:c r="E137" s="59"/>
      <x:c r="F137" s="59"/>
      <x:c r="G137" s="59"/>
      <x:c r="H137" s="59"/>
      <x:c r="I137" s="59"/>
      <x:c r="J137" s="59"/>
      <x:c r="K137" s="59"/>
      <x:c r="L137" s="59"/>
      <x:c r="M137" s="59"/>
      <x:c r="N137" s="59"/>
      <x:c r="O137" s="59"/>
    </x:row>
    <x:row r="138">
      <x:c r="A138" s="59"/>
      <x:c r="B138" s="59"/>
      <x:c r="C138" s="59"/>
      <x:c r="D138" s="59"/>
      <x:c r="E138" s="59"/>
      <x:c r="F138" s="59"/>
      <x:c r="G138" s="59"/>
      <x:c r="H138" s="59"/>
      <x:c r="I138" s="59"/>
      <x:c r="J138" s="59"/>
      <x:c r="K138" s="59"/>
      <x:c r="L138" s="59"/>
      <x:c r="M138" s="59"/>
      <x:c r="N138" s="59"/>
      <x:c r="O138" s="59"/>
    </x:row>
    <x:row r="139">
      <x:c r="A139" s="59"/>
      <x:c r="B139" s="59"/>
      <x:c r="C139" s="59"/>
      <x:c r="D139" s="59"/>
      <x:c r="E139" s="59"/>
      <x:c r="F139" s="59"/>
      <x:c r="G139" s="59"/>
      <x:c r="H139" s="59"/>
      <x:c r="I139" s="59"/>
      <x:c r="J139" s="59"/>
      <x:c r="K139" s="59"/>
      <x:c r="L139" s="59"/>
      <x:c r="M139" s="59"/>
      <x:c r="N139" s="59"/>
      <x:c r="O139" s="59"/>
    </x:row>
    <x:row r="140">
      <x:c r="A140" s="59"/>
      <x:c r="B140" s="59"/>
      <x:c r="C140" s="59"/>
      <x:c r="D140" s="59"/>
      <x:c r="E140" s="59"/>
      <x:c r="F140" s="59"/>
      <x:c r="G140" s="59"/>
      <x:c r="H140" s="59"/>
      <x:c r="I140" s="59"/>
      <x:c r="J140" s="59"/>
      <x:c r="K140" s="59"/>
      <x:c r="L140" s="59"/>
      <x:c r="M140" s="59"/>
      <x:c r="N140" s="59"/>
      <x:c r="O140" s="59"/>
    </x:row>
    <x:row r="141">
      <x:c r="A141" s="59"/>
      <x:c r="B141" s="59"/>
      <x:c r="C141" s="59"/>
      <x:c r="D141" s="59"/>
      <x:c r="E141" s="59"/>
      <x:c r="F141" s="59"/>
      <x:c r="G141" s="59"/>
      <x:c r="H141" s="59"/>
      <x:c r="I141" s="59"/>
      <x:c r="J141" s="59"/>
      <x:c r="K141" s="59"/>
      <x:c r="L141" s="59"/>
      <x:c r="M141" s="59"/>
      <x:c r="N141" s="59"/>
      <x:c r="O141" s="59"/>
    </x:row>
    <x:row r="142">
      <x:c r="A142" s="59"/>
      <x:c r="B142" s="59"/>
      <x:c r="C142" s="59"/>
      <x:c r="D142" s="59"/>
      <x:c r="E142" s="59"/>
      <x:c r="F142" s="59"/>
      <x:c r="G142" s="59"/>
      <x:c r="H142" s="59"/>
      <x:c r="I142" s="59"/>
      <x:c r="J142" s="59"/>
      <x:c r="K142" s="59"/>
      <x:c r="L142" s="59"/>
      <x:c r="M142" s="59"/>
      <x:c r="N142" s="59"/>
      <x:c r="O142" s="59"/>
    </x:row>
    <x:row r="143">
      <x:c r="A143" s="59"/>
      <x:c r="B143" s="59"/>
      <x:c r="C143" s="59"/>
      <x:c r="D143" s="59"/>
      <x:c r="E143" s="59"/>
      <x:c r="F143" s="59"/>
      <x:c r="G143" s="59"/>
      <x:c r="H143" s="59"/>
      <x:c r="I143" s="59"/>
      <x:c r="J143" s="59"/>
      <x:c r="K143" s="59"/>
      <x:c r="L143" s="59"/>
      <x:c r="M143" s="59"/>
      <x:c r="N143" s="59"/>
      <x:c r="O143" s="59"/>
    </x:row>
    <x:row r="144">
      <x:c r="A144" s="59"/>
      <x:c r="B144" s="59"/>
      <x:c r="C144" s="59"/>
      <x:c r="D144" s="59"/>
      <x:c r="E144" s="59"/>
      <x:c r="F144" s="59"/>
      <x:c r="G144" s="59"/>
      <x:c r="H144" s="59"/>
      <x:c r="I144" s="59"/>
      <x:c r="J144" s="59"/>
      <x:c r="K144" s="59"/>
      <x:c r="L144" s="59"/>
      <x:c r="M144" s="59"/>
      <x:c r="N144" s="59"/>
      <x:c r="O144" s="59"/>
    </x:row>
    <x:row r="145">
      <x:c r="A145" s="59"/>
      <x:c r="B145" s="59"/>
      <x:c r="C145" s="59"/>
      <x:c r="D145" s="59"/>
      <x:c r="E145" s="59"/>
      <x:c r="F145" s="59"/>
      <x:c r="G145" s="59"/>
      <x:c r="H145" s="59"/>
      <x:c r="I145" s="59"/>
      <x:c r="J145" s="59"/>
      <x:c r="K145" s="59"/>
      <x:c r="L145" s="59"/>
      <x:c r="M145" s="59"/>
      <x:c r="N145" s="59"/>
      <x:c r="O145" s="59"/>
    </x:row>
    <x:row r="146">
      <x:c r="A146" s="59"/>
      <x:c r="B146" s="59"/>
      <x:c r="C146" s="59"/>
      <x:c r="D146" s="59"/>
      <x:c r="E146" s="59"/>
      <x:c r="F146" s="59"/>
      <x:c r="G146" s="59"/>
      <x:c r="H146" s="59"/>
      <x:c r="I146" s="59"/>
      <x:c r="J146" s="59"/>
      <x:c r="K146" s="59"/>
      <x:c r="L146" s="59"/>
      <x:c r="M146" s="59"/>
      <x:c r="N146" s="59"/>
      <x:c r="O146" s="59"/>
    </x:row>
    <x:row r="147">
      <x:c r="A147" s="59"/>
      <x:c r="B147" s="59"/>
      <x:c r="C147" s="59"/>
      <x:c r="D147" s="59"/>
      <x:c r="E147" s="59"/>
      <x:c r="F147" s="59"/>
      <x:c r="G147" s="59"/>
      <x:c r="H147" s="59"/>
      <x:c r="I147" s="59"/>
      <x:c r="J147" s="59"/>
      <x:c r="K147" s="59"/>
      <x:c r="L147" s="59"/>
      <x:c r="M147" s="59"/>
      <x:c r="N147" s="59"/>
      <x:c r="O147" s="59"/>
    </x:row>
    <x:row r="148">
      <x:c r="A148" s="59"/>
      <x:c r="B148" s="59"/>
      <x:c r="C148" s="59"/>
      <x:c r="D148" s="59"/>
      <x:c r="E148" s="59"/>
      <x:c r="F148" s="59"/>
      <x:c r="G148" s="59"/>
      <x:c r="H148" s="59"/>
      <x:c r="I148" s="59"/>
      <x:c r="J148" s="59"/>
      <x:c r="K148" s="59"/>
      <x:c r="L148" s="59"/>
      <x:c r="M148" s="59"/>
      <x:c r="N148" s="59"/>
      <x:c r="O148" s="59"/>
    </x:row>
    <x:row r="149">
      <x:c r="A149" s="59"/>
      <x:c r="B149" s="59"/>
      <x:c r="C149" s="59"/>
      <x:c r="D149" s="59"/>
      <x:c r="E149" s="59"/>
      <x:c r="F149" s="59"/>
      <x:c r="G149" s="59"/>
      <x:c r="H149" s="59"/>
      <x:c r="I149" s="59"/>
      <x:c r="J149" s="59"/>
      <x:c r="K149" s="59"/>
      <x:c r="L149" s="59"/>
      <x:c r="M149" s="59"/>
      <x:c r="N149" s="59"/>
      <x:c r="O149" s="59"/>
    </x:row>
    <x:row r="150">
      <x:c r="A150" s="59"/>
      <x:c r="B150" s="59"/>
      <x:c r="C150" s="59"/>
      <x:c r="D150" s="59"/>
      <x:c r="E150" s="59"/>
      <x:c r="F150" s="59"/>
      <x:c r="G150" s="59"/>
      <x:c r="H150" s="59"/>
      <x:c r="I150" s="59"/>
      <x:c r="J150" s="59"/>
      <x:c r="K150" s="59"/>
      <x:c r="L150" s="59"/>
      <x:c r="M150" s="59"/>
      <x:c r="N150" s="59"/>
      <x:c r="O150" s="59"/>
    </x:row>
    <x:row r="151">
      <x:c r="A151" s="59"/>
      <x:c r="B151" s="59"/>
      <x:c r="C151" s="59"/>
      <x:c r="D151" s="59"/>
      <x:c r="E151" s="59"/>
      <x:c r="F151" s="59"/>
      <x:c r="G151" s="59"/>
      <x:c r="H151" s="59"/>
      <x:c r="I151" s="59"/>
      <x:c r="J151" s="59"/>
      <x:c r="K151" s="59"/>
      <x:c r="L151" s="59"/>
      <x:c r="M151" s="59"/>
      <x:c r="N151" s="59"/>
      <x:c r="O151" s="59"/>
    </x:row>
    <x:row r="152">
      <x:c r="A152" s="59"/>
      <x:c r="B152" s="59"/>
      <x:c r="C152" s="59"/>
      <x:c r="D152" s="59"/>
      <x:c r="E152" s="59"/>
      <x:c r="F152" s="59"/>
      <x:c r="G152" s="59"/>
      <x:c r="H152" s="59"/>
      <x:c r="I152" s="59"/>
      <x:c r="J152" s="59"/>
      <x:c r="K152" s="59"/>
      <x:c r="L152" s="59"/>
      <x:c r="M152" s="59"/>
      <x:c r="N152" s="59"/>
      <x:c r="O152" s="59"/>
    </x:row>
    <x:row r="153">
      <x:c r="A153" s="59"/>
      <x:c r="B153" s="59"/>
      <x:c r="C153" s="59"/>
      <x:c r="D153" s="59"/>
      <x:c r="E153" s="59"/>
      <x:c r="F153" s="59"/>
      <x:c r="G153" s="59"/>
      <x:c r="H153" s="59"/>
      <x:c r="I153" s="59"/>
      <x:c r="J153" s="59"/>
      <x:c r="K153" s="59"/>
      <x:c r="L153" s="59"/>
      <x:c r="M153" s="59"/>
      <x:c r="N153" s="59"/>
      <x:c r="O153" s="59"/>
    </x:row>
    <x:row r="154">
      <x:c r="A154" s="59"/>
      <x:c r="B154" s="59"/>
      <x:c r="C154" s="59"/>
      <x:c r="D154" s="59"/>
      <x:c r="E154" s="59"/>
      <x:c r="F154" s="59"/>
      <x:c r="G154" s="59"/>
      <x:c r="H154" s="59"/>
      <x:c r="I154" s="59"/>
      <x:c r="J154" s="59"/>
      <x:c r="K154" s="59"/>
      <x:c r="L154" s="59"/>
      <x:c r="M154" s="59"/>
      <x:c r="N154" s="59"/>
      <x:c r="O154" s="59"/>
    </x:row>
    <x:row r="155">
      <x:c r="A155" s="59"/>
      <x:c r="B155" s="59"/>
      <x:c r="C155" s="59"/>
      <x:c r="D155" s="59"/>
      <x:c r="E155" s="59"/>
      <x:c r="F155" s="59"/>
      <x:c r="G155" s="59"/>
      <x:c r="H155" s="59"/>
      <x:c r="I155" s="59"/>
      <x:c r="J155" s="59"/>
      <x:c r="K155" s="59"/>
      <x:c r="L155" s="59"/>
      <x:c r="M155" s="59"/>
      <x:c r="N155" s="59"/>
      <x:c r="O155" s="59"/>
    </x:row>
    <x:row r="156">
      <x:c r="A156" s="59"/>
      <x:c r="B156" s="59"/>
      <x:c r="C156" s="59"/>
      <x:c r="D156" s="59"/>
      <x:c r="E156" s="59"/>
      <x:c r="F156" s="59"/>
      <x:c r="G156" s="59"/>
      <x:c r="H156" s="59"/>
      <x:c r="I156" s="59"/>
      <x:c r="J156" s="59"/>
      <x:c r="K156" s="59"/>
      <x:c r="L156" s="59"/>
      <x:c r="M156" s="59"/>
      <x:c r="N156" s="59"/>
      <x:c r="O156" s="59"/>
    </x:row>
    <x:row r="157">
      <x:c r="A157" s="59"/>
      <x:c r="B157" s="59"/>
      <x:c r="C157" s="59"/>
      <x:c r="D157" s="59"/>
      <x:c r="E157" s="59"/>
      <x:c r="F157" s="59"/>
      <x:c r="G157" s="59"/>
      <x:c r="H157" s="59"/>
      <x:c r="I157" s="59"/>
      <x:c r="J157" s="59"/>
      <x:c r="K157" s="59"/>
      <x:c r="L157" s="59"/>
      <x:c r="M157" s="59"/>
      <x:c r="N157" s="59"/>
      <x:c r="O157" s="59"/>
    </x:row>
    <x:row r="158">
      <x:c r="A158" s="59"/>
      <x:c r="B158" s="59"/>
      <x:c r="C158" s="59"/>
      <x:c r="D158" s="59"/>
      <x:c r="E158" s="59"/>
      <x:c r="F158" s="59"/>
      <x:c r="G158" s="59"/>
      <x:c r="H158" s="59"/>
      <x:c r="I158" s="59"/>
      <x:c r="J158" s="59"/>
      <x:c r="K158" s="59"/>
      <x:c r="L158" s="59"/>
      <x:c r="M158" s="59"/>
      <x:c r="N158" s="59"/>
      <x:c r="O158" s="59"/>
    </x:row>
    <x:row r="159">
      <x:c r="A159" s="59"/>
      <x:c r="B159" s="59"/>
      <x:c r="C159" s="59"/>
      <x:c r="D159" s="59"/>
      <x:c r="E159" s="59"/>
      <x:c r="F159" s="59"/>
      <x:c r="G159" s="59"/>
      <x:c r="H159" s="59"/>
      <x:c r="I159" s="59"/>
      <x:c r="J159" s="59"/>
      <x:c r="K159" s="59"/>
      <x:c r="L159" s="59"/>
      <x:c r="M159" s="59"/>
      <x:c r="N159" s="59"/>
      <x:c r="O159" s="59"/>
    </x:row>
    <x:row r="160">
      <x:c r="A160" s="59"/>
      <x:c r="B160" s="59"/>
      <x:c r="C160" s="59"/>
      <x:c r="D160" s="59"/>
      <x:c r="E160" s="59"/>
      <x:c r="F160" s="59"/>
      <x:c r="G160" s="59"/>
      <x:c r="H160" s="59"/>
      <x:c r="I160" s="59"/>
      <x:c r="J160" s="59"/>
      <x:c r="K160" s="59"/>
      <x:c r="L160" s="59"/>
      <x:c r="M160" s="59"/>
      <x:c r="N160" s="59"/>
      <x:c r="O160" s="59"/>
    </x:row>
    <x:row r="161">
      <x:c r="A161" s="59"/>
      <x:c r="B161" s="59"/>
      <x:c r="C161" s="59"/>
      <x:c r="D161" s="59"/>
      <x:c r="E161" s="59"/>
      <x:c r="F161" s="59"/>
      <x:c r="G161" s="59"/>
      <x:c r="H161" s="59"/>
      <x:c r="I161" s="59"/>
      <x:c r="J161" s="59"/>
      <x:c r="K161" s="59"/>
      <x:c r="L161" s="59"/>
      <x:c r="M161" s="59"/>
      <x:c r="N161" s="59"/>
      <x:c r="O161" s="59"/>
    </x:row>
    <x:row r="162">
      <x:c r="A162" s="59"/>
      <x:c r="B162" s="59"/>
      <x:c r="C162" s="59"/>
      <x:c r="D162" s="59"/>
      <x:c r="E162" s="59"/>
      <x:c r="F162" s="59"/>
      <x:c r="G162" s="59"/>
      <x:c r="H162" s="59"/>
      <x:c r="I162" s="59"/>
      <x:c r="J162" s="59"/>
      <x:c r="K162" s="59"/>
      <x:c r="L162" s="59"/>
      <x:c r="M162" s="59"/>
      <x:c r="N162" s="59"/>
      <x:c r="O162" s="59"/>
    </x:row>
    <x:row r="163">
      <x:c r="A163" s="59"/>
      <x:c r="B163" s="59"/>
      <x:c r="C163" s="59"/>
      <x:c r="D163" s="59"/>
      <x:c r="E163" s="59"/>
      <x:c r="F163" s="59"/>
      <x:c r="G163" s="59"/>
      <x:c r="H163" s="59"/>
      <x:c r="I163" s="59"/>
      <x:c r="J163" s="59"/>
      <x:c r="K163" s="59"/>
      <x:c r="L163" s="59"/>
      <x:c r="M163" s="59"/>
      <x:c r="N163" s="59"/>
      <x:c r="O163" s="59"/>
    </x:row>
    <x:row r="164">
      <x:c r="A164" s="59"/>
      <x:c r="B164" s="59"/>
      <x:c r="C164" s="59"/>
      <x:c r="D164" s="59"/>
      <x:c r="E164" s="59"/>
      <x:c r="F164" s="59"/>
      <x:c r="G164" s="59"/>
      <x:c r="H164" s="59"/>
      <x:c r="I164" s="59"/>
      <x:c r="J164" s="59"/>
      <x:c r="K164" s="59"/>
      <x:c r="L164" s="59"/>
      <x:c r="M164" s="59"/>
      <x:c r="N164" s="59"/>
      <x:c r="O164" s="59"/>
    </x:row>
    <x:row r="165">
      <x:c r="A165" s="59"/>
      <x:c r="B165" s="59"/>
      <x:c r="C165" s="59"/>
      <x:c r="D165" s="59"/>
      <x:c r="E165" s="59"/>
      <x:c r="F165" s="59"/>
      <x:c r="G165" s="59"/>
      <x:c r="H165" s="59"/>
      <x:c r="I165" s="59"/>
      <x:c r="J165" s="59"/>
      <x:c r="K165" s="59"/>
      <x:c r="L165" s="59"/>
      <x:c r="M165" s="59"/>
      <x:c r="N165" s="59"/>
      <x:c r="O165" s="59"/>
    </x:row>
    <x:row r="166">
      <x:c r="A166" s="59"/>
      <x:c r="B166" s="59"/>
      <x:c r="C166" s="59"/>
      <x:c r="D166" s="59"/>
      <x:c r="E166" s="59"/>
      <x:c r="F166" s="59"/>
      <x:c r="G166" s="59"/>
      <x:c r="H166" s="59"/>
      <x:c r="I166" s="59"/>
      <x:c r="J166" s="59"/>
      <x:c r="K166" s="59"/>
      <x:c r="L166" s="59"/>
      <x:c r="M166" s="59"/>
      <x:c r="N166" s="59"/>
      <x:c r="O166" s="59"/>
    </x:row>
    <x:row r="167">
      <x:c r="A167" s="59"/>
      <x:c r="B167" s="59"/>
      <x:c r="C167" s="59"/>
      <x:c r="D167" s="59"/>
      <x:c r="E167" s="59"/>
      <x:c r="F167" s="59"/>
      <x:c r="G167" s="59"/>
      <x:c r="H167" s="59"/>
      <x:c r="I167" s="59"/>
      <x:c r="J167" s="59"/>
      <x:c r="K167" s="59"/>
      <x:c r="L167" s="59"/>
      <x:c r="M167" s="59"/>
      <x:c r="N167" s="59"/>
      <x:c r="O167" s="59"/>
    </x:row>
    <x:row r="168">
      <x:c r="A168" s="59"/>
      <x:c r="B168" s="59"/>
      <x:c r="C168" s="59"/>
      <x:c r="D168" s="59"/>
      <x:c r="E168" s="59"/>
      <x:c r="F168" s="59"/>
      <x:c r="G168" s="59"/>
      <x:c r="H168" s="59"/>
      <x:c r="I168" s="59"/>
      <x:c r="J168" s="59"/>
      <x:c r="K168" s="59"/>
      <x:c r="L168" s="59"/>
      <x:c r="M168" s="59"/>
      <x:c r="N168" s="59"/>
      <x:c r="O168" s="59"/>
    </x:row>
    <x:row r="169">
      <x:c r="A169" s="59"/>
      <x:c r="B169" s="59"/>
      <x:c r="C169" s="59"/>
      <x:c r="D169" s="59"/>
      <x:c r="E169" s="59"/>
      <x:c r="F169" s="59"/>
      <x:c r="G169" s="59"/>
      <x:c r="H169" s="59"/>
      <x:c r="I169" s="59"/>
      <x:c r="J169" s="59"/>
      <x:c r="K169" s="59"/>
      <x:c r="L169" s="59"/>
      <x:c r="M169" s="59"/>
      <x:c r="N169" s="59"/>
      <x:c r="O169" s="59"/>
    </x:row>
    <x:row r="170">
      <x:c r="A170" s="59"/>
      <x:c r="B170" s="59"/>
      <x:c r="C170" s="59"/>
      <x:c r="D170" s="59"/>
      <x:c r="E170" s="59"/>
      <x:c r="F170" s="59"/>
      <x:c r="G170" s="59"/>
      <x:c r="H170" s="59"/>
      <x:c r="I170" s="59"/>
      <x:c r="J170" s="59"/>
      <x:c r="K170" s="59"/>
      <x:c r="L170" s="59"/>
      <x:c r="M170" s="59"/>
      <x:c r="N170" s="59"/>
      <x:c r="O170" s="59"/>
    </x:row>
    <x:row r="171">
      <x:c r="A171" s="59"/>
      <x:c r="B171" s="59"/>
      <x:c r="C171" s="59"/>
      <x:c r="D171" s="59"/>
      <x:c r="E171" s="59"/>
      <x:c r="F171" s="59"/>
      <x:c r="G171" s="59"/>
      <x:c r="H171" s="59"/>
      <x:c r="I171" s="59"/>
      <x:c r="J171" s="59"/>
      <x:c r="K171" s="59"/>
      <x:c r="L171" s="59"/>
      <x:c r="M171" s="59"/>
      <x:c r="N171" s="59"/>
      <x:c r="O171" s="59"/>
    </x:row>
    <x:row r="172">
      <x:c r="A172" s="59"/>
      <x:c r="B172" s="59"/>
      <x:c r="C172" s="59"/>
      <x:c r="D172" s="59"/>
      <x:c r="E172" s="59"/>
      <x:c r="F172" s="59"/>
      <x:c r="G172" s="59"/>
      <x:c r="H172" s="59"/>
      <x:c r="I172" s="59"/>
      <x:c r="J172" s="59"/>
      <x:c r="K172" s="59"/>
      <x:c r="L172" s="59"/>
      <x:c r="M172" s="59"/>
      <x:c r="N172" s="59"/>
      <x:c r="O172" s="59"/>
    </x:row>
    <x:row r="173">
      <x:c r="A173" s="59"/>
      <x:c r="B173" s="59"/>
      <x:c r="C173" s="59"/>
      <x:c r="D173" s="59"/>
      <x:c r="E173" s="59"/>
      <x:c r="F173" s="59"/>
      <x:c r="G173" s="59"/>
      <x:c r="H173" s="59"/>
      <x:c r="I173" s="59"/>
      <x:c r="J173" s="59"/>
      <x:c r="K173" s="59"/>
      <x:c r="L173" s="59"/>
      <x:c r="M173" s="59"/>
      <x:c r="N173" s="59"/>
      <x:c r="O173" s="59"/>
    </x:row>
    <x:row r="174">
      <x:c r="A174" s="59"/>
      <x:c r="B174" s="59"/>
      <x:c r="C174" s="59"/>
      <x:c r="D174" s="59"/>
      <x:c r="E174" s="59"/>
      <x:c r="F174" s="59"/>
      <x:c r="G174" s="59"/>
      <x:c r="H174" s="59"/>
      <x:c r="I174" s="59"/>
      <x:c r="J174" s="59"/>
      <x:c r="K174" s="59"/>
      <x:c r="L174" s="59"/>
      <x:c r="M174" s="59"/>
      <x:c r="N174" s="59"/>
      <x:c r="O174" s="59"/>
    </x:row>
    <x:row r="175">
      <x:c r="A175" s="59"/>
      <x:c r="B175" s="59"/>
      <x:c r="C175" s="59"/>
      <x:c r="D175" s="59"/>
      <x:c r="E175" s="59"/>
      <x:c r="F175" s="59"/>
      <x:c r="G175" s="59"/>
      <x:c r="H175" s="59"/>
      <x:c r="I175" s="59"/>
      <x:c r="J175" s="59"/>
      <x:c r="K175" s="59"/>
      <x:c r="L175" s="59"/>
      <x:c r="M175" s="59"/>
      <x:c r="N175" s="59"/>
      <x:c r="O175" s="59"/>
    </x:row>
    <x:row r="176">
      <x:c r="A176" s="59"/>
      <x:c r="B176" s="59"/>
      <x:c r="C176" s="59"/>
      <x:c r="D176" s="59"/>
      <x:c r="E176" s="59"/>
      <x:c r="F176" s="59"/>
      <x:c r="G176" s="59"/>
      <x:c r="H176" s="59"/>
      <x:c r="I176" s="59"/>
      <x:c r="J176" s="59"/>
      <x:c r="K176" s="59"/>
      <x:c r="L176" s="59"/>
      <x:c r="M176" s="59"/>
      <x:c r="N176" s="59"/>
      <x:c r="O176" s="59"/>
    </x:row>
    <x:row r="177">
      <x:c r="A177" s="59"/>
      <x:c r="B177" s="59"/>
      <x:c r="C177" s="59"/>
      <x:c r="D177" s="59"/>
      <x:c r="E177" s="59"/>
      <x:c r="F177" s="59"/>
      <x:c r="G177" s="59"/>
      <x:c r="H177" s="59"/>
      <x:c r="I177" s="59"/>
      <x:c r="J177" s="59"/>
      <x:c r="K177" s="59"/>
      <x:c r="L177" s="59"/>
      <x:c r="M177" s="59"/>
      <x:c r="N177" s="59"/>
      <x:c r="O177" s="59"/>
    </x:row>
    <x:row r="178">
      <x:c r="A178" s="59"/>
      <x:c r="B178" s="59"/>
      <x:c r="C178" s="59"/>
      <x:c r="D178" s="59"/>
      <x:c r="E178" s="59"/>
      <x:c r="F178" s="59"/>
      <x:c r="G178" s="59"/>
      <x:c r="H178" s="59"/>
      <x:c r="I178" s="59"/>
      <x:c r="J178" s="59"/>
      <x:c r="K178" s="59"/>
      <x:c r="L178" s="59"/>
      <x:c r="M178" s="59"/>
      <x:c r="N178" s="59"/>
      <x:c r="O178" s="59"/>
    </x:row>
    <x:row r="179">
      <x:c r="A179" s="59"/>
      <x:c r="B179" s="59"/>
      <x:c r="C179" s="59"/>
      <x:c r="D179" s="59"/>
      <x:c r="E179" s="59"/>
      <x:c r="F179" s="59"/>
      <x:c r="G179" s="59"/>
      <x:c r="H179" s="59"/>
      <x:c r="I179" s="59"/>
      <x:c r="J179" s="59"/>
      <x:c r="K179" s="59"/>
      <x:c r="L179" s="59"/>
      <x:c r="M179" s="59"/>
      <x:c r="N179" s="59"/>
      <x:c r="O179" s="59"/>
    </x:row>
    <x:row r="180">
      <x:c r="A180" s="59"/>
      <x:c r="B180" s="59"/>
      <x:c r="C180" s="59"/>
      <x:c r="D180" s="59"/>
      <x:c r="E180" s="59"/>
      <x:c r="F180" s="59"/>
      <x:c r="G180" s="59"/>
      <x:c r="H180" s="59"/>
      <x:c r="I180" s="59"/>
      <x:c r="J180" s="59"/>
      <x:c r="K180" s="59"/>
      <x:c r="L180" s="59"/>
      <x:c r="M180" s="59"/>
      <x:c r="N180" s="59"/>
      <x:c r="O180" s="59"/>
    </x:row>
    <x:row r="181">
      <x:c r="A181" s="59"/>
      <x:c r="B181" s="59"/>
      <x:c r="C181" s="59"/>
      <x:c r="D181" s="59"/>
      <x:c r="E181" s="59"/>
      <x:c r="F181" s="59"/>
      <x:c r="G181" s="59"/>
      <x:c r="H181" s="59"/>
      <x:c r="I181" s="59"/>
      <x:c r="J181" s="59"/>
      <x:c r="K181" s="59"/>
      <x:c r="L181" s="59"/>
      <x:c r="M181" s="59"/>
      <x:c r="N181" s="59"/>
      <x:c r="O181" s="59"/>
    </x:row>
    <x:row r="182">
      <x:c r="A182" s="59"/>
      <x:c r="B182" s="59"/>
      <x:c r="C182" s="59"/>
      <x:c r="D182" s="59"/>
      <x:c r="E182" s="59"/>
      <x:c r="F182" s="59"/>
      <x:c r="G182" s="59"/>
      <x:c r="H182" s="59"/>
      <x:c r="I182" s="59"/>
      <x:c r="J182" s="59"/>
      <x:c r="K182" s="59"/>
      <x:c r="L182" s="59"/>
      <x:c r="M182" s="59"/>
      <x:c r="N182" s="59"/>
      <x:c r="O182" s="59"/>
    </x:row>
    <x:row r="183">
      <x:c r="A183" s="59"/>
      <x:c r="B183" s="59"/>
      <x:c r="C183" s="59"/>
      <x:c r="D183" s="59"/>
      <x:c r="E183" s="59"/>
      <x:c r="F183" s="59"/>
      <x:c r="G183" s="59"/>
      <x:c r="H183" s="59"/>
      <x:c r="I183" s="59"/>
      <x:c r="J183" s="59"/>
      <x:c r="K183" s="59"/>
      <x:c r="L183" s="59"/>
      <x:c r="M183" s="59"/>
      <x:c r="N183" s="59"/>
      <x:c r="O183" s="59"/>
    </x:row>
    <x:row r="184">
      <x:c r="A184" s="59"/>
      <x:c r="B184" s="59"/>
      <x:c r="C184" s="59"/>
      <x:c r="D184" s="59"/>
      <x:c r="E184" s="59"/>
      <x:c r="F184" s="59"/>
      <x:c r="G184" s="59"/>
      <x:c r="H184" s="59"/>
      <x:c r="I184" s="59"/>
      <x:c r="J184" s="59"/>
      <x:c r="K184" s="59"/>
      <x:c r="L184" s="59"/>
      <x:c r="M184" s="59"/>
      <x:c r="N184" s="59"/>
      <x:c r="O184" s="59"/>
    </x:row>
    <x:row r="185">
      <x:c r="A185" s="59"/>
      <x:c r="B185" s="59"/>
      <x:c r="C185" s="59"/>
      <x:c r="D185" s="59"/>
      <x:c r="E185" s="59"/>
      <x:c r="F185" s="59"/>
      <x:c r="G185" s="59"/>
      <x:c r="H185" s="59"/>
      <x:c r="I185" s="59"/>
      <x:c r="J185" s="59"/>
      <x:c r="K185" s="59"/>
      <x:c r="L185" s="59"/>
      <x:c r="M185" s="59"/>
      <x:c r="N185" s="59"/>
      <x:c r="O185" s="59"/>
    </x:row>
    <x:row r="186">
      <x:c r="A186" s="59"/>
      <x:c r="B186" s="59"/>
      <x:c r="C186" s="59"/>
      <x:c r="D186" s="59"/>
      <x:c r="E186" s="59"/>
      <x:c r="F186" s="59"/>
      <x:c r="G186" s="59"/>
      <x:c r="H186" s="59"/>
      <x:c r="I186" s="59"/>
      <x:c r="J186" s="59"/>
      <x:c r="K186" s="59"/>
      <x:c r="L186" s="59"/>
      <x:c r="M186" s="59"/>
      <x:c r="N186" s="59"/>
      <x:c r="O186" s="59"/>
    </x:row>
    <x:row r="187">
      <x:c r="A187" s="59"/>
      <x:c r="B187" s="59"/>
      <x:c r="C187" s="59"/>
      <x:c r="D187" s="59"/>
      <x:c r="E187" s="59"/>
      <x:c r="F187" s="59"/>
      <x:c r="G187" s="59"/>
      <x:c r="H187" s="59"/>
      <x:c r="I187" s="59"/>
      <x:c r="J187" s="59"/>
      <x:c r="K187" s="59"/>
      <x:c r="L187" s="59"/>
      <x:c r="M187" s="59"/>
      <x:c r="N187" s="59"/>
      <x:c r="O187" s="59"/>
    </x:row>
    <x:row r="188">
      <x:c r="A188" s="59"/>
      <x:c r="B188" s="59"/>
      <x:c r="C188" s="59"/>
      <x:c r="D188" s="59"/>
      <x:c r="E188" s="59"/>
      <x:c r="F188" s="59"/>
      <x:c r="G188" s="59"/>
      <x:c r="H188" s="59"/>
      <x:c r="I188" s="59"/>
      <x:c r="J188" s="59"/>
      <x:c r="K188" s="59"/>
      <x:c r="L188" s="59"/>
      <x:c r="M188" s="59"/>
      <x:c r="N188" s="59"/>
      <x:c r="O188" s="59"/>
    </x:row>
    <x:row r="189">
      <x:c r="A189" s="59"/>
      <x:c r="B189" s="59"/>
      <x:c r="C189" s="59"/>
      <x:c r="D189" s="59"/>
      <x:c r="E189" s="59"/>
      <x:c r="F189" s="59"/>
      <x:c r="G189" s="59"/>
      <x:c r="H189" s="59"/>
      <x:c r="I189" s="59"/>
      <x:c r="J189" s="59"/>
      <x:c r="K189" s="59"/>
      <x:c r="L189" s="59"/>
      <x:c r="M189" s="59"/>
      <x:c r="N189" s="59"/>
      <x:c r="O189" s="59"/>
    </x:row>
    <x:row r="190">
      <x:c r="A190" s="59"/>
      <x:c r="B190" s="59"/>
      <x:c r="C190" s="59"/>
      <x:c r="D190" s="59"/>
      <x:c r="E190" s="59"/>
      <x:c r="F190" s="59"/>
      <x:c r="G190" s="59"/>
      <x:c r="H190" s="59"/>
      <x:c r="I190" s="59"/>
      <x:c r="J190" s="59"/>
      <x:c r="K190" s="59"/>
      <x:c r="L190" s="59"/>
      <x:c r="M190" s="59"/>
      <x:c r="N190" s="59"/>
      <x:c r="O190" s="59"/>
    </x:row>
    <x:row r="191">
      <x:c r="A191" s="59"/>
      <x:c r="B191" s="59"/>
      <x:c r="C191" s="59"/>
      <x:c r="D191" s="59"/>
      <x:c r="E191" s="59"/>
      <x:c r="F191" s="59"/>
      <x:c r="G191" s="59"/>
      <x:c r="H191" s="59"/>
      <x:c r="I191" s="59"/>
      <x:c r="J191" s="59"/>
      <x:c r="K191" s="59"/>
      <x:c r="L191" s="59"/>
      <x:c r="M191" s="59"/>
      <x:c r="N191" s="59"/>
      <x:c r="O191" s="59"/>
    </x:row>
    <x:row r="192">
      <x:c r="A192" s="59"/>
      <x:c r="B192" s="59"/>
      <x:c r="C192" s="59"/>
      <x:c r="D192" s="59"/>
      <x:c r="E192" s="59"/>
      <x:c r="F192" s="59"/>
      <x:c r="G192" s="59"/>
      <x:c r="H192" s="59"/>
      <x:c r="I192" s="59"/>
      <x:c r="J192" s="59"/>
      <x:c r="K192" s="59"/>
      <x:c r="L192" s="59"/>
      <x:c r="M192" s="59"/>
      <x:c r="N192" s="59"/>
      <x:c r="O192" s="59"/>
    </x:row>
    <x:row r="193">
      <x:c r="A193" s="59"/>
      <x:c r="B193" s="59"/>
      <x:c r="C193" s="59"/>
      <x:c r="D193" s="59"/>
      <x:c r="E193" s="59"/>
      <x:c r="F193" s="59"/>
      <x:c r="G193" s="59"/>
      <x:c r="H193" s="59"/>
      <x:c r="I193" s="59"/>
      <x:c r="J193" s="59"/>
      <x:c r="K193" s="59"/>
      <x:c r="L193" s="59"/>
      <x:c r="M193" s="59"/>
      <x:c r="N193" s="59"/>
      <x:c r="O193" s="59"/>
    </x:row>
    <x:row r="194">
      <x:c r="A194" s="59"/>
      <x:c r="B194" s="59"/>
      <x:c r="C194" s="59"/>
      <x:c r="D194" s="59"/>
      <x:c r="E194" s="59"/>
      <x:c r="F194" s="59"/>
      <x:c r="G194" s="59"/>
      <x:c r="H194" s="59"/>
      <x:c r="I194" s="59"/>
      <x:c r="J194" s="59"/>
      <x:c r="K194" s="59"/>
      <x:c r="L194" s="59"/>
      <x:c r="M194" s="59"/>
      <x:c r="N194" s="59"/>
      <x:c r="O194" s="59"/>
    </x:row>
    <x:row r="195">
      <x:c r="A195" s="59"/>
      <x:c r="B195" s="59"/>
      <x:c r="C195" s="59"/>
      <x:c r="D195" s="59"/>
      <x:c r="E195" s="59"/>
      <x:c r="F195" s="59"/>
      <x:c r="G195" s="59"/>
      <x:c r="H195" s="59"/>
      <x:c r="I195" s="59"/>
      <x:c r="J195" s="59"/>
      <x:c r="K195" s="59"/>
      <x:c r="L195" s="59"/>
      <x:c r="M195" s="59"/>
      <x:c r="N195" s="59"/>
      <x:c r="O195" s="59"/>
    </x:row>
    <x:row r="196">
      <x:c r="A196" s="59"/>
      <x:c r="B196" s="59"/>
      <x:c r="C196" s="59"/>
      <x:c r="D196" s="59"/>
      <x:c r="E196" s="59"/>
      <x:c r="F196" s="59"/>
      <x:c r="G196" s="59"/>
      <x:c r="H196" s="59"/>
      <x:c r="I196" s="59"/>
      <x:c r="J196" s="59"/>
      <x:c r="K196" s="59"/>
      <x:c r="L196" s="59"/>
      <x:c r="M196" s="59"/>
      <x:c r="N196" s="59"/>
      <x:c r="O196" s="59"/>
    </x:row>
    <x:row r="197">
      <x:c r="A197" s="59"/>
      <x:c r="B197" s="59"/>
      <x:c r="C197" s="59"/>
      <x:c r="D197" s="59"/>
      <x:c r="E197" s="59"/>
      <x:c r="F197" s="59"/>
      <x:c r="G197" s="59"/>
      <x:c r="H197" s="59"/>
      <x:c r="I197" s="59"/>
      <x:c r="J197" s="59"/>
      <x:c r="K197" s="59"/>
      <x:c r="L197" s="59"/>
      <x:c r="M197" s="59"/>
      <x:c r="N197" s="59"/>
      <x:c r="O197" s="59"/>
    </x:row>
    <x:row r="198">
      <x:c r="A198" s="59"/>
      <x:c r="B198" s="59"/>
      <x:c r="C198" s="59"/>
      <x:c r="D198" s="59"/>
      <x:c r="E198" s="59"/>
      <x:c r="F198" s="59"/>
      <x:c r="G198" s="59"/>
      <x:c r="H198" s="59"/>
      <x:c r="I198" s="59"/>
      <x:c r="J198" s="59"/>
      <x:c r="K198" s="59"/>
      <x:c r="L198" s="59"/>
      <x:c r="M198" s="59"/>
      <x:c r="N198" s="59"/>
      <x:c r="O198" s="59"/>
    </x:row>
    <x:row r="199">
      <x:c r="A199" s="59"/>
      <x:c r="B199" s="59"/>
      <x:c r="C199" s="59"/>
      <x:c r="D199" s="59"/>
      <x:c r="E199" s="59"/>
      <x:c r="F199" s="59"/>
      <x:c r="G199" s="59"/>
      <x:c r="H199" s="59"/>
      <x:c r="I199" s="59"/>
      <x:c r="J199" s="59"/>
      <x:c r="K199" s="59"/>
      <x:c r="L199" s="59"/>
      <x:c r="M199" s="59"/>
      <x:c r="N199" s="59"/>
      <x:c r="O199" s="59"/>
    </x:row>
    <x:row r="200">
      <x:c r="A200" s="59"/>
      <x:c r="B200" s="59"/>
      <x:c r="C200" s="59"/>
      <x:c r="D200" s="59"/>
      <x:c r="E200" s="59"/>
      <x:c r="F200" s="59"/>
      <x:c r="G200" s="59"/>
      <x:c r="H200" s="59"/>
      <x:c r="I200" s="59"/>
      <x:c r="J200" s="59"/>
      <x:c r="K200" s="59"/>
      <x:c r="L200" s="59"/>
      <x:c r="M200" s="59"/>
      <x:c r="N200" s="59"/>
      <x:c r="O200" s="59"/>
    </x:row>
  </x:sheetData>
  <x:mergeCells>
    <x:mergeCell ref="A1:O1"/>
    <x:mergeCell ref="A2:O2"/>
    <x:mergeCell ref="A3:O3"/>
  </x:mergeCells>
  <x:conditionalFormatting sqref="K6:K58">
    <x:cfRule type="expression" dxfId="0" priority="1">
      <x:formula>K6="Critical"</x:formula>
    </x:cfRule>
    <x:cfRule type="expression" dxfId="1" priority="2">
      <x:formula>K6="High"</x:formula>
    </x:cfRule>
    <x:cfRule type="expression" dxfId="2" priority="3">
      <x:formula>K6="Medium"</x:formula>
    </x:cfRule>
  </x:conditionalFormatting>
  <x:pageMargins left="0.7" right="0.7" top="0.75" bottom="0.75" header="0.3" footer="0.3"/>
  <x:tableParts count="1">
    <x:tablePart xmlns:r="http://schemas.openxmlformats.org/officeDocument/2006/relationships" r:id="R79aa5f22d50f4c0f"/>
  </x:tableParts>
</x:worksheet>
</file>

<file path=xl/worksheets/sheet4.xml><?xml version="1.0" encoding="utf-8"?>
<x:worksheet xmlns:x="http://schemas.openxmlformats.org/spreadsheetml/2006/main">
  <x:sheetFormatPr defaultRowHeight="15"/>
  <x:cols>
    <x:col min="1" max="1" width="14" hidden="0" customWidth="1"/>
    <x:col min="2" max="2" width="18" hidden="0" customWidth="1"/>
    <x:col min="3" max="3" width="15" hidden="0" customWidth="1"/>
    <x:col min="4" max="4" width="18" hidden="0" customWidth="1"/>
    <x:col min="5" max="5" width="16" hidden="0" customWidth="1"/>
    <x:col min="6" max="6" width="16" hidden="0" customWidth="1"/>
    <x:col min="7" max="7" width="17" hidden="0" customWidth="1"/>
    <x:col min="8" max="8" width="19" hidden="0" customWidth="1"/>
    <x:col min="9" max="9" width="19" hidden="0" customWidth="1"/>
    <x:col min="10" max="10" width="18" hidden="0" customWidth="1"/>
    <x:col min="11" max="11" width="14" hidden="0" customWidth="1"/>
    <x:col min="12" max="12" width="16" hidden="0" customWidth="1"/>
    <x:col min="13" max="13" width="14" hidden="0" customWidth="1"/>
    <x:col min="14" max="14" width="48" hidden="0" customWidth="1"/>
  </x:cols>
  <x:sheetData>
    <x:row r="1" ht="34" customHeight="1">
      <x:c r="A1" s="56" t="str">
        <x:v>Daily OT Monitoring Log</x:v>
      </x:c>
      <x:c r="B1" s="56"/>
      <x:c r="C1" s="56"/>
      <x:c r="D1" s="56"/>
      <x:c r="E1" s="56"/>
      <x:c r="F1" s="56"/>
      <x:c r="G1" s="56"/>
      <x:c r="H1" s="56"/>
      <x:c r="I1" s="56"/>
      <x:c r="J1" s="56"/>
      <x:c r="K1" s="56"/>
      <x:c r="L1" s="56"/>
      <x:c r="M1" s="56"/>
      <x:c r="N1" s="56"/>
      <x:c r="O1" s="59"/>
    </x:row>
    <x:row r="2" ht="20" customHeight="1">
      <x:c r="A2" s="57" t="str">
        <x:v>Author: Yuval Sinay | Version 1.0 | 02.08.2026</x:v>
      </x:c>
      <x:c r="B2" s="57"/>
      <x:c r="C2" s="57"/>
      <x:c r="D2" s="57"/>
      <x:c r="E2" s="57"/>
      <x:c r="F2" s="57"/>
      <x:c r="G2" s="57"/>
      <x:c r="H2" s="57"/>
      <x:c r="I2" s="57"/>
      <x:c r="J2" s="57"/>
      <x:c r="K2" s="57"/>
      <x:c r="L2" s="57"/>
      <x:c r="M2" s="57"/>
      <x:c r="N2" s="57"/>
      <x:c r="O2" s="59"/>
    </x:row>
    <x:row r="3" ht="28" customHeight="1">
      <x:c r="A3" s="58" t="str">
        <x:v>Example 30-day dataset. Replace sample values with site data; the Risk Score and Daily Status columns are formula-driven.</x:v>
      </x:c>
      <x:c r="B3" s="58"/>
      <x:c r="C3" s="58"/>
      <x:c r="D3" s="58"/>
      <x:c r="E3" s="58"/>
      <x:c r="F3" s="58"/>
      <x:c r="G3" s="58"/>
      <x:c r="H3" s="58"/>
      <x:c r="I3" s="58"/>
      <x:c r="J3" s="58"/>
      <x:c r="K3" s="58"/>
      <x:c r="L3" s="58"/>
      <x:c r="M3" s="58"/>
      <x:c r="N3" s="58"/>
      <x:c r="O3" s="59"/>
    </x:row>
    <x:row r="4">
      <x:c r="A4" s="59"/>
      <x:c r="B4" s="59"/>
      <x:c r="C4" s="59"/>
      <x:c r="D4" s="59"/>
      <x:c r="E4" s="59"/>
      <x:c r="F4" s="59"/>
      <x:c r="G4" s="59"/>
      <x:c r="H4" s="59"/>
      <x:c r="I4" s="59"/>
      <x:c r="J4" s="59"/>
      <x:c r="K4" s="59"/>
      <x:c r="L4" s="59"/>
      <x:c r="M4" s="59"/>
      <x:c r="N4" s="59"/>
      <x:c r="O4" s="59"/>
    </x:row>
    <x:row r="5" ht="32" customHeight="1">
      <x:c r="A5" s="62" t="str">
        <x:v>Date</x:v>
      </x:c>
      <x:c r="B5" s="62" t="str">
        <x:v>Network Availability (%)</x:v>
      </x:c>
      <x:c r="C5" s="62" t="str">
        <x:v>Packet Loss (%)</x:v>
      </x:c>
      <x:c r="D5" s="62" t="str">
        <x:v>Average Latency (ms)</x:v>
      </x:c>
      <x:c r="E5" s="62" t="str">
        <x:v>Unknown Assets</x:v>
      </x:c>
      <x:c r="F5" s="62" t="str">
        <x:v>Unauthorized Write Commands</x:v>
      </x:c>
      <x:c r="G5" s="62" t="str">
        <x:v>Remote Access Sessions</x:v>
      </x:c>
      <x:c r="H5" s="62" t="str">
        <x:v>Segmentation Violations</x:v>
      </x:c>
      <x:c r="I5" s="62" t="str">
        <x:v>Frozen / Stale Tags</x:v>
      </x:c>
      <x:c r="J5" s="62" t="str">
        <x:v>Log Source Health (%)</x:v>
      </x:c>
      <x:c r="K5" s="62" t="str">
        <x:v>Critical Alerts</x:v>
      </x:c>
      <x:c r="L5" s="62" t="str">
        <x:v>Risk Score (0-100)</x:v>
      </x:c>
      <x:c r="M5" s="62" t="str">
        <x:v>Daily Status</x:v>
      </x:c>
      <x:c r="N5" s="62" t="str">
        <x:v>Analyst Notes</x:v>
      </x:c>
      <x:c r="O5" s="59"/>
    </x:row>
    <x:row r="6" ht="24" customHeight="1">
      <x:c r="A6" s="144" t="n">
        <x:v>46207</x:v>
      </x:c>
      <x:c r="B6" s="145" t="n">
        <x:v>99.872</x:v>
      </x:c>
      <x:c r="C6" s="145" t="n">
        <x:v>0.102</x:v>
      </x:c>
      <x:c r="D6" s="145" t="n">
        <x:v>13.8</x:v>
      </x:c>
      <x:c r="E6" s="146" t="n">
        <x:v>0</x:v>
      </x:c>
      <x:c r="F6" s="146" t="n">
        <x:v>0</x:v>
      </x:c>
      <x:c r="G6" s="146" t="n">
        <x:v>7</x:v>
      </x:c>
      <x:c r="H6" s="146" t="n">
        <x:v>0</x:v>
      </x:c>
      <x:c r="I6" s="146" t="n">
        <x:v>0</x:v>
      </x:c>
      <x:c r="J6" s="145" t="n">
        <x:v>98.12</x:v>
      </x:c>
      <x:c r="K6" s="146" t="n">
        <x:v>0</x:v>
      </x:c>
      <x:c r="L6" s="146" t="n">
        <x:f>MIN(100,MAX(0,(100-B6)*4+C6*8+MAX(0,D6-20)*0.5+E6*8+F6*15+G6*0.5+H6*10+I6*4+(100-J6)*2+K6*10))</x:f>
        <x:v>8.58799999999999</x:v>
      </x:c>
      <x:c r="M6" s="146" t="str">
        <x:f>IF(L6&gt;=70,"Critical",IF(L6&gt;=40,"High",IF(L6&gt;=20,"Moderate","Normal")))</x:f>
        <x:v>Normal</x:v>
      </x:c>
      <x:c r="N6" s="146" t="str"/>
      <x:c r="O6" s="59"/>
    </x:row>
    <x:row r="7" ht="24" customHeight="1">
      <x:c r="A7" s="144" t="n">
        <x:v>46208</x:v>
      </x:c>
      <x:c r="B7" s="145" t="n">
        <x:v>99.932</x:v>
      </x:c>
      <x:c r="C7" s="145" t="n">
        <x:v>0.142</x:v>
      </x:c>
      <x:c r="D7" s="145" t="n">
        <x:v>12.5</x:v>
      </x:c>
      <x:c r="E7" s="146" t="n">
        <x:v>0</x:v>
      </x:c>
      <x:c r="F7" s="146" t="n">
        <x:v>0</x:v>
      </x:c>
      <x:c r="G7" s="146" t="n">
        <x:v>1</x:v>
      </x:c>
      <x:c r="H7" s="146" t="n">
        <x:v>0</x:v>
      </x:c>
      <x:c r="I7" s="146" t="n">
        <x:v>0</x:v>
      </x:c>
      <x:c r="J7" s="145" t="n">
        <x:v>98.89</x:v>
      </x:c>
      <x:c r="K7" s="146" t="n">
        <x:v>0</x:v>
      </x:c>
      <x:c r="L7" s="146" t="n">
        <x:f>MIN(100,MAX(0,(100-B7)*4+C7*8+MAX(0,D7-20)*0.5+E7*8+F7*15+G7*0.5+H7*10+I7*4+(100-J7)*2+K7*10))</x:f>
        <x:v>4.12799999999999</x:v>
      </x:c>
      <x:c r="M7" s="146" t="str">
        <x:f>IF(L7&gt;=70,"Critical",IF(L7&gt;=40,"High",IF(L7&gt;=20,"Moderate","Normal")))</x:f>
        <x:v>Normal</x:v>
      </x:c>
      <x:c r="N7" s="146" t="str"/>
      <x:c r="O7" s="59"/>
    </x:row>
    <x:row r="8" ht="24" customHeight="1">
      <x:c r="A8" s="144" t="n">
        <x:v>46209</x:v>
      </x:c>
      <x:c r="B8" s="145" t="n">
        <x:v>99.974</x:v>
      </x:c>
      <x:c r="C8" s="145" t="n">
        <x:v>0.116</x:v>
      </x:c>
      <x:c r="D8" s="145" t="n">
        <x:v>18.9</x:v>
      </x:c>
      <x:c r="E8" s="146" t="n">
        <x:v>0</x:v>
      </x:c>
      <x:c r="F8" s="146" t="n">
        <x:v>0</x:v>
      </x:c>
      <x:c r="G8" s="146" t="n">
        <x:v>2</x:v>
      </x:c>
      <x:c r="H8" s="146" t="n">
        <x:v>0</x:v>
      </x:c>
      <x:c r="I8" s="146" t="n">
        <x:v>0</x:v>
      </x:c>
      <x:c r="J8" s="145" t="n">
        <x:v>100</x:v>
      </x:c>
      <x:c r="K8" s="146" t="n">
        <x:v>0</x:v>
      </x:c>
      <x:c r="L8" s="146" t="n">
        <x:f>MIN(100,MAX(0,(100-B8)*4+C8*8+MAX(0,D8-20)*0.5+E8*8+F8*15+G8*0.5+H8*10+I8*4+(100-J8)*2+K8*10))</x:f>
        <x:v>2.031999999999985</x:v>
      </x:c>
      <x:c r="M8" s="146" t="str">
        <x:f>IF(L8&gt;=70,"Critical",IF(L8&gt;=40,"High",IF(L8&gt;=20,"Moderate","Normal")))</x:f>
        <x:v>Normal</x:v>
      </x:c>
      <x:c r="N8" s="146" t="str"/>
      <x:c r="O8" s="59"/>
    </x:row>
    <x:row r="9" ht="24" customHeight="1">
      <x:c r="A9" s="144" t="n">
        <x:v>46210</x:v>
      </x:c>
      <x:c r="B9" s="145" t="n">
        <x:v>99.91</x:v>
      </x:c>
      <x:c r="C9" s="145" t="n">
        <x:v>0.14</x:v>
      </x:c>
      <x:c r="D9" s="145" t="n">
        <x:v>11.8</x:v>
      </x:c>
      <x:c r="E9" s="146" t="n">
        <x:v>0</x:v>
      </x:c>
      <x:c r="F9" s="146" t="n">
        <x:v>0</x:v>
      </x:c>
      <x:c r="G9" s="146" t="n">
        <x:v>7</x:v>
      </x:c>
      <x:c r="H9" s="146" t="n">
        <x:v>0</x:v>
      </x:c>
      <x:c r="I9" s="146" t="n">
        <x:v>0</x:v>
      </x:c>
      <x:c r="J9" s="145" t="n">
        <x:v>99.68</x:v>
      </x:c>
      <x:c r="K9" s="146" t="n">
        <x:v>0</x:v>
      </x:c>
      <x:c r="L9" s="146" t="n">
        <x:f>MIN(100,MAX(0,(100-B9)*4+C9*8+MAX(0,D9-20)*0.5+E9*8+F9*15+G9*0.5+H9*10+I9*4+(100-J9)*2+K9*10))</x:f>
        <x:v>5.62</x:v>
      </x:c>
      <x:c r="M9" s="146" t="str">
        <x:f>IF(L9&gt;=70,"Critical",IF(L9&gt;=40,"High",IF(L9&gt;=20,"Moderate","Normal")))</x:f>
        <x:v>Normal</x:v>
      </x:c>
      <x:c r="N9" s="146" t="str"/>
      <x:c r="O9" s="59"/>
    </x:row>
    <x:row r="10" ht="24" customHeight="1">
      <x:c r="A10" s="144" t="n">
        <x:v>46211</x:v>
      </x:c>
      <x:c r="B10" s="145" t="n">
        <x:v>99.948</x:v>
      </x:c>
      <x:c r="C10" s="145" t="n">
        <x:v>0.169</x:v>
      </x:c>
      <x:c r="D10" s="145" t="n">
        <x:v>16.7</x:v>
      </x:c>
      <x:c r="E10" s="146" t="n">
        <x:v>0</x:v>
      </x:c>
      <x:c r="F10" s="146" t="n">
        <x:v>0</x:v>
      </x:c>
      <x:c r="G10" s="146" t="n">
        <x:v>4</x:v>
      </x:c>
      <x:c r="H10" s="146" t="n">
        <x:v>0</x:v>
      </x:c>
      <x:c r="I10" s="146" t="n">
        <x:v>0</x:v>
      </x:c>
      <x:c r="J10" s="145" t="n">
        <x:v>99.45</x:v>
      </x:c>
      <x:c r="K10" s="146" t="n">
        <x:v>0</x:v>
      </x:c>
      <x:c r="L10" s="146" t="n">
        <x:f>MIN(100,MAX(0,(100-B10)*4+C10*8+MAX(0,D10-20)*0.5+E10*8+F10*15+G10*0.5+H10*10+I10*4+(100-J10)*2+K10*10))</x:f>
        <x:v>4.6600000000000215</x:v>
      </x:c>
      <x:c r="M10" s="146" t="str">
        <x:f>IF(L10&gt;=70,"Critical",IF(L10&gt;=40,"High",IF(L10&gt;=20,"Moderate","Normal")))</x:f>
        <x:v>Normal</x:v>
      </x:c>
      <x:c r="N10" s="146" t="str"/>
      <x:c r="O10" s="59"/>
    </x:row>
    <x:row r="11" ht="24" customHeight="1">
      <x:c r="A11" s="144" t="n">
        <x:v>46212</x:v>
      </x:c>
      <x:c r="B11" s="145" t="n">
        <x:v>99.61</x:v>
      </x:c>
      <x:c r="C11" s="145" t="n">
        <x:v>0.72</x:v>
      </x:c>
      <x:c r="D11" s="145" t="n">
        <x:v>34.5</x:v>
      </x:c>
      <x:c r="E11" s="146" t="n">
        <x:v>0</x:v>
      </x:c>
      <x:c r="F11" s="146" t="n">
        <x:v>0</x:v>
      </x:c>
      <x:c r="G11" s="146" t="n">
        <x:v>4</x:v>
      </x:c>
      <x:c r="H11" s="146" t="n">
        <x:v>0</x:v>
      </x:c>
      <x:c r="I11" s="146" t="n">
        <x:v>0</x:v>
      </x:c>
      <x:c r="J11" s="145" t="n">
        <x:v>99.19</x:v>
      </x:c>
      <x:c r="K11" s="146" t="n">
        <x:v>1</x:v>
      </x:c>
      <x:c r="L11" s="146" t="n">
        <x:f>MIN(100,MAX(0,(100-B11)*4+C11*8+MAX(0,D11-20)*0.5+E11*8+F11*15+G11*0.5+H11*10+I11*4+(100-J11)*2+K11*10))</x:f>
        <x:v>28.190000000000005</x:v>
      </x:c>
      <x:c r="M11" s="146" t="str">
        <x:f>IF(L11&gt;=70,"Critical",IF(L11&gt;=40,"High",IF(L11&gt;=20,"Moderate","Normal")))</x:f>
        <x:v>Moderate</x:v>
      </x:c>
      <x:c r="N11" s="146" t="str">
        <x:v>Short maintenance window; latency elevated.</x:v>
      </x:c>
      <x:c r="O11" s="59"/>
    </x:row>
    <x:row r="12" ht="24" customHeight="1">
      <x:c r="A12" s="144" t="n">
        <x:v>46213</x:v>
      </x:c>
      <x:c r="B12" s="145" t="n">
        <x:v>99.89</x:v>
      </x:c>
      <x:c r="C12" s="145" t="n">
        <x:v>0.022</x:v>
      </x:c>
      <x:c r="D12" s="145" t="n">
        <x:v>12.6</x:v>
      </x:c>
      <x:c r="E12" s="146" t="n">
        <x:v>0</x:v>
      </x:c>
      <x:c r="F12" s="146" t="n">
        <x:v>0</x:v>
      </x:c>
      <x:c r="G12" s="146" t="n">
        <x:v>3</x:v>
      </x:c>
      <x:c r="H12" s="146" t="n">
        <x:v>0</x:v>
      </x:c>
      <x:c r="I12" s="146" t="n">
        <x:v>1</x:v>
      </x:c>
      <x:c r="J12" s="145" t="n">
        <x:v>98.26</x:v>
      </x:c>
      <x:c r="K12" s="146" t="n">
        <x:v>0</x:v>
      </x:c>
      <x:c r="L12" s="146" t="n">
        <x:f>MIN(100,MAX(0,(100-B12)*4+C12*8+MAX(0,D12-20)*0.5+E12*8+F12*15+G12*0.5+H12*10+I12*4+(100-J12)*2+K12*10))</x:f>
        <x:v>9.595999999999988</x:v>
      </x:c>
      <x:c r="M12" s="146" t="str">
        <x:f>IF(L12&gt;=70,"Critical",IF(L12&gt;=40,"High",IF(L12&gt;=20,"Moderate","Normal")))</x:f>
        <x:v>Normal</x:v>
      </x:c>
      <x:c r="N12" s="146" t="str"/>
      <x:c r="O12" s="59"/>
    </x:row>
    <x:row r="13" ht="24" customHeight="1">
      <x:c r="A13" s="144" t="n">
        <x:v>46214</x:v>
      </x:c>
      <x:c r="B13" s="145" t="n">
        <x:v>99.908</x:v>
      </x:c>
      <x:c r="C13" s="145" t="n">
        <x:v>0.049</x:v>
      </x:c>
      <x:c r="D13" s="145" t="n">
        <x:v>20.9</x:v>
      </x:c>
      <x:c r="E13" s="146" t="n">
        <x:v>0</x:v>
      </x:c>
      <x:c r="F13" s="146" t="n">
        <x:v>0</x:v>
      </x:c>
      <x:c r="G13" s="146" t="n">
        <x:v>6</x:v>
      </x:c>
      <x:c r="H13" s="146" t="n">
        <x:v>0</x:v>
      </x:c>
      <x:c r="I13" s="146" t="n">
        <x:v>0</x:v>
      </x:c>
      <x:c r="J13" s="145" t="n">
        <x:v>98.56</x:v>
      </x:c>
      <x:c r="K13" s="146" t="n">
        <x:v>0</x:v>
      </x:c>
      <x:c r="L13" s="146" t="n">
        <x:f>MIN(100,MAX(0,(100-B13)*4+C13*8+MAX(0,D13-20)*0.5+E13*8+F13*15+G13*0.5+H13*10+I13*4+(100-J13)*2+K13*10))</x:f>
        <x:v>7.089999999999989</x:v>
      </x:c>
      <x:c r="M13" s="146" t="str">
        <x:f>IF(L13&gt;=70,"Critical",IF(L13&gt;=40,"High",IF(L13&gt;=20,"Moderate","Normal")))</x:f>
        <x:v>Normal</x:v>
      </x:c>
      <x:c r="N13" s="146" t="str"/>
      <x:c r="O13" s="59"/>
    </x:row>
    <x:row r="14" ht="24" customHeight="1">
      <x:c r="A14" s="144" t="n">
        <x:v>46215</x:v>
      </x:c>
      <x:c r="B14" s="145" t="n">
        <x:v>99.933</x:v>
      </x:c>
      <x:c r="C14" s="145" t="n">
        <x:v>0.06</x:v>
      </x:c>
      <x:c r="D14" s="145" t="n">
        <x:v>15</x:v>
      </x:c>
      <x:c r="E14" s="146" t="n">
        <x:v>0</x:v>
      </x:c>
      <x:c r="F14" s="146" t="n">
        <x:v>0</x:v>
      </x:c>
      <x:c r="G14" s="146" t="n">
        <x:v>4</x:v>
      </x:c>
      <x:c r="H14" s="146" t="n">
        <x:v>0</x:v>
      </x:c>
      <x:c r="I14" s="146" t="n">
        <x:v>0</x:v>
      </x:c>
      <x:c r="J14" s="145" t="n">
        <x:v>98.47</x:v>
      </x:c>
      <x:c r="K14" s="146" t="n">
        <x:v>0</x:v>
      </x:c>
      <x:c r="L14" s="146" t="n">
        <x:f>MIN(100,MAX(0,(100-B14)*4+C14*8+MAX(0,D14-20)*0.5+E14*8+F14*15+G14*0.5+H14*10+I14*4+(100-J14)*2+K14*10))</x:f>
        <x:v>5.807999999999975</x:v>
      </x:c>
      <x:c r="M14" s="146" t="str">
        <x:f>IF(L14&gt;=70,"Critical",IF(L14&gt;=40,"High",IF(L14&gt;=20,"Moderate","Normal")))</x:f>
        <x:v>Normal</x:v>
      </x:c>
      <x:c r="N14" s="146" t="str"/>
      <x:c r="O14" s="59"/>
    </x:row>
    <x:row r="15" ht="24" customHeight="1">
      <x:c r="A15" s="144" t="n">
        <x:v>46216</x:v>
      </x:c>
      <x:c r="B15" s="145" t="n">
        <x:v>99.946</x:v>
      </x:c>
      <x:c r="C15" s="145" t="n">
        <x:v>0.066</x:v>
      </x:c>
      <x:c r="D15" s="145" t="n">
        <x:v>20.1</x:v>
      </x:c>
      <x:c r="E15" s="146" t="n">
        <x:v>0</x:v>
      </x:c>
      <x:c r="F15" s="146" t="n">
        <x:v>0</x:v>
      </x:c>
      <x:c r="G15" s="146" t="n">
        <x:v>5</x:v>
      </x:c>
      <x:c r="H15" s="146" t="n">
        <x:v>0</x:v>
      </x:c>
      <x:c r="I15" s="146" t="n">
        <x:v>1</x:v>
      </x:c>
      <x:c r="J15" s="145" t="n">
        <x:v>98.07</x:v>
      </x:c>
      <x:c r="K15" s="146" t="n">
        <x:v>0</x:v>
      </x:c>
      <x:c r="L15" s="146" t="n">
        <x:f>MIN(100,MAX(0,(100-B15)*4+C15*8+MAX(0,D15-20)*0.5+E15*8+F15*15+G15*0.5+H15*10+I15*4+(100-J15)*2+K15*10))</x:f>
        <x:v>11.154000000000023</x:v>
      </x:c>
      <x:c r="M15" s="146" t="str">
        <x:f>IF(L15&gt;=70,"Critical",IF(L15&gt;=40,"High",IF(L15&gt;=20,"Moderate","Normal")))</x:f>
        <x:v>Normal</x:v>
      </x:c>
      <x:c r="N15" s="146" t="str"/>
      <x:c r="O15" s="59"/>
    </x:row>
    <x:row r="16" ht="24" customHeight="1">
      <x:c r="A16" s="144" t="n">
        <x:v>46217</x:v>
      </x:c>
      <x:c r="B16" s="145" t="n">
        <x:v>99.94</x:v>
      </x:c>
      <x:c r="C16" s="145" t="n">
        <x:v>0.142</x:v>
      </x:c>
      <x:c r="D16" s="145" t="n">
        <x:v>14.6</x:v>
      </x:c>
      <x:c r="E16" s="146" t="n">
        <x:v>1</x:v>
      </x:c>
      <x:c r="F16" s="146" t="n">
        <x:v>0</x:v>
      </x:c>
      <x:c r="G16" s="146" t="n">
        <x:v>1</x:v>
      </x:c>
      <x:c r="H16" s="146" t="n">
        <x:v>2</x:v>
      </x:c>
      <x:c r="I16" s="146" t="n">
        <x:v>0</x:v>
      </x:c>
      <x:c r="J16" s="145" t="n">
        <x:v>96.4</x:v>
      </x:c>
      <x:c r="K16" s="146" t="n">
        <x:v>1</x:v>
      </x:c>
      <x:c r="L16" s="146" t="n">
        <x:f>MIN(100,MAX(0,(100-B16)*4+C16*8+MAX(0,D16-20)*0.5+E16*8+F16*15+G16*0.5+H16*10+I16*4+(100-J16)*2+K16*10))</x:f>
        <x:v>47.07599999999999</x:v>
      </x:c>
      <x:c r="M16" s="146" t="str">
        <x:f>IF(L16&gt;=70,"Critical",IF(L16&gt;=40,"High",IF(L16&gt;=20,"Moderate","Normal")))</x:f>
        <x:v>High</x:v>
      </x:c>
      <x:c r="N16" s="146" t="str">
        <x:v>Unapproved communication pair investigated and blocked.</x:v>
      </x:c>
      <x:c r="O16" s="59"/>
    </x:row>
    <x:row r="17" ht="24" customHeight="1">
      <x:c r="A17" s="144" t="n">
        <x:v>46218</x:v>
      </x:c>
      <x:c r="B17" s="145" t="n">
        <x:v>99.989</x:v>
      </x:c>
      <x:c r="C17" s="145" t="n">
        <x:v>0.145</x:v>
      </x:c>
      <x:c r="D17" s="145" t="n">
        <x:v>13</x:v>
      </x:c>
      <x:c r="E17" s="146" t="n">
        <x:v>0</x:v>
      </x:c>
      <x:c r="F17" s="146" t="n">
        <x:v>0</x:v>
      </x:c>
      <x:c r="G17" s="146" t="n">
        <x:v>5</x:v>
      </x:c>
      <x:c r="H17" s="146" t="n">
        <x:v>0</x:v>
      </x:c>
      <x:c r="I17" s="146" t="n">
        <x:v>1</x:v>
      </x:c>
      <x:c r="J17" s="145" t="n">
        <x:v>98.11</x:v>
      </x:c>
      <x:c r="K17" s="146" t="n">
        <x:v>0</x:v>
      </x:c>
      <x:c r="L17" s="146" t="n">
        <x:f>MIN(100,MAX(0,(100-B17)*4+C17*8+MAX(0,D17-20)*0.5+E17*8+F17*15+G17*0.5+H17*10+I17*4+(100-J17)*2+K17*10))</x:f>
        <x:v>11.483999999999984</x:v>
      </x:c>
      <x:c r="M17" s="146" t="str">
        <x:f>IF(L17&gt;=70,"Critical",IF(L17&gt;=40,"High",IF(L17&gt;=20,"Moderate","Normal")))</x:f>
        <x:v>Normal</x:v>
      </x:c>
      <x:c r="N17" s="146" t="str"/>
      <x:c r="O17" s="59"/>
    </x:row>
    <x:row r="18" ht="24" customHeight="1">
      <x:c r="A18" s="144" t="n">
        <x:v>46219</x:v>
      </x:c>
      <x:c r="B18" s="145" t="n">
        <x:v>99.993</x:v>
      </x:c>
      <x:c r="C18" s="145" t="n">
        <x:v>0.026</x:v>
      </x:c>
      <x:c r="D18" s="145" t="n">
        <x:v>13.7</x:v>
      </x:c>
      <x:c r="E18" s="146" t="n">
        <x:v>0</x:v>
      </x:c>
      <x:c r="F18" s="146" t="n">
        <x:v>0</x:v>
      </x:c>
      <x:c r="G18" s="146" t="n">
        <x:v>7</x:v>
      </x:c>
      <x:c r="H18" s="146" t="n">
        <x:v>0</x:v>
      </x:c>
      <x:c r="I18" s="146" t="n">
        <x:v>0</x:v>
      </x:c>
      <x:c r="J18" s="145" t="n">
        <x:v>98.51</x:v>
      </x:c>
      <x:c r="K18" s="146" t="n">
        <x:v>0</x:v>
      </x:c>
      <x:c r="L18" s="146" t="n">
        <x:f>MIN(100,MAX(0,(100-B18)*4+C18*8+MAX(0,D18-20)*0.5+E18*8+F18*15+G18*0.5+H18*10+I18*4+(100-J18)*2+K18*10))</x:f>
        <x:v>6.71600000000001</x:v>
      </x:c>
      <x:c r="M18" s="146" t="str">
        <x:f>IF(L18&gt;=70,"Critical",IF(L18&gt;=40,"High",IF(L18&gt;=20,"Moderate","Normal")))</x:f>
        <x:v>Normal</x:v>
      </x:c>
      <x:c r="N18" s="146" t="str"/>
      <x:c r="O18" s="59"/>
    </x:row>
    <x:row r="19" ht="24" customHeight="1">
      <x:c r="A19" s="144" t="n">
        <x:v>46220</x:v>
      </x:c>
      <x:c r="B19" s="145" t="n">
        <x:v>99.885</x:v>
      </x:c>
      <x:c r="C19" s="145" t="n">
        <x:v>0.043</x:v>
      </x:c>
      <x:c r="D19" s="145" t="n">
        <x:v>15.1</x:v>
      </x:c>
      <x:c r="E19" s="146" t="n">
        <x:v>0</x:v>
      </x:c>
      <x:c r="F19" s="146" t="n">
        <x:v>0</x:v>
      </x:c>
      <x:c r="G19" s="146" t="n">
        <x:v>2</x:v>
      </x:c>
      <x:c r="H19" s="146" t="n">
        <x:v>0</x:v>
      </x:c>
      <x:c r="I19" s="146" t="n">
        <x:v>0</x:v>
      </x:c>
      <x:c r="J19" s="145" t="n">
        <x:v>98.47</x:v>
      </x:c>
      <x:c r="K19" s="146" t="n">
        <x:v>0</x:v>
      </x:c>
      <x:c r="L19" s="146" t="n">
        <x:f>MIN(100,MAX(0,(100-B19)*4+C19*8+MAX(0,D19-20)*0.5+E19*8+F19*15+G19*0.5+H19*10+I19*4+(100-J19)*2+K19*10))</x:f>
        <x:v>4.863999999999981</x:v>
      </x:c>
      <x:c r="M19" s="146" t="str">
        <x:f>IF(L19&gt;=70,"Critical",IF(L19&gt;=40,"High",IF(L19&gt;=20,"Moderate","Normal")))</x:f>
        <x:v>Normal</x:v>
      </x:c>
      <x:c r="N19" s="146" t="str"/>
      <x:c r="O19" s="59"/>
    </x:row>
    <x:row r="20" ht="24" customHeight="1">
      <x:c r="A20" s="144" t="n">
        <x:v>46221</x:v>
      </x:c>
      <x:c r="B20" s="145" t="n">
        <x:v>99.959</x:v>
      </x:c>
      <x:c r="C20" s="145" t="n">
        <x:v>0.049</x:v>
      </x:c>
      <x:c r="D20" s="145" t="n">
        <x:v>14.7</x:v>
      </x:c>
      <x:c r="E20" s="146" t="n">
        <x:v>0</x:v>
      </x:c>
      <x:c r="F20" s="146" t="n">
        <x:v>0</x:v>
      </x:c>
      <x:c r="G20" s="146" t="n">
        <x:v>4</x:v>
      </x:c>
      <x:c r="H20" s="146" t="n">
        <x:v>0</x:v>
      </x:c>
      <x:c r="I20" s="146" t="n">
        <x:v>0</x:v>
      </x:c>
      <x:c r="J20" s="145" t="n">
        <x:v>98.81</x:v>
      </x:c>
      <x:c r="K20" s="146" t="n">
        <x:v>0</x:v>
      </x:c>
      <x:c r="L20" s="146" t="n">
        <x:f>MIN(100,MAX(0,(100-B20)*4+C20*8+MAX(0,D20-20)*0.5+E20*8+F20*15+G20*0.5+H20*10+I20*4+(100-J20)*2+K20*10))</x:f>
        <x:v>4.935999999999982</x:v>
      </x:c>
      <x:c r="M20" s="146" t="str">
        <x:f>IF(L20&gt;=70,"Critical",IF(L20&gt;=40,"High",IF(L20&gt;=20,"Moderate","Normal")))</x:f>
        <x:v>Normal</x:v>
      </x:c>
      <x:c r="N20" s="146" t="str"/>
      <x:c r="O20" s="59"/>
    </x:row>
    <x:row r="21" ht="24" customHeight="1">
      <x:c r="A21" s="144" t="n">
        <x:v>46222</x:v>
      </x:c>
      <x:c r="B21" s="145" t="n">
        <x:v>99.907</x:v>
      </x:c>
      <x:c r="C21" s="145" t="n">
        <x:v>0.129</x:v>
      </x:c>
      <x:c r="D21" s="145" t="n">
        <x:v>13.7</x:v>
      </x:c>
      <x:c r="E21" s="146" t="n">
        <x:v>0</x:v>
      </x:c>
      <x:c r="F21" s="146" t="n">
        <x:v>0</x:v>
      </x:c>
      <x:c r="G21" s="146" t="n">
        <x:v>3</x:v>
      </x:c>
      <x:c r="H21" s="146" t="n">
        <x:v>0</x:v>
      </x:c>
      <x:c r="I21" s="146" t="n">
        <x:v>1</x:v>
      </x:c>
      <x:c r="J21" s="145" t="n">
        <x:v>98.94</x:v>
      </x:c>
      <x:c r="K21" s="146" t="n">
        <x:v>0</x:v>
      </x:c>
      <x:c r="L21" s="146" t="n">
        <x:f>MIN(100,MAX(0,(100-B21)*4+C21*8+MAX(0,D21-20)*0.5+E21*8+F21*15+G21*0.5+H21*10+I21*4+(100-J21)*2+K21*10))</x:f>
        <x:v>9.024000000000019</x:v>
      </x:c>
      <x:c r="M21" s="146" t="str">
        <x:f>IF(L21&gt;=70,"Critical",IF(L21&gt;=40,"High",IF(L21&gt;=20,"Moderate","Normal")))</x:f>
        <x:v>Normal</x:v>
      </x:c>
      <x:c r="N21" s="146" t="str"/>
      <x:c r="O21" s="59"/>
    </x:row>
    <x:row r="22" ht="24" customHeight="1">
      <x:c r="A22" s="144" t="n">
        <x:v>46223</x:v>
      </x:c>
      <x:c r="B22" s="145" t="n">
        <x:v>99.927</x:v>
      </x:c>
      <x:c r="C22" s="145" t="n">
        <x:v>0.177</x:v>
      </x:c>
      <x:c r="D22" s="145" t="n">
        <x:v>23.5</x:v>
      </x:c>
      <x:c r="E22" s="146" t="n">
        <x:v>0</x:v>
      </x:c>
      <x:c r="F22" s="146" t="n">
        <x:v>1</x:v>
      </x:c>
      <x:c r="G22" s="146" t="n">
        <x:v>8</x:v>
      </x:c>
      <x:c r="H22" s="146" t="n">
        <x:v>0</x:v>
      </x:c>
      <x:c r="I22" s="146" t="n">
        <x:v>1</x:v>
      </x:c>
      <x:c r="J22" s="145" t="n">
        <x:v>97.88</x:v>
      </x:c>
      <x:c r="K22" s="146" t="n">
        <x:v>0</x:v>
      </x:c>
      <x:c r="L22" s="146" t="n">
        <x:f>MIN(100,MAX(0,(100-B22)*4+C22*8+MAX(0,D22-20)*0.5+E22*8+F22*15+G22*0.5+H22*10+I22*4+(100-J22)*2+K22*10))</x:f>
        <x:v>30.697999999999983</x:v>
      </x:c>
      <x:c r="M22" s="146" t="str">
        <x:f>IF(L22&gt;=70,"Critical",IF(L22&gt;=40,"High",IF(L22&gt;=20,"Moderate","Normal")))</x:f>
        <x:v>Moderate</x:v>
      </x:c>
      <x:c r="N22" s="146" t="str">
        <x:v>Engineering activity approved under change ticket.</x:v>
      </x:c>
      <x:c r="O22" s="59"/>
    </x:row>
    <x:row r="23" ht="24" customHeight="1">
      <x:c r="A23" s="144" t="n">
        <x:v>46224</x:v>
      </x:c>
      <x:c r="B23" s="145" t="n">
        <x:v>99.934</x:v>
      </x:c>
      <x:c r="C23" s="145" t="n">
        <x:v>0.171</x:v>
      </x:c>
      <x:c r="D23" s="145" t="n">
        <x:v>16.7</x:v>
      </x:c>
      <x:c r="E23" s="146" t="n">
        <x:v>0</x:v>
      </x:c>
      <x:c r="F23" s="146" t="n">
        <x:v>0</x:v>
      </x:c>
      <x:c r="G23" s="146" t="n">
        <x:v>7</x:v>
      </x:c>
      <x:c r="H23" s="146" t="n">
        <x:v>0</x:v>
      </x:c>
      <x:c r="I23" s="146" t="n">
        <x:v>1</x:v>
      </x:c>
      <x:c r="J23" s="145" t="n">
        <x:v>99.81</x:v>
      </x:c>
      <x:c r="K23" s="146" t="n">
        <x:v>0</x:v>
      </x:c>
      <x:c r="L23" s="146" t="n">
        <x:f>MIN(100,MAX(0,(100-B23)*4+C23*8+MAX(0,D23-20)*0.5+E23*8+F23*15+G23*0.5+H23*10+I23*4+(100-J23)*2+K23*10))</x:f>
        <x:v>9.512000000000006</x:v>
      </x:c>
      <x:c r="M23" s="146" t="str">
        <x:f>IF(L23&gt;=70,"Critical",IF(L23&gt;=40,"High",IF(L23&gt;=20,"Moderate","Normal")))</x:f>
        <x:v>Normal</x:v>
      </x:c>
      <x:c r="N23" s="146" t="str"/>
      <x:c r="O23" s="59"/>
    </x:row>
    <x:row r="24" ht="24" customHeight="1">
      <x:c r="A24" s="144" t="n">
        <x:v>46225</x:v>
      </x:c>
      <x:c r="B24" s="145" t="n">
        <x:v>99.886</x:v>
      </x:c>
      <x:c r="C24" s="145" t="n">
        <x:v>0.038</x:v>
      </x:c>
      <x:c r="D24" s="145" t="n">
        <x:v>20.2</x:v>
      </x:c>
      <x:c r="E24" s="146" t="n">
        <x:v>0</x:v>
      </x:c>
      <x:c r="F24" s="146" t="n">
        <x:v>0</x:v>
      </x:c>
      <x:c r="G24" s="146" t="n">
        <x:v>6</x:v>
      </x:c>
      <x:c r="H24" s="146" t="n">
        <x:v>0</x:v>
      </x:c>
      <x:c r="I24" s="146" t="n">
        <x:v>1</x:v>
      </x:c>
      <x:c r="J24" s="145" t="n">
        <x:v>99.11</x:v>
      </x:c>
      <x:c r="K24" s="146" t="n">
        <x:v>0</x:v>
      </x:c>
      <x:c r="L24" s="146" t="n">
        <x:f>MIN(100,MAX(0,(100-B24)*4+C24*8+MAX(0,D24-20)*0.5+E24*8+F24*15+G24*0.5+H24*10+I24*4+(100-J24)*2+K24*10))</x:f>
        <x:v>9.640000000000018</x:v>
      </x:c>
      <x:c r="M24" s="146" t="str">
        <x:f>IF(L24&gt;=70,"Critical",IF(L24&gt;=40,"High",IF(L24&gt;=20,"Moderate","Normal")))</x:f>
        <x:v>Normal</x:v>
      </x:c>
      <x:c r="N24" s="146" t="str"/>
      <x:c r="O24" s="59"/>
    </x:row>
    <x:row r="25" ht="24" customHeight="1">
      <x:c r="A25" s="144" t="n">
        <x:v>46226</x:v>
      </x:c>
      <x:c r="B25" s="145" t="n">
        <x:v>99.961</x:v>
      </x:c>
      <x:c r="C25" s="145" t="n">
        <x:v>0.05</x:v>
      </x:c>
      <x:c r="D25" s="145" t="n">
        <x:v>16</x:v>
      </x:c>
      <x:c r="E25" s="146" t="n">
        <x:v>0</x:v>
      </x:c>
      <x:c r="F25" s="146" t="n">
        <x:v>0</x:v>
      </x:c>
      <x:c r="G25" s="146" t="n">
        <x:v>4</x:v>
      </x:c>
      <x:c r="H25" s="146" t="n">
        <x:v>0</x:v>
      </x:c>
      <x:c r="I25" s="146" t="n">
        <x:v>0</x:v>
      </x:c>
      <x:c r="J25" s="145" t="n">
        <x:v>99.76</x:v>
      </x:c>
      <x:c r="K25" s="146" t="n">
        <x:v>0</x:v>
      </x:c>
      <x:c r="L25" s="146" t="n">
        <x:f>MIN(100,MAX(0,(100-B25)*4+C25*8+MAX(0,D25-20)*0.5+E25*8+F25*15+G25*0.5+H25*10+I25*4+(100-J25)*2+K25*10))</x:f>
        <x:v>3.0359999999999956</x:v>
      </x:c>
      <x:c r="M25" s="146" t="str">
        <x:f>IF(L25&gt;=70,"Critical",IF(L25&gt;=40,"High",IF(L25&gt;=20,"Moderate","Normal")))</x:f>
        <x:v>Normal</x:v>
      </x:c>
      <x:c r="N25" s="146" t="str"/>
      <x:c r="O25" s="59"/>
    </x:row>
    <x:row r="26" ht="24" customHeight="1">
      <x:c r="A26" s="144" t="n">
        <x:v>46227</x:v>
      </x:c>
      <x:c r="B26" s="145" t="n">
        <x:v>99.902</x:v>
      </x:c>
      <x:c r="C26" s="145" t="n">
        <x:v>0.084</x:v>
      </x:c>
      <x:c r="D26" s="145" t="n">
        <x:v>11.5</x:v>
      </x:c>
      <x:c r="E26" s="146" t="n">
        <x:v>0</x:v>
      </x:c>
      <x:c r="F26" s="146" t="n">
        <x:v>0</x:v>
      </x:c>
      <x:c r="G26" s="146" t="n">
        <x:v>7</x:v>
      </x:c>
      <x:c r="H26" s="146" t="n">
        <x:v>0</x:v>
      </x:c>
      <x:c r="I26" s="146" t="n">
        <x:v>0</x:v>
      </x:c>
      <x:c r="J26" s="145" t="n">
        <x:v>98.51</x:v>
      </x:c>
      <x:c r="K26" s="146" t="n">
        <x:v>0</x:v>
      </x:c>
      <x:c r="L26" s="146" t="n">
        <x:f>MIN(100,MAX(0,(100-B26)*4+C26*8+MAX(0,D26-20)*0.5+E26*8+F26*15+G26*0.5+H26*10+I26*4+(100-J26)*2+K26*10))</x:f>
        <x:v>7.543999999999986</x:v>
      </x:c>
      <x:c r="M26" s="146" t="str">
        <x:f>IF(L26&gt;=70,"Critical",IF(L26&gt;=40,"High",IF(L26&gt;=20,"Moderate","Normal")))</x:f>
        <x:v>Normal</x:v>
      </x:c>
      <x:c r="N26" s="146" t="str"/>
      <x:c r="O26" s="59"/>
    </x:row>
    <x:row r="27" ht="24" customHeight="1">
      <x:c r="A27" s="144" t="n">
        <x:v>46228</x:v>
      </x:c>
      <x:c r="B27" s="145" t="n">
        <x:v>99.883</x:v>
      </x:c>
      <x:c r="C27" s="145" t="n">
        <x:v>0.163</x:v>
      </x:c>
      <x:c r="D27" s="145" t="n">
        <x:v>17.4</x:v>
      </x:c>
      <x:c r="E27" s="146" t="n">
        <x:v>0</x:v>
      </x:c>
      <x:c r="F27" s="146" t="n">
        <x:v>0</x:v>
      </x:c>
      <x:c r="G27" s="146" t="n">
        <x:v>2</x:v>
      </x:c>
      <x:c r="H27" s="146" t="n">
        <x:v>0</x:v>
      </x:c>
      <x:c r="I27" s="146" t="n">
        <x:v>2</x:v>
      </x:c>
      <x:c r="J27" s="145" t="n">
        <x:v>94.8</x:v>
      </x:c>
      <x:c r="K27" s="146" t="n">
        <x:v>1</x:v>
      </x:c>
      <x:c r="L27" s="146" t="n">
        <x:f>MIN(100,MAX(0,(100-B27)*4+C27*8+MAX(0,D27-20)*0.5+E27*8+F27*15+G27*0.5+H27*10+I27*4+(100-J27)*2+K27*10))</x:f>
        <x:v>31.172000000000025</x:v>
      </x:c>
      <x:c r="M27" s="146" t="str">
        <x:f>IF(L27&gt;=70,"Critical",IF(L27&gt;=40,"High",IF(L27&gt;=20,"Moderate","Normal")))</x:f>
        <x:v>Moderate</x:v>
      </x:c>
      <x:c r="N27" s="146" t="str">
        <x:v>Two stale tags caused by an OPC service restart.</x:v>
      </x:c>
      <x:c r="O27" s="59"/>
    </x:row>
    <x:row r="28" ht="24" customHeight="1">
      <x:c r="A28" s="144" t="n">
        <x:v>46229</x:v>
      </x:c>
      <x:c r="B28" s="145" t="n">
        <x:v>99.934</x:v>
      </x:c>
      <x:c r="C28" s="145" t="n">
        <x:v>0.047</x:v>
      </x:c>
      <x:c r="D28" s="145" t="n">
        <x:v>15</x:v>
      </x:c>
      <x:c r="E28" s="146" t="n">
        <x:v>0</x:v>
      </x:c>
      <x:c r="F28" s="146" t="n">
        <x:v>0</x:v>
      </x:c>
      <x:c r="G28" s="146" t="n">
        <x:v>4</x:v>
      </x:c>
      <x:c r="H28" s="146" t="n">
        <x:v>0</x:v>
      </x:c>
      <x:c r="I28" s="146" t="n">
        <x:v>0</x:v>
      </x:c>
      <x:c r="J28" s="145" t="n">
        <x:v>98.56</x:v>
      </x:c>
      <x:c r="K28" s="146" t="n">
        <x:v>0</x:v>
      </x:c>
      <x:c r="L28" s="146" t="n">
        <x:f>MIN(100,MAX(0,(100-B28)*4+C28*8+MAX(0,D28-20)*0.5+E28*8+F28*15+G28*0.5+H28*10+I28*4+(100-J28)*2+K28*10))</x:f>
        <x:v>5.520000000000005</x:v>
      </x:c>
      <x:c r="M28" s="146" t="str">
        <x:f>IF(L28&gt;=70,"Critical",IF(L28&gt;=40,"High",IF(L28&gt;=20,"Moderate","Normal")))</x:f>
        <x:v>Normal</x:v>
      </x:c>
      <x:c r="N28" s="146" t="str"/>
      <x:c r="O28" s="59"/>
    </x:row>
    <x:row r="29" ht="24" customHeight="1">
      <x:c r="A29" s="144" t="n">
        <x:v>46230</x:v>
      </x:c>
      <x:c r="B29" s="145" t="n">
        <x:v>99.972</x:v>
      </x:c>
      <x:c r="C29" s="145" t="n">
        <x:v>0.084</x:v>
      </x:c>
      <x:c r="D29" s="145" t="n">
        <x:v>17.8</x:v>
      </x:c>
      <x:c r="E29" s="146" t="n">
        <x:v>0</x:v>
      </x:c>
      <x:c r="F29" s="146" t="n">
        <x:v>0</x:v>
      </x:c>
      <x:c r="G29" s="146" t="n">
        <x:v>1</x:v>
      </x:c>
      <x:c r="H29" s="146" t="n">
        <x:v>0</x:v>
      </x:c>
      <x:c r="I29" s="146" t="n">
        <x:v>0</x:v>
      </x:c>
      <x:c r="J29" s="145" t="n">
        <x:v>98.05</x:v>
      </x:c>
      <x:c r="K29" s="146" t="n">
        <x:v>0</x:v>
      </x:c>
      <x:c r="L29" s="146" t="n">
        <x:f>MIN(100,MAX(0,(100-B29)*4+C29*8+MAX(0,D29-20)*0.5+E29*8+F29*15+G29*0.5+H29*10+I29*4+(100-J29)*2+K29*10))</x:f>
        <x:v>5.1840000000000295</x:v>
      </x:c>
      <x:c r="M29" s="146" t="str">
        <x:f>IF(L29&gt;=70,"Critical",IF(L29&gt;=40,"High",IF(L29&gt;=20,"Moderate","Normal")))</x:f>
        <x:v>Normal</x:v>
      </x:c>
      <x:c r="N29" s="146" t="str"/>
      <x:c r="O29" s="59"/>
    </x:row>
    <x:row r="30" ht="24" customHeight="1">
      <x:c r="A30" s="144" t="n">
        <x:v>46231</x:v>
      </x:c>
      <x:c r="B30" s="145" t="n">
        <x:v>99.861</x:v>
      </x:c>
      <x:c r="C30" s="145" t="n">
        <x:v>0.137</x:v>
      </x:c>
      <x:c r="D30" s="145" t="n">
        <x:v>15.2</x:v>
      </x:c>
      <x:c r="E30" s="146" t="n">
        <x:v>0</x:v>
      </x:c>
      <x:c r="F30" s="146" t="n">
        <x:v>0</x:v>
      </x:c>
      <x:c r="G30" s="146" t="n">
        <x:v>4</x:v>
      </x:c>
      <x:c r="H30" s="146" t="n">
        <x:v>0</x:v>
      </x:c>
      <x:c r="I30" s="146" t="n">
        <x:v>0</x:v>
      </x:c>
      <x:c r="J30" s="145" t="n">
        <x:v>97.97</x:v>
      </x:c>
      <x:c r="K30" s="146" t="n">
        <x:v>0</x:v>
      </x:c>
      <x:c r="L30" s="146" t="n">
        <x:f>MIN(100,MAX(0,(100-B30)*4+C30*8+MAX(0,D30-20)*0.5+E30*8+F30*15+G30*0.5+H30*10+I30*4+(100-J30)*2+K30*10))</x:f>
        <x:v>7.7119999999999855</x:v>
      </x:c>
      <x:c r="M30" s="146" t="str">
        <x:f>IF(L30&gt;=70,"Critical",IF(L30&gt;=40,"High",IF(L30&gt;=20,"Moderate","Normal")))</x:f>
        <x:v>Normal</x:v>
      </x:c>
      <x:c r="N30" s="146" t="str"/>
      <x:c r="O30" s="59"/>
    </x:row>
    <x:row r="31" ht="24" customHeight="1">
      <x:c r="A31" s="144" t="n">
        <x:v>46232</x:v>
      </x:c>
      <x:c r="B31" s="145" t="n">
        <x:v>99.873</x:v>
      </x:c>
      <x:c r="C31" s="145" t="n">
        <x:v>0.178</x:v>
      </x:c>
      <x:c r="D31" s="145" t="n">
        <x:v>17.7</x:v>
      </x:c>
      <x:c r="E31" s="146" t="n">
        <x:v>1</x:v>
      </x:c>
      <x:c r="F31" s="146" t="n">
        <x:v>0</x:v>
      </x:c>
      <x:c r="G31" s="146" t="n">
        <x:v>13</x:v>
      </x:c>
      <x:c r="H31" s="146" t="n">
        <x:v>0</x:v>
      </x:c>
      <x:c r="I31" s="146" t="n">
        <x:v>1</x:v>
      </x:c>
      <x:c r="J31" s="145" t="n">
        <x:v>98.21</x:v>
      </x:c>
      <x:c r="K31" s="146" t="n">
        <x:v>0</x:v>
      </x:c>
      <x:c r="L31" s="146" t="n">
        <x:f>MIN(100,MAX(0,(100-B31)*4+C31*8+MAX(0,D31-20)*0.5+E31*8+F31*15+G31*0.5+H31*10+I31*4+(100-J31)*2+K31*10))</x:f>
        <x:v>24.011999999999993</x:v>
      </x:c>
      <x:c r="M31" s="146" t="str">
        <x:f>IF(L31&gt;=70,"Critical",IF(L31&gt;=40,"High",IF(L31&gt;=20,"Moderate","Normal")))</x:f>
        <x:v>Moderate</x:v>
      </x:c>
      <x:c r="N31" s="146" t="str">
        <x:v>Remote vendor session exceeded approved duration.</x:v>
      </x:c>
      <x:c r="O31" s="59"/>
    </x:row>
    <x:row r="32" ht="24" customHeight="1">
      <x:c r="A32" s="144" t="n">
        <x:v>46233</x:v>
      </x:c>
      <x:c r="B32" s="145" t="n">
        <x:v>99.911</x:v>
      </x:c>
      <x:c r="C32" s="145" t="n">
        <x:v>0.058</x:v>
      </x:c>
      <x:c r="D32" s="145" t="n">
        <x:v>20.5</x:v>
      </x:c>
      <x:c r="E32" s="146" t="n">
        <x:v>0</x:v>
      </x:c>
      <x:c r="F32" s="146" t="n">
        <x:v>0</x:v>
      </x:c>
      <x:c r="G32" s="146" t="n">
        <x:v>3</x:v>
      </x:c>
      <x:c r="H32" s="146" t="n">
        <x:v>0</x:v>
      </x:c>
      <x:c r="I32" s="146" t="n">
        <x:v>0</x:v>
      </x:c>
      <x:c r="J32" s="145" t="n">
        <x:v>99.59</x:v>
      </x:c>
      <x:c r="K32" s="146" t="n">
        <x:v>0</x:v>
      </x:c>
      <x:c r="L32" s="146" t="n">
        <x:f>MIN(100,MAX(0,(100-B32)*4+C32*8+MAX(0,D32-20)*0.5+E32*8+F32*15+G32*0.5+H32*10+I32*4+(100-J32)*2+K32*10))</x:f>
        <x:v>3.3899999999999877</x:v>
      </x:c>
      <x:c r="M32" s="146" t="str">
        <x:f>IF(L32&gt;=70,"Critical",IF(L32&gt;=40,"High",IF(L32&gt;=20,"Moderate","Normal")))</x:f>
        <x:v>Normal</x:v>
      </x:c>
      <x:c r="N32" s="146" t="str"/>
      <x:c r="O32" s="59"/>
    </x:row>
    <x:row r="33" ht="24" customHeight="1">
      <x:c r="A33" s="144" t="n">
        <x:v>46234</x:v>
      </x:c>
      <x:c r="B33" s="145" t="n">
        <x:v>99.875</x:v>
      </x:c>
      <x:c r="C33" s="145" t="n">
        <x:v>0.053</x:v>
      </x:c>
      <x:c r="D33" s="145" t="n">
        <x:v>20</x:v>
      </x:c>
      <x:c r="E33" s="146" t="n">
        <x:v>0</x:v>
      </x:c>
      <x:c r="F33" s="146" t="n">
        <x:v>0</x:v>
      </x:c>
      <x:c r="G33" s="146" t="n">
        <x:v>2</x:v>
      </x:c>
      <x:c r="H33" s="146" t="n">
        <x:v>0</x:v>
      </x:c>
      <x:c r="I33" s="146" t="n">
        <x:v>0</x:v>
      </x:c>
      <x:c r="J33" s="145" t="n">
        <x:v>99.2</x:v>
      </x:c>
      <x:c r="K33" s="146" t="n">
        <x:v>0</x:v>
      </x:c>
      <x:c r="L33" s="146" t="n">
        <x:f>MIN(100,MAX(0,(100-B33)*4+C33*8+MAX(0,D33-20)*0.5+E33*8+F33*15+G33*0.5+H33*10+I33*4+(100-J33)*2+K33*10))</x:f>
        <x:v>3.5239999999999942</x:v>
      </x:c>
      <x:c r="M33" s="146" t="str">
        <x:f>IF(L33&gt;=70,"Critical",IF(L33&gt;=40,"High",IF(L33&gt;=20,"Moderate","Normal")))</x:f>
        <x:v>Normal</x:v>
      </x:c>
      <x:c r="N33" s="146" t="str"/>
      <x:c r="O33" s="59"/>
    </x:row>
    <x:row r="34" ht="24" customHeight="1">
      <x:c r="A34" s="144" t="n">
        <x:v>46235</x:v>
      </x:c>
      <x:c r="B34" s="145" t="n">
        <x:v>99.74</x:v>
      </x:c>
      <x:c r="C34" s="145" t="n">
        <x:v>0.41</x:v>
      </x:c>
      <x:c r="D34" s="145" t="n">
        <x:v>20.8</x:v>
      </x:c>
      <x:c r="E34" s="146" t="n">
        <x:v>0</x:v>
      </x:c>
      <x:c r="F34" s="146" t="n">
        <x:v>0</x:v>
      </x:c>
      <x:c r="G34" s="146" t="n">
        <x:v>4</x:v>
      </x:c>
      <x:c r="H34" s="146" t="n">
        <x:v>3</x:v>
      </x:c>
      <x:c r="I34" s="146" t="n">
        <x:v>0</x:v>
      </x:c>
      <x:c r="J34" s="145" t="n">
        <x:v>98</x:v>
      </x:c>
      <x:c r="K34" s="146" t="n">
        <x:v>2</x:v>
      </x:c>
      <x:c r="L34" s="146" t="n">
        <x:f>MIN(100,MAX(0,(100-B34)*4+C34*8+MAX(0,D34-20)*0.5+E34*8+F34*15+G34*0.5+H34*10+I34*4+(100-J34)*2+K34*10))</x:f>
        <x:v>60.72000000000002</x:v>
      </x:c>
      <x:c r="M34" s="146" t="str">
        <x:f>IF(L34&gt;=70,"Critical",IF(L34&gt;=40,"High",IF(L34&gt;=20,"Moderate","Normal")))</x:f>
        <x:v>High</x:v>
      </x:c>
      <x:c r="N34" s="146" t="str">
        <x:v>Segmentation rule change produced temporary violations.</x:v>
      </x:c>
      <x:c r="O34" s="59"/>
    </x:row>
    <x:row r="35" ht="24" customHeight="1">
      <x:c r="A35" s="144" t="n">
        <x:v>46236</x:v>
      </x:c>
      <x:c r="B35" s="145" t="n">
        <x:v>99.987</x:v>
      </x:c>
      <x:c r="C35" s="145" t="n">
        <x:v>0.042</x:v>
      </x:c>
      <x:c r="D35" s="145" t="n">
        <x:v>13.9</x:v>
      </x:c>
      <x:c r="E35" s="146" t="n">
        <x:v>0</x:v>
      </x:c>
      <x:c r="F35" s="146" t="n">
        <x:v>0</x:v>
      </x:c>
      <x:c r="G35" s="146" t="n">
        <x:v>7</x:v>
      </x:c>
      <x:c r="H35" s="146" t="n">
        <x:v>0</x:v>
      </x:c>
      <x:c r="I35" s="146" t="n">
        <x:v>0</x:v>
      </x:c>
      <x:c r="J35" s="145" t="n">
        <x:v>98.76</x:v>
      </x:c>
      <x:c r="K35" s="146" t="n">
        <x:v>0</x:v>
      </x:c>
      <x:c r="L35" s="146" t="n">
        <x:f>MIN(100,MAX(0,(100-B35)*4+C35*8+MAX(0,D35-20)*0.5+E35*8+F35*15+G35*0.5+H35*10+I35*4+(100-J35)*2+K35*10))</x:f>
        <x:v>6.368000000000011</x:v>
      </x:c>
      <x:c r="M35" s="146" t="str">
        <x:f>IF(L35&gt;=70,"Critical",IF(L35&gt;=40,"High",IF(L35&gt;=20,"Moderate","Normal")))</x:f>
        <x:v>Normal</x:v>
      </x:c>
      <x:c r="N35" s="146" t="str"/>
      <x:c r="O35" s="59"/>
    </x:row>
    <x:row r="36">
      <x:c r="A36" s="59"/>
      <x:c r="B36" s="59"/>
      <x:c r="C36" s="59"/>
      <x:c r="D36" s="59"/>
      <x:c r="E36" s="59"/>
      <x:c r="F36" s="59"/>
      <x:c r="G36" s="59"/>
      <x:c r="H36" s="59"/>
      <x:c r="I36" s="59"/>
      <x:c r="J36" s="59"/>
      <x:c r="K36" s="59"/>
      <x:c r="L36" s="59"/>
      <x:c r="M36" s="59"/>
      <x:c r="N36" s="59"/>
      <x:c r="O36" s="59"/>
    </x:row>
    <x:row r="37">
      <x:c r="A37" s="59"/>
      <x:c r="B37" s="59"/>
      <x:c r="C37" s="59"/>
      <x:c r="D37" s="59"/>
      <x:c r="E37" s="59"/>
      <x:c r="F37" s="59"/>
      <x:c r="G37" s="59"/>
      <x:c r="H37" s="59"/>
      <x:c r="I37" s="59"/>
      <x:c r="J37" s="59"/>
      <x:c r="K37" s="59"/>
      <x:c r="L37" s="59"/>
      <x:c r="M37" s="59"/>
      <x:c r="N37" s="59"/>
      <x:c r="O37" s="59"/>
    </x:row>
    <x:row r="38">
      <x:c r="A38" s="59"/>
      <x:c r="B38" s="59"/>
      <x:c r="C38" s="59"/>
      <x:c r="D38" s="59"/>
      <x:c r="E38" s="59"/>
      <x:c r="F38" s="59"/>
      <x:c r="G38" s="59"/>
      <x:c r="H38" s="59"/>
      <x:c r="I38" s="59"/>
      <x:c r="J38" s="59"/>
      <x:c r="K38" s="59"/>
      <x:c r="L38" s="59"/>
      <x:c r="M38" s="59"/>
      <x:c r="N38" s="59"/>
      <x:c r="O38" s="59"/>
    </x:row>
    <x:row r="39">
      <x:c r="A39" s="59"/>
      <x:c r="B39" s="59"/>
      <x:c r="C39" s="59"/>
      <x:c r="D39" s="59"/>
      <x:c r="E39" s="59"/>
      <x:c r="F39" s="59"/>
      <x:c r="G39" s="59"/>
      <x:c r="H39" s="59"/>
      <x:c r="I39" s="59"/>
      <x:c r="J39" s="59"/>
      <x:c r="K39" s="59"/>
      <x:c r="L39" s="59"/>
      <x:c r="M39" s="59"/>
      <x:c r="N39" s="59"/>
      <x:c r="O39" s="59"/>
    </x:row>
    <x:row r="40">
      <x:c r="A40" s="59"/>
      <x:c r="B40" s="59"/>
      <x:c r="C40" s="59"/>
      <x:c r="D40" s="59"/>
      <x:c r="E40" s="59"/>
      <x:c r="F40" s="59"/>
      <x:c r="G40" s="59"/>
      <x:c r="H40" s="59"/>
      <x:c r="I40" s="59"/>
      <x:c r="J40" s="59"/>
      <x:c r="K40" s="59"/>
      <x:c r="L40" s="59"/>
      <x:c r="M40" s="59"/>
      <x:c r="N40" s="59"/>
      <x:c r="O40" s="59"/>
    </x:row>
    <x:row r="41">
      <x:c r="A41" s="59"/>
      <x:c r="B41" s="59"/>
      <x:c r="C41" s="59"/>
      <x:c r="D41" s="59"/>
      <x:c r="E41" s="59"/>
      <x:c r="F41" s="59"/>
      <x:c r="G41" s="59"/>
      <x:c r="H41" s="59"/>
      <x:c r="I41" s="59"/>
      <x:c r="J41" s="59"/>
      <x:c r="K41" s="59"/>
      <x:c r="L41" s="59"/>
      <x:c r="M41" s="59"/>
      <x:c r="N41" s="59"/>
      <x:c r="O41" s="59"/>
    </x:row>
    <x:row r="42">
      <x:c r="A42" s="59"/>
      <x:c r="B42" s="59"/>
      <x:c r="C42" s="59"/>
      <x:c r="D42" s="59"/>
      <x:c r="E42" s="59"/>
      <x:c r="F42" s="59"/>
      <x:c r="G42" s="59"/>
      <x:c r="H42" s="59"/>
      <x:c r="I42" s="59"/>
      <x:c r="J42" s="59"/>
      <x:c r="K42" s="59"/>
      <x:c r="L42" s="59"/>
      <x:c r="M42" s="59"/>
      <x:c r="N42" s="59"/>
      <x:c r="O42" s="59"/>
    </x:row>
    <x:row r="43">
      <x:c r="A43" s="59"/>
      <x:c r="B43" s="59"/>
      <x:c r="C43" s="59"/>
      <x:c r="D43" s="59"/>
      <x:c r="E43" s="59"/>
      <x:c r="F43" s="59"/>
      <x:c r="G43" s="59"/>
      <x:c r="H43" s="59"/>
      <x:c r="I43" s="59"/>
      <x:c r="J43" s="59"/>
      <x:c r="K43" s="59"/>
      <x:c r="L43" s="59"/>
      <x:c r="M43" s="59"/>
      <x:c r="N43" s="59"/>
      <x:c r="O43" s="59"/>
    </x:row>
    <x:row r="44">
      <x:c r="A44" s="59"/>
      <x:c r="B44" s="59"/>
      <x:c r="C44" s="59"/>
      <x:c r="D44" s="59"/>
      <x:c r="E44" s="59"/>
      <x:c r="F44" s="59"/>
      <x:c r="G44" s="59"/>
      <x:c r="H44" s="59"/>
      <x:c r="I44" s="59"/>
      <x:c r="J44" s="59"/>
      <x:c r="K44" s="59"/>
      <x:c r="L44" s="59"/>
      <x:c r="M44" s="59"/>
      <x:c r="N44" s="59"/>
      <x:c r="O44" s="59"/>
    </x:row>
    <x:row r="45">
      <x:c r="A45" s="59"/>
      <x:c r="B45" s="59"/>
      <x:c r="C45" s="59"/>
      <x:c r="D45" s="59"/>
      <x:c r="E45" s="59"/>
      <x:c r="F45" s="59"/>
      <x:c r="G45" s="59"/>
      <x:c r="H45" s="59"/>
      <x:c r="I45" s="59"/>
      <x:c r="J45" s="59"/>
      <x:c r="K45" s="59"/>
      <x:c r="L45" s="59"/>
      <x:c r="M45" s="59"/>
      <x:c r="N45" s="59"/>
      <x:c r="O45" s="59"/>
    </x:row>
    <x:row r="46">
      <x:c r="A46" s="59"/>
      <x:c r="B46" s="59"/>
      <x:c r="C46" s="59"/>
      <x:c r="D46" s="59"/>
      <x:c r="E46" s="59"/>
      <x:c r="F46" s="59"/>
      <x:c r="G46" s="59"/>
      <x:c r="H46" s="59"/>
      <x:c r="I46" s="59"/>
      <x:c r="J46" s="59"/>
      <x:c r="K46" s="59"/>
      <x:c r="L46" s="59"/>
      <x:c r="M46" s="59"/>
      <x:c r="N46" s="59"/>
      <x:c r="O46" s="59"/>
    </x:row>
    <x:row r="47">
      <x:c r="A47" s="59"/>
      <x:c r="B47" s="59"/>
      <x:c r="C47" s="59"/>
      <x:c r="D47" s="59"/>
      <x:c r="E47" s="59"/>
      <x:c r="F47" s="59"/>
      <x:c r="G47" s="59"/>
      <x:c r="H47" s="59"/>
      <x:c r="I47" s="59"/>
      <x:c r="J47" s="59"/>
      <x:c r="K47" s="59"/>
      <x:c r="L47" s="59"/>
      <x:c r="M47" s="59"/>
      <x:c r="N47" s="59"/>
      <x:c r="O47" s="59"/>
    </x:row>
    <x:row r="48">
      <x:c r="A48" s="59"/>
      <x:c r="B48" s="59"/>
      <x:c r="C48" s="59"/>
      <x:c r="D48" s="59"/>
      <x:c r="E48" s="59"/>
      <x:c r="F48" s="59"/>
      <x:c r="G48" s="59"/>
      <x:c r="H48" s="59"/>
      <x:c r="I48" s="59"/>
      <x:c r="J48" s="59"/>
      <x:c r="K48" s="59"/>
      <x:c r="L48" s="59"/>
      <x:c r="M48" s="59"/>
      <x:c r="N48" s="59"/>
      <x:c r="O48" s="59"/>
    </x:row>
    <x:row r="49">
      <x:c r="A49" s="59"/>
      <x:c r="B49" s="59"/>
      <x:c r="C49" s="59"/>
      <x:c r="D49" s="59"/>
      <x:c r="E49" s="59"/>
      <x:c r="F49" s="59"/>
      <x:c r="G49" s="59"/>
      <x:c r="H49" s="59"/>
      <x:c r="I49" s="59"/>
      <x:c r="J49" s="59"/>
      <x:c r="K49" s="59"/>
      <x:c r="L49" s="59"/>
      <x:c r="M49" s="59"/>
      <x:c r="N49" s="59"/>
      <x:c r="O49" s="59"/>
    </x:row>
    <x:row r="50">
      <x:c r="A50" s="59"/>
      <x:c r="B50" s="59"/>
      <x:c r="C50" s="59"/>
      <x:c r="D50" s="59"/>
      <x:c r="E50" s="59"/>
      <x:c r="F50" s="59"/>
      <x:c r="G50" s="59"/>
      <x:c r="H50" s="59"/>
      <x:c r="I50" s="59"/>
      <x:c r="J50" s="59"/>
      <x:c r="K50" s="59"/>
      <x:c r="L50" s="59"/>
      <x:c r="M50" s="59"/>
      <x:c r="N50" s="59"/>
      <x:c r="O50" s="59"/>
    </x:row>
    <x:row r="51">
      <x:c r="A51" s="59"/>
      <x:c r="B51" s="59"/>
      <x:c r="C51" s="59"/>
      <x:c r="D51" s="59"/>
      <x:c r="E51" s="59"/>
      <x:c r="F51" s="59"/>
      <x:c r="G51" s="59"/>
      <x:c r="H51" s="59"/>
      <x:c r="I51" s="59"/>
      <x:c r="J51" s="59"/>
      <x:c r="K51" s="59"/>
      <x:c r="L51" s="59"/>
      <x:c r="M51" s="59"/>
      <x:c r="N51" s="59"/>
      <x:c r="O51" s="59"/>
    </x:row>
    <x:row r="52">
      <x:c r="A52" s="59"/>
      <x:c r="B52" s="59"/>
      <x:c r="C52" s="59"/>
      <x:c r="D52" s="59"/>
      <x:c r="E52" s="59"/>
      <x:c r="F52" s="59"/>
      <x:c r="G52" s="59"/>
      <x:c r="H52" s="59"/>
      <x:c r="I52" s="59"/>
      <x:c r="J52" s="59"/>
      <x:c r="K52" s="59"/>
      <x:c r="L52" s="59"/>
      <x:c r="M52" s="59"/>
      <x:c r="N52" s="59"/>
      <x:c r="O52" s="59"/>
    </x:row>
    <x:row r="53">
      <x:c r="A53" s="59"/>
      <x:c r="B53" s="59"/>
      <x:c r="C53" s="59"/>
      <x:c r="D53" s="59"/>
      <x:c r="E53" s="59"/>
      <x:c r="F53" s="59"/>
      <x:c r="G53" s="59"/>
      <x:c r="H53" s="59"/>
      <x:c r="I53" s="59"/>
      <x:c r="J53" s="59"/>
      <x:c r="K53" s="59"/>
      <x:c r="L53" s="59"/>
      <x:c r="M53" s="59"/>
      <x:c r="N53" s="59"/>
      <x:c r="O53" s="59"/>
    </x:row>
    <x:row r="54">
      <x:c r="A54" s="59"/>
      <x:c r="B54" s="59"/>
      <x:c r="C54" s="59"/>
      <x:c r="D54" s="59"/>
      <x:c r="E54" s="59"/>
      <x:c r="F54" s="59"/>
      <x:c r="G54" s="59"/>
      <x:c r="H54" s="59"/>
      <x:c r="I54" s="59"/>
      <x:c r="J54" s="59"/>
      <x:c r="K54" s="59"/>
      <x:c r="L54" s="59"/>
      <x:c r="M54" s="59"/>
      <x:c r="N54" s="59"/>
      <x:c r="O54" s="59"/>
    </x:row>
    <x:row r="55">
      <x:c r="A55" s="59"/>
      <x:c r="B55" s="59"/>
      <x:c r="C55" s="59"/>
      <x:c r="D55" s="59"/>
      <x:c r="E55" s="59"/>
      <x:c r="F55" s="59"/>
      <x:c r="G55" s="59"/>
      <x:c r="H55" s="59"/>
      <x:c r="I55" s="59"/>
      <x:c r="J55" s="59"/>
      <x:c r="K55" s="59"/>
      <x:c r="L55" s="59"/>
      <x:c r="M55" s="59"/>
      <x:c r="N55" s="59"/>
      <x:c r="O55" s="59"/>
    </x:row>
    <x:row r="56">
      <x:c r="A56" s="59"/>
      <x:c r="B56" s="59"/>
      <x:c r="C56" s="59"/>
      <x:c r="D56" s="59"/>
      <x:c r="E56" s="59"/>
      <x:c r="F56" s="59"/>
      <x:c r="G56" s="59"/>
      <x:c r="H56" s="59"/>
      <x:c r="I56" s="59"/>
      <x:c r="J56" s="59"/>
      <x:c r="K56" s="59"/>
      <x:c r="L56" s="59"/>
      <x:c r="M56" s="59"/>
      <x:c r="N56" s="59"/>
      <x:c r="O56" s="59"/>
    </x:row>
    <x:row r="57">
      <x:c r="A57" s="59"/>
      <x:c r="B57" s="59"/>
      <x:c r="C57" s="59"/>
      <x:c r="D57" s="59"/>
      <x:c r="E57" s="59"/>
      <x:c r="F57" s="59"/>
      <x:c r="G57" s="59"/>
      <x:c r="H57" s="59"/>
      <x:c r="I57" s="59"/>
      <x:c r="J57" s="59"/>
      <x:c r="K57" s="59"/>
      <x:c r="L57" s="59"/>
      <x:c r="M57" s="59"/>
      <x:c r="N57" s="59"/>
      <x:c r="O57" s="59"/>
    </x:row>
    <x:row r="58">
      <x:c r="A58" s="59"/>
      <x:c r="B58" s="59"/>
      <x:c r="C58" s="59"/>
      <x:c r="D58" s="59"/>
      <x:c r="E58" s="59"/>
      <x:c r="F58" s="59"/>
      <x:c r="G58" s="59"/>
      <x:c r="H58" s="59"/>
      <x:c r="I58" s="59"/>
      <x:c r="J58" s="59"/>
      <x:c r="K58" s="59"/>
      <x:c r="L58" s="59"/>
      <x:c r="M58" s="59"/>
      <x:c r="N58" s="59"/>
      <x:c r="O58" s="59"/>
    </x:row>
    <x:row r="59">
      <x:c r="A59" s="59"/>
      <x:c r="B59" s="59"/>
      <x:c r="C59" s="59"/>
      <x:c r="D59" s="59"/>
      <x:c r="E59" s="59"/>
      <x:c r="F59" s="59"/>
      <x:c r="G59" s="59"/>
      <x:c r="H59" s="59"/>
      <x:c r="I59" s="59"/>
      <x:c r="J59" s="59"/>
      <x:c r="K59" s="59"/>
      <x:c r="L59" s="59"/>
      <x:c r="M59" s="59"/>
      <x:c r="N59" s="59"/>
      <x:c r="O59" s="59"/>
    </x:row>
    <x:row r="60">
      <x:c r="A60" s="59"/>
      <x:c r="B60" s="59"/>
      <x:c r="C60" s="59"/>
      <x:c r="D60" s="59"/>
      <x:c r="E60" s="59"/>
      <x:c r="F60" s="59"/>
      <x:c r="G60" s="59"/>
      <x:c r="H60" s="59"/>
      <x:c r="I60" s="59"/>
      <x:c r="J60" s="59"/>
      <x:c r="K60" s="59"/>
      <x:c r="L60" s="59"/>
      <x:c r="M60" s="59"/>
      <x:c r="N60" s="59"/>
      <x:c r="O60" s="59"/>
    </x:row>
    <x:row r="61">
      <x:c r="A61" s="59"/>
      <x:c r="B61" s="59"/>
      <x:c r="C61" s="59"/>
      <x:c r="D61" s="59"/>
      <x:c r="E61" s="59"/>
      <x:c r="F61" s="59"/>
      <x:c r="G61" s="59"/>
      <x:c r="H61" s="59"/>
      <x:c r="I61" s="59"/>
      <x:c r="J61" s="59"/>
      <x:c r="K61" s="59"/>
      <x:c r="L61" s="59"/>
      <x:c r="M61" s="59"/>
      <x:c r="N61" s="59"/>
      <x:c r="O61" s="59"/>
    </x:row>
    <x:row r="62">
      <x:c r="A62" s="59"/>
      <x:c r="B62" s="59"/>
      <x:c r="C62" s="59"/>
      <x:c r="D62" s="59"/>
      <x:c r="E62" s="59"/>
      <x:c r="F62" s="59"/>
      <x:c r="G62" s="59"/>
      <x:c r="H62" s="59"/>
      <x:c r="I62" s="59"/>
      <x:c r="J62" s="59"/>
      <x:c r="K62" s="59"/>
      <x:c r="L62" s="59"/>
      <x:c r="M62" s="59"/>
      <x:c r="N62" s="59"/>
      <x:c r="O62" s="59"/>
    </x:row>
    <x:row r="63">
      <x:c r="A63" s="59"/>
      <x:c r="B63" s="59"/>
      <x:c r="C63" s="59"/>
      <x:c r="D63" s="59"/>
      <x:c r="E63" s="59"/>
      <x:c r="F63" s="59"/>
      <x:c r="G63" s="59"/>
      <x:c r="H63" s="59"/>
      <x:c r="I63" s="59"/>
      <x:c r="J63" s="59"/>
      <x:c r="K63" s="59"/>
      <x:c r="L63" s="59"/>
      <x:c r="M63" s="59"/>
      <x:c r="N63" s="59"/>
      <x:c r="O63" s="59"/>
    </x:row>
    <x:row r="64">
      <x:c r="A64" s="59"/>
      <x:c r="B64" s="59"/>
      <x:c r="C64" s="59"/>
      <x:c r="D64" s="59"/>
      <x:c r="E64" s="59"/>
      <x:c r="F64" s="59"/>
      <x:c r="G64" s="59"/>
      <x:c r="H64" s="59"/>
      <x:c r="I64" s="59"/>
      <x:c r="J64" s="59"/>
      <x:c r="K64" s="59"/>
      <x:c r="L64" s="59"/>
      <x:c r="M64" s="59"/>
      <x:c r="N64" s="59"/>
      <x:c r="O64" s="59"/>
    </x:row>
    <x:row r="65">
      <x:c r="A65" s="59"/>
      <x:c r="B65" s="59"/>
      <x:c r="C65" s="59"/>
      <x:c r="D65" s="59"/>
      <x:c r="E65" s="59"/>
      <x:c r="F65" s="59"/>
      <x:c r="G65" s="59"/>
      <x:c r="H65" s="59"/>
      <x:c r="I65" s="59"/>
      <x:c r="J65" s="59"/>
      <x:c r="K65" s="59"/>
      <x:c r="L65" s="59"/>
      <x:c r="M65" s="59"/>
      <x:c r="N65" s="59"/>
      <x:c r="O65" s="59"/>
    </x:row>
    <x:row r="66">
      <x:c r="A66" s="59"/>
      <x:c r="B66" s="59"/>
      <x:c r="C66" s="59"/>
      <x:c r="D66" s="59"/>
      <x:c r="E66" s="59"/>
      <x:c r="F66" s="59"/>
      <x:c r="G66" s="59"/>
      <x:c r="H66" s="59"/>
      <x:c r="I66" s="59"/>
      <x:c r="J66" s="59"/>
      <x:c r="K66" s="59"/>
      <x:c r="L66" s="59"/>
      <x:c r="M66" s="59"/>
      <x:c r="N66" s="59"/>
      <x:c r="O66" s="59"/>
    </x:row>
    <x:row r="67">
      <x:c r="A67" s="59"/>
      <x:c r="B67" s="59"/>
      <x:c r="C67" s="59"/>
      <x:c r="D67" s="59"/>
      <x:c r="E67" s="59"/>
      <x:c r="F67" s="59"/>
      <x:c r="G67" s="59"/>
      <x:c r="H67" s="59"/>
      <x:c r="I67" s="59"/>
      <x:c r="J67" s="59"/>
      <x:c r="K67" s="59"/>
      <x:c r="L67" s="59"/>
      <x:c r="M67" s="59"/>
      <x:c r="N67" s="59"/>
      <x:c r="O67" s="59"/>
    </x:row>
    <x:row r="68">
      <x:c r="A68" s="59"/>
      <x:c r="B68" s="59"/>
      <x:c r="C68" s="59"/>
      <x:c r="D68" s="59"/>
      <x:c r="E68" s="59"/>
      <x:c r="F68" s="59"/>
      <x:c r="G68" s="59"/>
      <x:c r="H68" s="59"/>
      <x:c r="I68" s="59"/>
      <x:c r="J68" s="59"/>
      <x:c r="K68" s="59"/>
      <x:c r="L68" s="59"/>
      <x:c r="M68" s="59"/>
      <x:c r="N68" s="59"/>
      <x:c r="O68" s="59"/>
    </x:row>
    <x:row r="69">
      <x:c r="A69" s="59"/>
      <x:c r="B69" s="59"/>
      <x:c r="C69" s="59"/>
      <x:c r="D69" s="59"/>
      <x:c r="E69" s="59"/>
      <x:c r="F69" s="59"/>
      <x:c r="G69" s="59"/>
      <x:c r="H69" s="59"/>
      <x:c r="I69" s="59"/>
      <x:c r="J69" s="59"/>
      <x:c r="K69" s="59"/>
      <x:c r="L69" s="59"/>
      <x:c r="M69" s="59"/>
      <x:c r="N69" s="59"/>
      <x:c r="O69" s="59"/>
    </x:row>
    <x:row r="70">
      <x:c r="A70" s="59"/>
      <x:c r="B70" s="59"/>
      <x:c r="C70" s="59"/>
      <x:c r="D70" s="59"/>
      <x:c r="E70" s="59"/>
      <x:c r="F70" s="59"/>
      <x:c r="G70" s="59"/>
      <x:c r="H70" s="59"/>
      <x:c r="I70" s="59"/>
      <x:c r="J70" s="59"/>
      <x:c r="K70" s="59"/>
      <x:c r="L70" s="59"/>
      <x:c r="M70" s="59"/>
      <x:c r="N70" s="59"/>
      <x:c r="O70" s="59"/>
    </x:row>
    <x:row r="71">
      <x:c r="A71" s="59"/>
      <x:c r="B71" s="59"/>
      <x:c r="C71" s="59"/>
      <x:c r="D71" s="59"/>
      <x:c r="E71" s="59"/>
      <x:c r="F71" s="59"/>
      <x:c r="G71" s="59"/>
      <x:c r="H71" s="59"/>
      <x:c r="I71" s="59"/>
      <x:c r="J71" s="59"/>
      <x:c r="K71" s="59"/>
      <x:c r="L71" s="59"/>
      <x:c r="M71" s="59"/>
      <x:c r="N71" s="59"/>
      <x:c r="O71" s="59"/>
    </x:row>
    <x:row r="72">
      <x:c r="A72" s="59"/>
      <x:c r="B72" s="59"/>
      <x:c r="C72" s="59"/>
      <x:c r="D72" s="59"/>
      <x:c r="E72" s="59"/>
      <x:c r="F72" s="59"/>
      <x:c r="G72" s="59"/>
      <x:c r="H72" s="59"/>
      <x:c r="I72" s="59"/>
      <x:c r="J72" s="59"/>
      <x:c r="K72" s="59"/>
      <x:c r="L72" s="59"/>
      <x:c r="M72" s="59"/>
      <x:c r="N72" s="59"/>
      <x:c r="O72" s="59"/>
    </x:row>
    <x:row r="73">
      <x:c r="A73" s="59"/>
      <x:c r="B73" s="59"/>
      <x:c r="C73" s="59"/>
      <x:c r="D73" s="59"/>
      <x:c r="E73" s="59"/>
      <x:c r="F73" s="59"/>
      <x:c r="G73" s="59"/>
      <x:c r="H73" s="59"/>
      <x:c r="I73" s="59"/>
      <x:c r="J73" s="59"/>
      <x:c r="K73" s="59"/>
      <x:c r="L73" s="59"/>
      <x:c r="M73" s="59"/>
      <x:c r="N73" s="59"/>
      <x:c r="O73" s="59"/>
    </x:row>
    <x:row r="74">
      <x:c r="A74" s="59"/>
      <x:c r="B74" s="59"/>
      <x:c r="C74" s="59"/>
      <x:c r="D74" s="59"/>
      <x:c r="E74" s="59"/>
      <x:c r="F74" s="59"/>
      <x:c r="G74" s="59"/>
      <x:c r="H74" s="59"/>
      <x:c r="I74" s="59"/>
      <x:c r="J74" s="59"/>
      <x:c r="K74" s="59"/>
      <x:c r="L74" s="59"/>
      <x:c r="M74" s="59"/>
      <x:c r="N74" s="59"/>
      <x:c r="O74" s="59"/>
    </x:row>
    <x:row r="75">
      <x:c r="A75" s="59"/>
      <x:c r="B75" s="59"/>
      <x:c r="C75" s="59"/>
      <x:c r="D75" s="59"/>
      <x:c r="E75" s="59"/>
      <x:c r="F75" s="59"/>
      <x:c r="G75" s="59"/>
      <x:c r="H75" s="59"/>
      <x:c r="I75" s="59"/>
      <x:c r="J75" s="59"/>
      <x:c r="K75" s="59"/>
      <x:c r="L75" s="59"/>
      <x:c r="M75" s="59"/>
      <x:c r="N75" s="59"/>
      <x:c r="O75" s="59"/>
    </x:row>
    <x:row r="76">
      <x:c r="A76" s="59"/>
      <x:c r="B76" s="59"/>
      <x:c r="C76" s="59"/>
      <x:c r="D76" s="59"/>
      <x:c r="E76" s="59"/>
      <x:c r="F76" s="59"/>
      <x:c r="G76" s="59"/>
      <x:c r="H76" s="59"/>
      <x:c r="I76" s="59"/>
      <x:c r="J76" s="59"/>
      <x:c r="K76" s="59"/>
      <x:c r="L76" s="59"/>
      <x:c r="M76" s="59"/>
      <x:c r="N76" s="59"/>
      <x:c r="O76" s="59"/>
    </x:row>
    <x:row r="77">
      <x:c r="A77" s="59"/>
      <x:c r="B77" s="59"/>
      <x:c r="C77" s="59"/>
      <x:c r="D77" s="59"/>
      <x:c r="E77" s="59"/>
      <x:c r="F77" s="59"/>
      <x:c r="G77" s="59"/>
      <x:c r="H77" s="59"/>
      <x:c r="I77" s="59"/>
      <x:c r="J77" s="59"/>
      <x:c r="K77" s="59"/>
      <x:c r="L77" s="59"/>
      <x:c r="M77" s="59"/>
      <x:c r="N77" s="59"/>
      <x:c r="O77" s="59"/>
    </x:row>
    <x:row r="78">
      <x:c r="A78" s="59"/>
      <x:c r="B78" s="59"/>
      <x:c r="C78" s="59"/>
      <x:c r="D78" s="59"/>
      <x:c r="E78" s="59"/>
      <x:c r="F78" s="59"/>
      <x:c r="G78" s="59"/>
      <x:c r="H78" s="59"/>
      <x:c r="I78" s="59"/>
      <x:c r="J78" s="59"/>
      <x:c r="K78" s="59"/>
      <x:c r="L78" s="59"/>
      <x:c r="M78" s="59"/>
      <x:c r="N78" s="59"/>
      <x:c r="O78" s="59"/>
    </x:row>
    <x:row r="79">
      <x:c r="A79" s="59"/>
      <x:c r="B79" s="59"/>
      <x:c r="C79" s="59"/>
      <x:c r="D79" s="59"/>
      <x:c r="E79" s="59"/>
      <x:c r="F79" s="59"/>
      <x:c r="G79" s="59"/>
      <x:c r="H79" s="59"/>
      <x:c r="I79" s="59"/>
      <x:c r="J79" s="59"/>
      <x:c r="K79" s="59"/>
      <x:c r="L79" s="59"/>
      <x:c r="M79" s="59"/>
      <x:c r="N79" s="59"/>
      <x:c r="O79" s="59"/>
    </x:row>
    <x:row r="80">
      <x:c r="A80" s="59"/>
      <x:c r="B80" s="59"/>
      <x:c r="C80" s="59"/>
      <x:c r="D80" s="59"/>
      <x:c r="E80" s="59"/>
      <x:c r="F80" s="59"/>
      <x:c r="G80" s="59"/>
      <x:c r="H80" s="59"/>
      <x:c r="I80" s="59"/>
      <x:c r="J80" s="59"/>
      <x:c r="K80" s="59"/>
      <x:c r="L80" s="59"/>
      <x:c r="M80" s="59"/>
      <x:c r="N80" s="59"/>
      <x:c r="O80" s="59"/>
    </x:row>
    <x:row r="81">
      <x:c r="A81" s="59"/>
      <x:c r="B81" s="59"/>
      <x:c r="C81" s="59"/>
      <x:c r="D81" s="59"/>
      <x:c r="E81" s="59"/>
      <x:c r="F81" s="59"/>
      <x:c r="G81" s="59"/>
      <x:c r="H81" s="59"/>
      <x:c r="I81" s="59"/>
      <x:c r="J81" s="59"/>
      <x:c r="K81" s="59"/>
      <x:c r="L81" s="59"/>
      <x:c r="M81" s="59"/>
      <x:c r="N81" s="59"/>
      <x:c r="O81" s="59"/>
    </x:row>
    <x:row r="82">
      <x:c r="A82" s="59"/>
      <x:c r="B82" s="59"/>
      <x:c r="C82" s="59"/>
      <x:c r="D82" s="59"/>
      <x:c r="E82" s="59"/>
      <x:c r="F82" s="59"/>
      <x:c r="G82" s="59"/>
      <x:c r="H82" s="59"/>
      <x:c r="I82" s="59"/>
      <x:c r="J82" s="59"/>
      <x:c r="K82" s="59"/>
      <x:c r="L82" s="59"/>
      <x:c r="M82" s="59"/>
      <x:c r="N82" s="59"/>
      <x:c r="O82" s="59"/>
    </x:row>
    <x:row r="83">
      <x:c r="A83" s="59"/>
      <x:c r="B83" s="59"/>
      <x:c r="C83" s="59"/>
      <x:c r="D83" s="59"/>
      <x:c r="E83" s="59"/>
      <x:c r="F83" s="59"/>
      <x:c r="G83" s="59"/>
      <x:c r="H83" s="59"/>
      <x:c r="I83" s="59"/>
      <x:c r="J83" s="59"/>
      <x:c r="K83" s="59"/>
      <x:c r="L83" s="59"/>
      <x:c r="M83" s="59"/>
      <x:c r="N83" s="59"/>
      <x:c r="O83" s="59"/>
    </x:row>
    <x:row r="84">
      <x:c r="A84" s="59"/>
      <x:c r="B84" s="59"/>
      <x:c r="C84" s="59"/>
      <x:c r="D84" s="59"/>
      <x:c r="E84" s="59"/>
      <x:c r="F84" s="59"/>
      <x:c r="G84" s="59"/>
      <x:c r="H84" s="59"/>
      <x:c r="I84" s="59"/>
      <x:c r="J84" s="59"/>
      <x:c r="K84" s="59"/>
      <x:c r="L84" s="59"/>
      <x:c r="M84" s="59"/>
      <x:c r="N84" s="59"/>
      <x:c r="O84" s="59"/>
    </x:row>
    <x:row r="85">
      <x:c r="A85" s="59"/>
      <x:c r="B85" s="59"/>
      <x:c r="C85" s="59"/>
      <x:c r="D85" s="59"/>
      <x:c r="E85" s="59"/>
      <x:c r="F85" s="59"/>
      <x:c r="G85" s="59"/>
      <x:c r="H85" s="59"/>
      <x:c r="I85" s="59"/>
      <x:c r="J85" s="59"/>
      <x:c r="K85" s="59"/>
      <x:c r="L85" s="59"/>
      <x:c r="M85" s="59"/>
      <x:c r="N85" s="59"/>
      <x:c r="O85" s="59"/>
    </x:row>
    <x:row r="86">
      <x:c r="A86" s="59"/>
      <x:c r="B86" s="59"/>
      <x:c r="C86" s="59"/>
      <x:c r="D86" s="59"/>
      <x:c r="E86" s="59"/>
      <x:c r="F86" s="59"/>
      <x:c r="G86" s="59"/>
      <x:c r="H86" s="59"/>
      <x:c r="I86" s="59"/>
      <x:c r="J86" s="59"/>
      <x:c r="K86" s="59"/>
      <x:c r="L86" s="59"/>
      <x:c r="M86" s="59"/>
      <x:c r="N86" s="59"/>
      <x:c r="O86" s="59"/>
    </x:row>
    <x:row r="87">
      <x:c r="A87" s="59"/>
      <x:c r="B87" s="59"/>
      <x:c r="C87" s="59"/>
      <x:c r="D87" s="59"/>
      <x:c r="E87" s="59"/>
      <x:c r="F87" s="59"/>
      <x:c r="G87" s="59"/>
      <x:c r="H87" s="59"/>
      <x:c r="I87" s="59"/>
      <x:c r="J87" s="59"/>
      <x:c r="K87" s="59"/>
      <x:c r="L87" s="59"/>
      <x:c r="M87" s="59"/>
      <x:c r="N87" s="59"/>
      <x:c r="O87" s="59"/>
    </x:row>
    <x:row r="88">
      <x:c r="A88" s="59"/>
      <x:c r="B88" s="59"/>
      <x:c r="C88" s="59"/>
      <x:c r="D88" s="59"/>
      <x:c r="E88" s="59"/>
      <x:c r="F88" s="59"/>
      <x:c r="G88" s="59"/>
      <x:c r="H88" s="59"/>
      <x:c r="I88" s="59"/>
      <x:c r="J88" s="59"/>
      <x:c r="K88" s="59"/>
      <x:c r="L88" s="59"/>
      <x:c r="M88" s="59"/>
      <x:c r="N88" s="59"/>
      <x:c r="O88" s="59"/>
    </x:row>
    <x:row r="89">
      <x:c r="A89" s="59"/>
      <x:c r="B89" s="59"/>
      <x:c r="C89" s="59"/>
      <x:c r="D89" s="59"/>
      <x:c r="E89" s="59"/>
      <x:c r="F89" s="59"/>
      <x:c r="G89" s="59"/>
      <x:c r="H89" s="59"/>
      <x:c r="I89" s="59"/>
      <x:c r="J89" s="59"/>
      <x:c r="K89" s="59"/>
      <x:c r="L89" s="59"/>
      <x:c r="M89" s="59"/>
      <x:c r="N89" s="59"/>
      <x:c r="O89" s="59"/>
    </x:row>
    <x:row r="90">
      <x:c r="A90" s="59"/>
      <x:c r="B90" s="59"/>
      <x:c r="C90" s="59"/>
      <x:c r="D90" s="59"/>
      <x:c r="E90" s="59"/>
      <x:c r="F90" s="59"/>
      <x:c r="G90" s="59"/>
      <x:c r="H90" s="59"/>
      <x:c r="I90" s="59"/>
      <x:c r="J90" s="59"/>
      <x:c r="K90" s="59"/>
      <x:c r="L90" s="59"/>
      <x:c r="M90" s="59"/>
      <x:c r="N90" s="59"/>
      <x:c r="O90" s="59"/>
    </x:row>
    <x:row r="91">
      <x:c r="A91" s="59"/>
      <x:c r="B91" s="59"/>
      <x:c r="C91" s="59"/>
      <x:c r="D91" s="59"/>
      <x:c r="E91" s="59"/>
      <x:c r="F91" s="59"/>
      <x:c r="G91" s="59"/>
      <x:c r="H91" s="59"/>
      <x:c r="I91" s="59"/>
      <x:c r="J91" s="59"/>
      <x:c r="K91" s="59"/>
      <x:c r="L91" s="59"/>
      <x:c r="M91" s="59"/>
      <x:c r="N91" s="59"/>
      <x:c r="O91" s="59"/>
    </x:row>
    <x:row r="92">
      <x:c r="A92" s="59"/>
      <x:c r="B92" s="59"/>
      <x:c r="C92" s="59"/>
      <x:c r="D92" s="59"/>
      <x:c r="E92" s="59"/>
      <x:c r="F92" s="59"/>
      <x:c r="G92" s="59"/>
      <x:c r="H92" s="59"/>
      <x:c r="I92" s="59"/>
      <x:c r="J92" s="59"/>
      <x:c r="K92" s="59"/>
      <x:c r="L92" s="59"/>
      <x:c r="M92" s="59"/>
      <x:c r="N92" s="59"/>
      <x:c r="O92" s="59"/>
    </x:row>
    <x:row r="93">
      <x:c r="A93" s="59"/>
      <x:c r="B93" s="59"/>
      <x:c r="C93" s="59"/>
      <x:c r="D93" s="59"/>
      <x:c r="E93" s="59"/>
      <x:c r="F93" s="59"/>
      <x:c r="G93" s="59"/>
      <x:c r="H93" s="59"/>
      <x:c r="I93" s="59"/>
      <x:c r="J93" s="59"/>
      <x:c r="K93" s="59"/>
      <x:c r="L93" s="59"/>
      <x:c r="M93" s="59"/>
      <x:c r="N93" s="59"/>
      <x:c r="O93" s="59"/>
    </x:row>
    <x:row r="94">
      <x:c r="A94" s="59"/>
      <x:c r="B94" s="59"/>
      <x:c r="C94" s="59"/>
      <x:c r="D94" s="59"/>
      <x:c r="E94" s="59"/>
      <x:c r="F94" s="59"/>
      <x:c r="G94" s="59"/>
      <x:c r="H94" s="59"/>
      <x:c r="I94" s="59"/>
      <x:c r="J94" s="59"/>
      <x:c r="K94" s="59"/>
      <x:c r="L94" s="59"/>
      <x:c r="M94" s="59"/>
      <x:c r="N94" s="59"/>
      <x:c r="O94" s="59"/>
    </x:row>
    <x:row r="95">
      <x:c r="A95" s="59"/>
      <x:c r="B95" s="59"/>
      <x:c r="C95" s="59"/>
      <x:c r="D95" s="59"/>
      <x:c r="E95" s="59"/>
      <x:c r="F95" s="59"/>
      <x:c r="G95" s="59"/>
      <x:c r="H95" s="59"/>
      <x:c r="I95" s="59"/>
      <x:c r="J95" s="59"/>
      <x:c r="K95" s="59"/>
      <x:c r="L95" s="59"/>
      <x:c r="M95" s="59"/>
      <x:c r="N95" s="59"/>
      <x:c r="O95" s="59"/>
    </x:row>
    <x:row r="96">
      <x:c r="A96" s="59"/>
      <x:c r="B96" s="59"/>
      <x:c r="C96" s="59"/>
      <x:c r="D96" s="59"/>
      <x:c r="E96" s="59"/>
      <x:c r="F96" s="59"/>
      <x:c r="G96" s="59"/>
      <x:c r="H96" s="59"/>
      <x:c r="I96" s="59"/>
      <x:c r="J96" s="59"/>
      <x:c r="K96" s="59"/>
      <x:c r="L96" s="59"/>
      <x:c r="M96" s="59"/>
      <x:c r="N96" s="59"/>
      <x:c r="O96" s="59"/>
    </x:row>
    <x:row r="97">
      <x:c r="A97" s="59"/>
      <x:c r="B97" s="59"/>
      <x:c r="C97" s="59"/>
      <x:c r="D97" s="59"/>
      <x:c r="E97" s="59"/>
      <x:c r="F97" s="59"/>
      <x:c r="G97" s="59"/>
      <x:c r="H97" s="59"/>
      <x:c r="I97" s="59"/>
      <x:c r="J97" s="59"/>
      <x:c r="K97" s="59"/>
      <x:c r="L97" s="59"/>
      <x:c r="M97" s="59"/>
      <x:c r="N97" s="59"/>
      <x:c r="O97" s="59"/>
    </x:row>
    <x:row r="98">
      <x:c r="A98" s="59"/>
      <x:c r="B98" s="59"/>
      <x:c r="C98" s="59"/>
      <x:c r="D98" s="59"/>
      <x:c r="E98" s="59"/>
      <x:c r="F98" s="59"/>
      <x:c r="G98" s="59"/>
      <x:c r="H98" s="59"/>
      <x:c r="I98" s="59"/>
      <x:c r="J98" s="59"/>
      <x:c r="K98" s="59"/>
      <x:c r="L98" s="59"/>
      <x:c r="M98" s="59"/>
      <x:c r="N98" s="59"/>
      <x:c r="O98" s="59"/>
    </x:row>
    <x:row r="99">
      <x:c r="A99" s="59"/>
      <x:c r="B99" s="59"/>
      <x:c r="C99" s="59"/>
      <x:c r="D99" s="59"/>
      <x:c r="E99" s="59"/>
      <x:c r="F99" s="59"/>
      <x:c r="G99" s="59"/>
      <x:c r="H99" s="59"/>
      <x:c r="I99" s="59"/>
      <x:c r="J99" s="59"/>
      <x:c r="K99" s="59"/>
      <x:c r="L99" s="59"/>
      <x:c r="M99" s="59"/>
      <x:c r="N99" s="59"/>
      <x:c r="O99" s="59"/>
    </x:row>
    <x:row r="100">
      <x:c r="A100" s="59"/>
      <x:c r="B100" s="59"/>
      <x:c r="C100" s="59"/>
      <x:c r="D100" s="59"/>
      <x:c r="E100" s="59"/>
      <x:c r="F100" s="59"/>
      <x:c r="G100" s="59"/>
      <x:c r="H100" s="59"/>
      <x:c r="I100" s="59"/>
      <x:c r="J100" s="59"/>
      <x:c r="K100" s="59"/>
      <x:c r="L100" s="59"/>
      <x:c r="M100" s="59"/>
      <x:c r="N100" s="59"/>
      <x:c r="O100" s="59"/>
    </x:row>
    <x:row r="101">
      <x:c r="A101" s="59"/>
      <x:c r="B101" s="59"/>
      <x:c r="C101" s="59"/>
      <x:c r="D101" s="59"/>
      <x:c r="E101" s="59"/>
      <x:c r="F101" s="59"/>
      <x:c r="G101" s="59"/>
      <x:c r="H101" s="59"/>
      <x:c r="I101" s="59"/>
      <x:c r="J101" s="59"/>
      <x:c r="K101" s="59"/>
      <x:c r="L101" s="59"/>
      <x:c r="M101" s="59"/>
      <x:c r="N101" s="59"/>
      <x:c r="O101" s="59"/>
    </x:row>
    <x:row r="102">
      <x:c r="A102" s="59"/>
      <x:c r="B102" s="59"/>
      <x:c r="C102" s="59"/>
      <x:c r="D102" s="59"/>
      <x:c r="E102" s="59"/>
      <x:c r="F102" s="59"/>
      <x:c r="G102" s="59"/>
      <x:c r="H102" s="59"/>
      <x:c r="I102" s="59"/>
      <x:c r="J102" s="59"/>
      <x:c r="K102" s="59"/>
      <x:c r="L102" s="59"/>
      <x:c r="M102" s="59"/>
      <x:c r="N102" s="59"/>
      <x:c r="O102" s="59"/>
    </x:row>
    <x:row r="103">
      <x:c r="A103" s="59"/>
      <x:c r="B103" s="59"/>
      <x:c r="C103" s="59"/>
      <x:c r="D103" s="59"/>
      <x:c r="E103" s="59"/>
      <x:c r="F103" s="59"/>
      <x:c r="G103" s="59"/>
      <x:c r="H103" s="59"/>
      <x:c r="I103" s="59"/>
      <x:c r="J103" s="59"/>
      <x:c r="K103" s="59"/>
      <x:c r="L103" s="59"/>
      <x:c r="M103" s="59"/>
      <x:c r="N103" s="59"/>
      <x:c r="O103" s="59"/>
    </x:row>
    <x:row r="104">
      <x:c r="A104" s="59"/>
      <x:c r="B104" s="59"/>
      <x:c r="C104" s="59"/>
      <x:c r="D104" s="59"/>
      <x:c r="E104" s="59"/>
      <x:c r="F104" s="59"/>
      <x:c r="G104" s="59"/>
      <x:c r="H104" s="59"/>
      <x:c r="I104" s="59"/>
      <x:c r="J104" s="59"/>
      <x:c r="K104" s="59"/>
      <x:c r="L104" s="59"/>
      <x:c r="M104" s="59"/>
      <x:c r="N104" s="59"/>
      <x:c r="O104" s="59"/>
    </x:row>
    <x:row r="105">
      <x:c r="A105" s="59"/>
      <x:c r="B105" s="59"/>
      <x:c r="C105" s="59"/>
      <x:c r="D105" s="59"/>
      <x:c r="E105" s="59"/>
      <x:c r="F105" s="59"/>
      <x:c r="G105" s="59"/>
      <x:c r="H105" s="59"/>
      <x:c r="I105" s="59"/>
      <x:c r="J105" s="59"/>
      <x:c r="K105" s="59"/>
      <x:c r="L105" s="59"/>
      <x:c r="M105" s="59"/>
      <x:c r="N105" s="59"/>
      <x:c r="O105" s="59"/>
    </x:row>
    <x:row r="106">
      <x:c r="A106" s="59"/>
      <x:c r="B106" s="59"/>
      <x:c r="C106" s="59"/>
      <x:c r="D106" s="59"/>
      <x:c r="E106" s="59"/>
      <x:c r="F106" s="59"/>
      <x:c r="G106" s="59"/>
      <x:c r="H106" s="59"/>
      <x:c r="I106" s="59"/>
      <x:c r="J106" s="59"/>
      <x:c r="K106" s="59"/>
      <x:c r="L106" s="59"/>
      <x:c r="M106" s="59"/>
      <x:c r="N106" s="59"/>
      <x:c r="O106" s="59"/>
    </x:row>
    <x:row r="107">
      <x:c r="A107" s="59"/>
      <x:c r="B107" s="59"/>
      <x:c r="C107" s="59"/>
      <x:c r="D107" s="59"/>
      <x:c r="E107" s="59"/>
      <x:c r="F107" s="59"/>
      <x:c r="G107" s="59"/>
      <x:c r="H107" s="59"/>
      <x:c r="I107" s="59"/>
      <x:c r="J107" s="59"/>
      <x:c r="K107" s="59"/>
      <x:c r="L107" s="59"/>
      <x:c r="M107" s="59"/>
      <x:c r="N107" s="59"/>
      <x:c r="O107" s="59"/>
    </x:row>
    <x:row r="108">
      <x:c r="A108" s="59"/>
      <x:c r="B108" s="59"/>
      <x:c r="C108" s="59"/>
      <x:c r="D108" s="59"/>
      <x:c r="E108" s="59"/>
      <x:c r="F108" s="59"/>
      <x:c r="G108" s="59"/>
      <x:c r="H108" s="59"/>
      <x:c r="I108" s="59"/>
      <x:c r="J108" s="59"/>
      <x:c r="K108" s="59"/>
      <x:c r="L108" s="59"/>
      <x:c r="M108" s="59"/>
      <x:c r="N108" s="59"/>
      <x:c r="O108" s="59"/>
    </x:row>
    <x:row r="109">
      <x:c r="A109" s="59"/>
      <x:c r="B109" s="59"/>
      <x:c r="C109" s="59"/>
      <x:c r="D109" s="59"/>
      <x:c r="E109" s="59"/>
      <x:c r="F109" s="59"/>
      <x:c r="G109" s="59"/>
      <x:c r="H109" s="59"/>
      <x:c r="I109" s="59"/>
      <x:c r="J109" s="59"/>
      <x:c r="K109" s="59"/>
      <x:c r="L109" s="59"/>
      <x:c r="M109" s="59"/>
      <x:c r="N109" s="59"/>
      <x:c r="O109" s="59"/>
    </x:row>
    <x:row r="110">
      <x:c r="A110" s="59"/>
      <x:c r="B110" s="59"/>
      <x:c r="C110" s="59"/>
      <x:c r="D110" s="59"/>
      <x:c r="E110" s="59"/>
      <x:c r="F110" s="59"/>
      <x:c r="G110" s="59"/>
      <x:c r="H110" s="59"/>
      <x:c r="I110" s="59"/>
      <x:c r="J110" s="59"/>
      <x:c r="K110" s="59"/>
      <x:c r="L110" s="59"/>
      <x:c r="M110" s="59"/>
      <x:c r="N110" s="59"/>
      <x:c r="O110" s="59"/>
    </x:row>
    <x:row r="111">
      <x:c r="A111" s="59"/>
      <x:c r="B111" s="59"/>
      <x:c r="C111" s="59"/>
      <x:c r="D111" s="59"/>
      <x:c r="E111" s="59"/>
      <x:c r="F111" s="59"/>
      <x:c r="G111" s="59"/>
      <x:c r="H111" s="59"/>
      <x:c r="I111" s="59"/>
      <x:c r="J111" s="59"/>
      <x:c r="K111" s="59"/>
      <x:c r="L111" s="59"/>
      <x:c r="M111" s="59"/>
      <x:c r="N111" s="59"/>
      <x:c r="O111" s="59"/>
    </x:row>
    <x:row r="112">
      <x:c r="A112" s="59"/>
      <x:c r="B112" s="59"/>
      <x:c r="C112" s="59"/>
      <x:c r="D112" s="59"/>
      <x:c r="E112" s="59"/>
      <x:c r="F112" s="59"/>
      <x:c r="G112" s="59"/>
      <x:c r="H112" s="59"/>
      <x:c r="I112" s="59"/>
      <x:c r="J112" s="59"/>
      <x:c r="K112" s="59"/>
      <x:c r="L112" s="59"/>
      <x:c r="M112" s="59"/>
      <x:c r="N112" s="59"/>
      <x:c r="O112" s="59"/>
    </x:row>
    <x:row r="113">
      <x:c r="A113" s="59"/>
      <x:c r="B113" s="59"/>
      <x:c r="C113" s="59"/>
      <x:c r="D113" s="59"/>
      <x:c r="E113" s="59"/>
      <x:c r="F113" s="59"/>
      <x:c r="G113" s="59"/>
      <x:c r="H113" s="59"/>
      <x:c r="I113" s="59"/>
      <x:c r="J113" s="59"/>
      <x:c r="K113" s="59"/>
      <x:c r="L113" s="59"/>
      <x:c r="M113" s="59"/>
      <x:c r="N113" s="59"/>
      <x:c r="O113" s="59"/>
    </x:row>
    <x:row r="114">
      <x:c r="A114" s="59"/>
      <x:c r="B114" s="59"/>
      <x:c r="C114" s="59"/>
      <x:c r="D114" s="59"/>
      <x:c r="E114" s="59"/>
      <x:c r="F114" s="59"/>
      <x:c r="G114" s="59"/>
      <x:c r="H114" s="59"/>
      <x:c r="I114" s="59"/>
      <x:c r="J114" s="59"/>
      <x:c r="K114" s="59"/>
      <x:c r="L114" s="59"/>
      <x:c r="M114" s="59"/>
      <x:c r="N114" s="59"/>
      <x:c r="O114" s="59"/>
    </x:row>
    <x:row r="115">
      <x:c r="A115" s="59"/>
      <x:c r="B115" s="59"/>
      <x:c r="C115" s="59"/>
      <x:c r="D115" s="59"/>
      <x:c r="E115" s="59"/>
      <x:c r="F115" s="59"/>
      <x:c r="G115" s="59"/>
      <x:c r="H115" s="59"/>
      <x:c r="I115" s="59"/>
      <x:c r="J115" s="59"/>
      <x:c r="K115" s="59"/>
      <x:c r="L115" s="59"/>
      <x:c r="M115" s="59"/>
      <x:c r="N115" s="59"/>
      <x:c r="O115" s="59"/>
    </x:row>
    <x:row r="116">
      <x:c r="A116" s="59"/>
      <x:c r="B116" s="59"/>
      <x:c r="C116" s="59"/>
      <x:c r="D116" s="59"/>
      <x:c r="E116" s="59"/>
      <x:c r="F116" s="59"/>
      <x:c r="G116" s="59"/>
      <x:c r="H116" s="59"/>
      <x:c r="I116" s="59"/>
      <x:c r="J116" s="59"/>
      <x:c r="K116" s="59"/>
      <x:c r="L116" s="59"/>
      <x:c r="M116" s="59"/>
      <x:c r="N116" s="59"/>
      <x:c r="O116" s="59"/>
    </x:row>
    <x:row r="117">
      <x:c r="A117" s="59"/>
      <x:c r="B117" s="59"/>
      <x:c r="C117" s="59"/>
      <x:c r="D117" s="59"/>
      <x:c r="E117" s="59"/>
      <x:c r="F117" s="59"/>
      <x:c r="G117" s="59"/>
      <x:c r="H117" s="59"/>
      <x:c r="I117" s="59"/>
      <x:c r="J117" s="59"/>
      <x:c r="K117" s="59"/>
      <x:c r="L117" s="59"/>
      <x:c r="M117" s="59"/>
      <x:c r="N117" s="59"/>
      <x:c r="O117" s="59"/>
    </x:row>
    <x:row r="118">
      <x:c r="A118" s="59"/>
      <x:c r="B118" s="59"/>
      <x:c r="C118" s="59"/>
      <x:c r="D118" s="59"/>
      <x:c r="E118" s="59"/>
      <x:c r="F118" s="59"/>
      <x:c r="G118" s="59"/>
      <x:c r="H118" s="59"/>
      <x:c r="I118" s="59"/>
      <x:c r="J118" s="59"/>
      <x:c r="K118" s="59"/>
      <x:c r="L118" s="59"/>
      <x:c r="M118" s="59"/>
      <x:c r="N118" s="59"/>
      <x:c r="O118" s="59"/>
    </x:row>
    <x:row r="119">
      <x:c r="A119" s="59"/>
      <x:c r="B119" s="59"/>
      <x:c r="C119" s="59"/>
      <x:c r="D119" s="59"/>
      <x:c r="E119" s="59"/>
      <x:c r="F119" s="59"/>
      <x:c r="G119" s="59"/>
      <x:c r="H119" s="59"/>
      <x:c r="I119" s="59"/>
      <x:c r="J119" s="59"/>
      <x:c r="K119" s="59"/>
      <x:c r="L119" s="59"/>
      <x:c r="M119" s="59"/>
      <x:c r="N119" s="59"/>
      <x:c r="O119" s="59"/>
    </x:row>
    <x:row r="120">
      <x:c r="A120" s="59"/>
      <x:c r="B120" s="59"/>
      <x:c r="C120" s="59"/>
      <x:c r="D120" s="59"/>
      <x:c r="E120" s="59"/>
      <x:c r="F120" s="59"/>
      <x:c r="G120" s="59"/>
      <x:c r="H120" s="59"/>
      <x:c r="I120" s="59"/>
      <x:c r="J120" s="59"/>
      <x:c r="K120" s="59"/>
      <x:c r="L120" s="59"/>
      <x:c r="M120" s="59"/>
      <x:c r="N120" s="59"/>
      <x:c r="O120" s="59"/>
    </x:row>
    <x:row r="121">
      <x:c r="A121" s="59"/>
      <x:c r="B121" s="59"/>
      <x:c r="C121" s="59"/>
      <x:c r="D121" s="59"/>
      <x:c r="E121" s="59"/>
      <x:c r="F121" s="59"/>
      <x:c r="G121" s="59"/>
      <x:c r="H121" s="59"/>
      <x:c r="I121" s="59"/>
      <x:c r="J121" s="59"/>
      <x:c r="K121" s="59"/>
      <x:c r="L121" s="59"/>
      <x:c r="M121" s="59"/>
      <x:c r="N121" s="59"/>
      <x:c r="O121" s="59"/>
    </x:row>
    <x:row r="122">
      <x:c r="A122" s="59"/>
      <x:c r="B122" s="59"/>
      <x:c r="C122" s="59"/>
      <x:c r="D122" s="59"/>
      <x:c r="E122" s="59"/>
      <x:c r="F122" s="59"/>
      <x:c r="G122" s="59"/>
      <x:c r="H122" s="59"/>
      <x:c r="I122" s="59"/>
      <x:c r="J122" s="59"/>
      <x:c r="K122" s="59"/>
      <x:c r="L122" s="59"/>
      <x:c r="M122" s="59"/>
      <x:c r="N122" s="59"/>
      <x:c r="O122" s="59"/>
    </x:row>
    <x:row r="123">
      <x:c r="A123" s="59"/>
      <x:c r="B123" s="59"/>
      <x:c r="C123" s="59"/>
      <x:c r="D123" s="59"/>
      <x:c r="E123" s="59"/>
      <x:c r="F123" s="59"/>
      <x:c r="G123" s="59"/>
      <x:c r="H123" s="59"/>
      <x:c r="I123" s="59"/>
      <x:c r="J123" s="59"/>
      <x:c r="K123" s="59"/>
      <x:c r="L123" s="59"/>
      <x:c r="M123" s="59"/>
      <x:c r="N123" s="59"/>
      <x:c r="O123" s="59"/>
    </x:row>
    <x:row r="124">
      <x:c r="A124" s="59"/>
      <x:c r="B124" s="59"/>
      <x:c r="C124" s="59"/>
      <x:c r="D124" s="59"/>
      <x:c r="E124" s="59"/>
      <x:c r="F124" s="59"/>
      <x:c r="G124" s="59"/>
      <x:c r="H124" s="59"/>
      <x:c r="I124" s="59"/>
      <x:c r="J124" s="59"/>
      <x:c r="K124" s="59"/>
      <x:c r="L124" s="59"/>
      <x:c r="M124" s="59"/>
      <x:c r="N124" s="59"/>
      <x:c r="O124" s="59"/>
    </x:row>
    <x:row r="125">
      <x:c r="A125" s="59"/>
      <x:c r="B125" s="59"/>
      <x:c r="C125" s="59"/>
      <x:c r="D125" s="59"/>
      <x:c r="E125" s="59"/>
      <x:c r="F125" s="59"/>
      <x:c r="G125" s="59"/>
      <x:c r="H125" s="59"/>
      <x:c r="I125" s="59"/>
      <x:c r="J125" s="59"/>
      <x:c r="K125" s="59"/>
      <x:c r="L125" s="59"/>
      <x:c r="M125" s="59"/>
      <x:c r="N125" s="59"/>
      <x:c r="O125" s="59"/>
    </x:row>
    <x:row r="126">
      <x:c r="A126" s="59"/>
      <x:c r="B126" s="59"/>
      <x:c r="C126" s="59"/>
      <x:c r="D126" s="59"/>
      <x:c r="E126" s="59"/>
      <x:c r="F126" s="59"/>
      <x:c r="G126" s="59"/>
      <x:c r="H126" s="59"/>
      <x:c r="I126" s="59"/>
      <x:c r="J126" s="59"/>
      <x:c r="K126" s="59"/>
      <x:c r="L126" s="59"/>
      <x:c r="M126" s="59"/>
      <x:c r="N126" s="59"/>
      <x:c r="O126" s="59"/>
    </x:row>
    <x:row r="127">
      <x:c r="A127" s="59"/>
      <x:c r="B127" s="59"/>
      <x:c r="C127" s="59"/>
      <x:c r="D127" s="59"/>
      <x:c r="E127" s="59"/>
      <x:c r="F127" s="59"/>
      <x:c r="G127" s="59"/>
      <x:c r="H127" s="59"/>
      <x:c r="I127" s="59"/>
      <x:c r="J127" s="59"/>
      <x:c r="K127" s="59"/>
      <x:c r="L127" s="59"/>
      <x:c r="M127" s="59"/>
      <x:c r="N127" s="59"/>
      <x:c r="O127" s="59"/>
    </x:row>
    <x:row r="128">
      <x:c r="A128" s="59"/>
      <x:c r="B128" s="59"/>
      <x:c r="C128" s="59"/>
      <x:c r="D128" s="59"/>
      <x:c r="E128" s="59"/>
      <x:c r="F128" s="59"/>
      <x:c r="G128" s="59"/>
      <x:c r="H128" s="59"/>
      <x:c r="I128" s="59"/>
      <x:c r="J128" s="59"/>
      <x:c r="K128" s="59"/>
      <x:c r="L128" s="59"/>
      <x:c r="M128" s="59"/>
      <x:c r="N128" s="59"/>
      <x:c r="O128" s="59"/>
    </x:row>
    <x:row r="129">
      <x:c r="A129" s="59"/>
      <x:c r="B129" s="59"/>
      <x:c r="C129" s="59"/>
      <x:c r="D129" s="59"/>
      <x:c r="E129" s="59"/>
      <x:c r="F129" s="59"/>
      <x:c r="G129" s="59"/>
      <x:c r="H129" s="59"/>
      <x:c r="I129" s="59"/>
      <x:c r="J129" s="59"/>
      <x:c r="K129" s="59"/>
      <x:c r="L129" s="59"/>
      <x:c r="M129" s="59"/>
      <x:c r="N129" s="59"/>
      <x:c r="O129" s="59"/>
    </x:row>
    <x:row r="130">
      <x:c r="A130" s="59"/>
      <x:c r="B130" s="59"/>
      <x:c r="C130" s="59"/>
      <x:c r="D130" s="59"/>
      <x:c r="E130" s="59"/>
      <x:c r="F130" s="59"/>
      <x:c r="G130" s="59"/>
      <x:c r="H130" s="59"/>
      <x:c r="I130" s="59"/>
      <x:c r="J130" s="59"/>
      <x:c r="K130" s="59"/>
      <x:c r="L130" s="59"/>
      <x:c r="M130" s="59"/>
      <x:c r="N130" s="59"/>
      <x:c r="O130" s="59"/>
    </x:row>
    <x:row r="131">
      <x:c r="A131" s="59"/>
      <x:c r="B131" s="59"/>
      <x:c r="C131" s="59"/>
      <x:c r="D131" s="59"/>
      <x:c r="E131" s="59"/>
      <x:c r="F131" s="59"/>
      <x:c r="G131" s="59"/>
      <x:c r="H131" s="59"/>
      <x:c r="I131" s="59"/>
      <x:c r="J131" s="59"/>
      <x:c r="K131" s="59"/>
      <x:c r="L131" s="59"/>
      <x:c r="M131" s="59"/>
      <x:c r="N131" s="59"/>
      <x:c r="O131" s="59"/>
    </x:row>
    <x:row r="132">
      <x:c r="A132" s="59"/>
      <x:c r="B132" s="59"/>
      <x:c r="C132" s="59"/>
      <x:c r="D132" s="59"/>
      <x:c r="E132" s="59"/>
      <x:c r="F132" s="59"/>
      <x:c r="G132" s="59"/>
      <x:c r="H132" s="59"/>
      <x:c r="I132" s="59"/>
      <x:c r="J132" s="59"/>
      <x:c r="K132" s="59"/>
      <x:c r="L132" s="59"/>
      <x:c r="M132" s="59"/>
      <x:c r="N132" s="59"/>
      <x:c r="O132" s="59"/>
    </x:row>
    <x:row r="133">
      <x:c r="A133" s="59"/>
      <x:c r="B133" s="59"/>
      <x:c r="C133" s="59"/>
      <x:c r="D133" s="59"/>
      <x:c r="E133" s="59"/>
      <x:c r="F133" s="59"/>
      <x:c r="G133" s="59"/>
      <x:c r="H133" s="59"/>
      <x:c r="I133" s="59"/>
      <x:c r="J133" s="59"/>
      <x:c r="K133" s="59"/>
      <x:c r="L133" s="59"/>
      <x:c r="M133" s="59"/>
      <x:c r="N133" s="59"/>
      <x:c r="O133" s="59"/>
    </x:row>
    <x:row r="134">
      <x:c r="A134" s="59"/>
      <x:c r="B134" s="59"/>
      <x:c r="C134" s="59"/>
      <x:c r="D134" s="59"/>
      <x:c r="E134" s="59"/>
      <x:c r="F134" s="59"/>
      <x:c r="G134" s="59"/>
      <x:c r="H134" s="59"/>
      <x:c r="I134" s="59"/>
      <x:c r="J134" s="59"/>
      <x:c r="K134" s="59"/>
      <x:c r="L134" s="59"/>
      <x:c r="M134" s="59"/>
      <x:c r="N134" s="59"/>
      <x:c r="O134" s="59"/>
    </x:row>
    <x:row r="135">
      <x:c r="A135" s="59"/>
      <x:c r="B135" s="59"/>
      <x:c r="C135" s="59"/>
      <x:c r="D135" s="59"/>
      <x:c r="E135" s="59"/>
      <x:c r="F135" s="59"/>
      <x:c r="G135" s="59"/>
      <x:c r="H135" s="59"/>
      <x:c r="I135" s="59"/>
      <x:c r="J135" s="59"/>
      <x:c r="K135" s="59"/>
      <x:c r="L135" s="59"/>
      <x:c r="M135" s="59"/>
      <x:c r="N135" s="59"/>
      <x:c r="O135" s="59"/>
    </x:row>
    <x:row r="136">
      <x:c r="A136" s="59"/>
      <x:c r="B136" s="59"/>
      <x:c r="C136" s="59"/>
      <x:c r="D136" s="59"/>
      <x:c r="E136" s="59"/>
      <x:c r="F136" s="59"/>
      <x:c r="G136" s="59"/>
      <x:c r="H136" s="59"/>
      <x:c r="I136" s="59"/>
      <x:c r="J136" s="59"/>
      <x:c r="K136" s="59"/>
      <x:c r="L136" s="59"/>
      <x:c r="M136" s="59"/>
      <x:c r="N136" s="59"/>
      <x:c r="O136" s="59"/>
    </x:row>
    <x:row r="137">
      <x:c r="A137" s="59"/>
      <x:c r="B137" s="59"/>
      <x:c r="C137" s="59"/>
      <x:c r="D137" s="59"/>
      <x:c r="E137" s="59"/>
      <x:c r="F137" s="59"/>
      <x:c r="G137" s="59"/>
      <x:c r="H137" s="59"/>
      <x:c r="I137" s="59"/>
      <x:c r="J137" s="59"/>
      <x:c r="K137" s="59"/>
      <x:c r="L137" s="59"/>
      <x:c r="M137" s="59"/>
      <x:c r="N137" s="59"/>
      <x:c r="O137" s="59"/>
    </x:row>
    <x:row r="138">
      <x:c r="A138" s="59"/>
      <x:c r="B138" s="59"/>
      <x:c r="C138" s="59"/>
      <x:c r="D138" s="59"/>
      <x:c r="E138" s="59"/>
      <x:c r="F138" s="59"/>
      <x:c r="G138" s="59"/>
      <x:c r="H138" s="59"/>
      <x:c r="I138" s="59"/>
      <x:c r="J138" s="59"/>
      <x:c r="K138" s="59"/>
      <x:c r="L138" s="59"/>
      <x:c r="M138" s="59"/>
      <x:c r="N138" s="59"/>
      <x:c r="O138" s="59"/>
    </x:row>
    <x:row r="139">
      <x:c r="A139" s="59"/>
      <x:c r="B139" s="59"/>
      <x:c r="C139" s="59"/>
      <x:c r="D139" s="59"/>
      <x:c r="E139" s="59"/>
      <x:c r="F139" s="59"/>
      <x:c r="G139" s="59"/>
      <x:c r="H139" s="59"/>
      <x:c r="I139" s="59"/>
      <x:c r="J139" s="59"/>
      <x:c r="K139" s="59"/>
      <x:c r="L139" s="59"/>
      <x:c r="M139" s="59"/>
      <x:c r="N139" s="59"/>
      <x:c r="O139" s="59"/>
    </x:row>
    <x:row r="140">
      <x:c r="A140" s="59"/>
      <x:c r="B140" s="59"/>
      <x:c r="C140" s="59"/>
      <x:c r="D140" s="59"/>
      <x:c r="E140" s="59"/>
      <x:c r="F140" s="59"/>
      <x:c r="G140" s="59"/>
      <x:c r="H140" s="59"/>
      <x:c r="I140" s="59"/>
      <x:c r="J140" s="59"/>
      <x:c r="K140" s="59"/>
      <x:c r="L140" s="59"/>
      <x:c r="M140" s="59"/>
      <x:c r="N140" s="59"/>
      <x:c r="O140" s="59"/>
    </x:row>
    <x:row r="141">
      <x:c r="A141" s="59"/>
      <x:c r="B141" s="59"/>
      <x:c r="C141" s="59"/>
      <x:c r="D141" s="59"/>
      <x:c r="E141" s="59"/>
      <x:c r="F141" s="59"/>
      <x:c r="G141" s="59"/>
      <x:c r="H141" s="59"/>
      <x:c r="I141" s="59"/>
      <x:c r="J141" s="59"/>
      <x:c r="K141" s="59"/>
      <x:c r="L141" s="59"/>
      <x:c r="M141" s="59"/>
      <x:c r="N141" s="59"/>
      <x:c r="O141" s="59"/>
    </x:row>
    <x:row r="142">
      <x:c r="A142" s="59"/>
      <x:c r="B142" s="59"/>
      <x:c r="C142" s="59"/>
      <x:c r="D142" s="59"/>
      <x:c r="E142" s="59"/>
      <x:c r="F142" s="59"/>
      <x:c r="G142" s="59"/>
      <x:c r="H142" s="59"/>
      <x:c r="I142" s="59"/>
      <x:c r="J142" s="59"/>
      <x:c r="K142" s="59"/>
      <x:c r="L142" s="59"/>
      <x:c r="M142" s="59"/>
      <x:c r="N142" s="59"/>
      <x:c r="O142" s="59"/>
    </x:row>
    <x:row r="143">
      <x:c r="A143" s="59"/>
      <x:c r="B143" s="59"/>
      <x:c r="C143" s="59"/>
      <x:c r="D143" s="59"/>
      <x:c r="E143" s="59"/>
      <x:c r="F143" s="59"/>
      <x:c r="G143" s="59"/>
      <x:c r="H143" s="59"/>
      <x:c r="I143" s="59"/>
      <x:c r="J143" s="59"/>
      <x:c r="K143" s="59"/>
      <x:c r="L143" s="59"/>
      <x:c r="M143" s="59"/>
      <x:c r="N143" s="59"/>
      <x:c r="O143" s="59"/>
    </x:row>
    <x:row r="144">
      <x:c r="A144" s="59"/>
      <x:c r="B144" s="59"/>
      <x:c r="C144" s="59"/>
      <x:c r="D144" s="59"/>
      <x:c r="E144" s="59"/>
      <x:c r="F144" s="59"/>
      <x:c r="G144" s="59"/>
      <x:c r="H144" s="59"/>
      <x:c r="I144" s="59"/>
      <x:c r="J144" s="59"/>
      <x:c r="K144" s="59"/>
      <x:c r="L144" s="59"/>
      <x:c r="M144" s="59"/>
      <x:c r="N144" s="59"/>
      <x:c r="O144" s="59"/>
    </x:row>
    <x:row r="145">
      <x:c r="A145" s="59"/>
      <x:c r="B145" s="59"/>
      <x:c r="C145" s="59"/>
      <x:c r="D145" s="59"/>
      <x:c r="E145" s="59"/>
      <x:c r="F145" s="59"/>
      <x:c r="G145" s="59"/>
      <x:c r="H145" s="59"/>
      <x:c r="I145" s="59"/>
      <x:c r="J145" s="59"/>
      <x:c r="K145" s="59"/>
      <x:c r="L145" s="59"/>
      <x:c r="M145" s="59"/>
      <x:c r="N145" s="59"/>
      <x:c r="O145" s="59"/>
    </x:row>
    <x:row r="146">
      <x:c r="A146" s="59"/>
      <x:c r="B146" s="59"/>
      <x:c r="C146" s="59"/>
      <x:c r="D146" s="59"/>
      <x:c r="E146" s="59"/>
      <x:c r="F146" s="59"/>
      <x:c r="G146" s="59"/>
      <x:c r="H146" s="59"/>
      <x:c r="I146" s="59"/>
      <x:c r="J146" s="59"/>
      <x:c r="K146" s="59"/>
      <x:c r="L146" s="59"/>
      <x:c r="M146" s="59"/>
      <x:c r="N146" s="59"/>
      <x:c r="O146" s="59"/>
    </x:row>
    <x:row r="147">
      <x:c r="A147" s="59"/>
      <x:c r="B147" s="59"/>
      <x:c r="C147" s="59"/>
      <x:c r="D147" s="59"/>
      <x:c r="E147" s="59"/>
      <x:c r="F147" s="59"/>
      <x:c r="G147" s="59"/>
      <x:c r="H147" s="59"/>
      <x:c r="I147" s="59"/>
      <x:c r="J147" s="59"/>
      <x:c r="K147" s="59"/>
      <x:c r="L147" s="59"/>
      <x:c r="M147" s="59"/>
      <x:c r="N147" s="59"/>
      <x:c r="O147" s="59"/>
    </x:row>
    <x:row r="148">
      <x:c r="A148" s="59"/>
      <x:c r="B148" s="59"/>
      <x:c r="C148" s="59"/>
      <x:c r="D148" s="59"/>
      <x:c r="E148" s="59"/>
      <x:c r="F148" s="59"/>
      <x:c r="G148" s="59"/>
      <x:c r="H148" s="59"/>
      <x:c r="I148" s="59"/>
      <x:c r="J148" s="59"/>
      <x:c r="K148" s="59"/>
      <x:c r="L148" s="59"/>
      <x:c r="M148" s="59"/>
      <x:c r="N148" s="59"/>
      <x:c r="O148" s="59"/>
    </x:row>
    <x:row r="149">
      <x:c r="A149" s="59"/>
      <x:c r="B149" s="59"/>
      <x:c r="C149" s="59"/>
      <x:c r="D149" s="59"/>
      <x:c r="E149" s="59"/>
      <x:c r="F149" s="59"/>
      <x:c r="G149" s="59"/>
      <x:c r="H149" s="59"/>
      <x:c r="I149" s="59"/>
      <x:c r="J149" s="59"/>
      <x:c r="K149" s="59"/>
      <x:c r="L149" s="59"/>
      <x:c r="M149" s="59"/>
      <x:c r="N149" s="59"/>
      <x:c r="O149" s="59"/>
    </x:row>
    <x:row r="150">
      <x:c r="A150" s="59"/>
      <x:c r="B150" s="59"/>
      <x:c r="C150" s="59"/>
      <x:c r="D150" s="59"/>
      <x:c r="E150" s="59"/>
      <x:c r="F150" s="59"/>
      <x:c r="G150" s="59"/>
      <x:c r="H150" s="59"/>
      <x:c r="I150" s="59"/>
      <x:c r="J150" s="59"/>
      <x:c r="K150" s="59"/>
      <x:c r="L150" s="59"/>
      <x:c r="M150" s="59"/>
      <x:c r="N150" s="59"/>
      <x:c r="O150" s="59"/>
    </x:row>
    <x:row r="151">
      <x:c r="A151" s="59"/>
      <x:c r="B151" s="59"/>
      <x:c r="C151" s="59"/>
      <x:c r="D151" s="59"/>
      <x:c r="E151" s="59"/>
      <x:c r="F151" s="59"/>
      <x:c r="G151" s="59"/>
      <x:c r="H151" s="59"/>
      <x:c r="I151" s="59"/>
      <x:c r="J151" s="59"/>
      <x:c r="K151" s="59"/>
      <x:c r="L151" s="59"/>
      <x:c r="M151" s="59"/>
      <x:c r="N151" s="59"/>
      <x:c r="O151" s="59"/>
    </x:row>
    <x:row r="152">
      <x:c r="A152" s="59"/>
      <x:c r="B152" s="59"/>
      <x:c r="C152" s="59"/>
      <x:c r="D152" s="59"/>
      <x:c r="E152" s="59"/>
      <x:c r="F152" s="59"/>
      <x:c r="G152" s="59"/>
      <x:c r="H152" s="59"/>
      <x:c r="I152" s="59"/>
      <x:c r="J152" s="59"/>
      <x:c r="K152" s="59"/>
      <x:c r="L152" s="59"/>
      <x:c r="M152" s="59"/>
      <x:c r="N152" s="59"/>
      <x:c r="O152" s="59"/>
    </x:row>
    <x:row r="153">
      <x:c r="A153" s="59"/>
      <x:c r="B153" s="59"/>
      <x:c r="C153" s="59"/>
      <x:c r="D153" s="59"/>
      <x:c r="E153" s="59"/>
      <x:c r="F153" s="59"/>
      <x:c r="G153" s="59"/>
      <x:c r="H153" s="59"/>
      <x:c r="I153" s="59"/>
      <x:c r="J153" s="59"/>
      <x:c r="K153" s="59"/>
      <x:c r="L153" s="59"/>
      <x:c r="M153" s="59"/>
      <x:c r="N153" s="59"/>
      <x:c r="O153" s="59"/>
    </x:row>
    <x:row r="154">
      <x:c r="A154" s="59"/>
      <x:c r="B154" s="59"/>
      <x:c r="C154" s="59"/>
      <x:c r="D154" s="59"/>
      <x:c r="E154" s="59"/>
      <x:c r="F154" s="59"/>
      <x:c r="G154" s="59"/>
      <x:c r="H154" s="59"/>
      <x:c r="I154" s="59"/>
      <x:c r="J154" s="59"/>
      <x:c r="K154" s="59"/>
      <x:c r="L154" s="59"/>
      <x:c r="M154" s="59"/>
      <x:c r="N154" s="59"/>
      <x:c r="O154" s="59"/>
    </x:row>
    <x:row r="155">
      <x:c r="A155" s="59"/>
      <x:c r="B155" s="59"/>
      <x:c r="C155" s="59"/>
      <x:c r="D155" s="59"/>
      <x:c r="E155" s="59"/>
      <x:c r="F155" s="59"/>
      <x:c r="G155" s="59"/>
      <x:c r="H155" s="59"/>
      <x:c r="I155" s="59"/>
      <x:c r="J155" s="59"/>
      <x:c r="K155" s="59"/>
      <x:c r="L155" s="59"/>
      <x:c r="M155" s="59"/>
      <x:c r="N155" s="59"/>
      <x:c r="O155" s="59"/>
    </x:row>
    <x:row r="156">
      <x:c r="A156" s="59"/>
      <x:c r="B156" s="59"/>
      <x:c r="C156" s="59"/>
      <x:c r="D156" s="59"/>
      <x:c r="E156" s="59"/>
      <x:c r="F156" s="59"/>
      <x:c r="G156" s="59"/>
      <x:c r="H156" s="59"/>
      <x:c r="I156" s="59"/>
      <x:c r="J156" s="59"/>
      <x:c r="K156" s="59"/>
      <x:c r="L156" s="59"/>
      <x:c r="M156" s="59"/>
      <x:c r="N156" s="59"/>
      <x:c r="O156" s="59"/>
    </x:row>
    <x:row r="157">
      <x:c r="A157" s="59"/>
      <x:c r="B157" s="59"/>
      <x:c r="C157" s="59"/>
      <x:c r="D157" s="59"/>
      <x:c r="E157" s="59"/>
      <x:c r="F157" s="59"/>
      <x:c r="G157" s="59"/>
      <x:c r="H157" s="59"/>
      <x:c r="I157" s="59"/>
      <x:c r="J157" s="59"/>
      <x:c r="K157" s="59"/>
      <x:c r="L157" s="59"/>
      <x:c r="M157" s="59"/>
      <x:c r="N157" s="59"/>
      <x:c r="O157" s="59"/>
    </x:row>
    <x:row r="158">
      <x:c r="A158" s="59"/>
      <x:c r="B158" s="59"/>
      <x:c r="C158" s="59"/>
      <x:c r="D158" s="59"/>
      <x:c r="E158" s="59"/>
      <x:c r="F158" s="59"/>
      <x:c r="G158" s="59"/>
      <x:c r="H158" s="59"/>
      <x:c r="I158" s="59"/>
      <x:c r="J158" s="59"/>
      <x:c r="K158" s="59"/>
      <x:c r="L158" s="59"/>
      <x:c r="M158" s="59"/>
      <x:c r="N158" s="59"/>
      <x:c r="O158" s="59"/>
    </x:row>
    <x:row r="159">
      <x:c r="A159" s="59"/>
      <x:c r="B159" s="59"/>
      <x:c r="C159" s="59"/>
      <x:c r="D159" s="59"/>
      <x:c r="E159" s="59"/>
      <x:c r="F159" s="59"/>
      <x:c r="G159" s="59"/>
      <x:c r="H159" s="59"/>
      <x:c r="I159" s="59"/>
      <x:c r="J159" s="59"/>
      <x:c r="K159" s="59"/>
      <x:c r="L159" s="59"/>
      <x:c r="M159" s="59"/>
      <x:c r="N159" s="59"/>
      <x:c r="O159" s="59"/>
    </x:row>
    <x:row r="160">
      <x:c r="A160" s="59"/>
      <x:c r="B160" s="59"/>
      <x:c r="C160" s="59"/>
      <x:c r="D160" s="59"/>
      <x:c r="E160" s="59"/>
      <x:c r="F160" s="59"/>
      <x:c r="G160" s="59"/>
      <x:c r="H160" s="59"/>
      <x:c r="I160" s="59"/>
      <x:c r="J160" s="59"/>
      <x:c r="K160" s="59"/>
      <x:c r="L160" s="59"/>
      <x:c r="M160" s="59"/>
      <x:c r="N160" s="59"/>
      <x:c r="O160" s="59"/>
    </x:row>
    <x:row r="161">
      <x:c r="A161" s="59"/>
      <x:c r="B161" s="59"/>
      <x:c r="C161" s="59"/>
      <x:c r="D161" s="59"/>
      <x:c r="E161" s="59"/>
      <x:c r="F161" s="59"/>
      <x:c r="G161" s="59"/>
      <x:c r="H161" s="59"/>
      <x:c r="I161" s="59"/>
      <x:c r="J161" s="59"/>
      <x:c r="K161" s="59"/>
      <x:c r="L161" s="59"/>
      <x:c r="M161" s="59"/>
      <x:c r="N161" s="59"/>
      <x:c r="O161" s="59"/>
    </x:row>
    <x:row r="162">
      <x:c r="A162" s="59"/>
      <x:c r="B162" s="59"/>
      <x:c r="C162" s="59"/>
      <x:c r="D162" s="59"/>
      <x:c r="E162" s="59"/>
      <x:c r="F162" s="59"/>
      <x:c r="G162" s="59"/>
      <x:c r="H162" s="59"/>
      <x:c r="I162" s="59"/>
      <x:c r="J162" s="59"/>
      <x:c r="K162" s="59"/>
      <x:c r="L162" s="59"/>
      <x:c r="M162" s="59"/>
      <x:c r="N162" s="59"/>
      <x:c r="O162" s="59"/>
    </x:row>
    <x:row r="163">
      <x:c r="A163" s="59"/>
      <x:c r="B163" s="59"/>
      <x:c r="C163" s="59"/>
      <x:c r="D163" s="59"/>
      <x:c r="E163" s="59"/>
      <x:c r="F163" s="59"/>
      <x:c r="G163" s="59"/>
      <x:c r="H163" s="59"/>
      <x:c r="I163" s="59"/>
      <x:c r="J163" s="59"/>
      <x:c r="K163" s="59"/>
      <x:c r="L163" s="59"/>
      <x:c r="M163" s="59"/>
      <x:c r="N163" s="59"/>
      <x:c r="O163" s="59"/>
    </x:row>
    <x:row r="164">
      <x:c r="A164" s="59"/>
      <x:c r="B164" s="59"/>
      <x:c r="C164" s="59"/>
      <x:c r="D164" s="59"/>
      <x:c r="E164" s="59"/>
      <x:c r="F164" s="59"/>
      <x:c r="G164" s="59"/>
      <x:c r="H164" s="59"/>
      <x:c r="I164" s="59"/>
      <x:c r="J164" s="59"/>
      <x:c r="K164" s="59"/>
      <x:c r="L164" s="59"/>
      <x:c r="M164" s="59"/>
      <x:c r="N164" s="59"/>
      <x:c r="O164" s="59"/>
    </x:row>
    <x:row r="165">
      <x:c r="A165" s="59"/>
      <x:c r="B165" s="59"/>
      <x:c r="C165" s="59"/>
      <x:c r="D165" s="59"/>
      <x:c r="E165" s="59"/>
      <x:c r="F165" s="59"/>
      <x:c r="G165" s="59"/>
      <x:c r="H165" s="59"/>
      <x:c r="I165" s="59"/>
      <x:c r="J165" s="59"/>
      <x:c r="K165" s="59"/>
      <x:c r="L165" s="59"/>
      <x:c r="M165" s="59"/>
      <x:c r="N165" s="59"/>
      <x:c r="O165" s="59"/>
    </x:row>
    <x:row r="166">
      <x:c r="A166" s="59"/>
      <x:c r="B166" s="59"/>
      <x:c r="C166" s="59"/>
      <x:c r="D166" s="59"/>
      <x:c r="E166" s="59"/>
      <x:c r="F166" s="59"/>
      <x:c r="G166" s="59"/>
      <x:c r="H166" s="59"/>
      <x:c r="I166" s="59"/>
      <x:c r="J166" s="59"/>
      <x:c r="K166" s="59"/>
      <x:c r="L166" s="59"/>
      <x:c r="M166" s="59"/>
      <x:c r="N166" s="59"/>
      <x:c r="O166" s="59"/>
    </x:row>
    <x:row r="167">
      <x:c r="A167" s="59"/>
      <x:c r="B167" s="59"/>
      <x:c r="C167" s="59"/>
      <x:c r="D167" s="59"/>
      <x:c r="E167" s="59"/>
      <x:c r="F167" s="59"/>
      <x:c r="G167" s="59"/>
      <x:c r="H167" s="59"/>
      <x:c r="I167" s="59"/>
      <x:c r="J167" s="59"/>
      <x:c r="K167" s="59"/>
      <x:c r="L167" s="59"/>
      <x:c r="M167" s="59"/>
      <x:c r="N167" s="59"/>
      <x:c r="O167" s="59"/>
    </x:row>
    <x:row r="168">
      <x:c r="A168" s="59"/>
      <x:c r="B168" s="59"/>
      <x:c r="C168" s="59"/>
      <x:c r="D168" s="59"/>
      <x:c r="E168" s="59"/>
      <x:c r="F168" s="59"/>
      <x:c r="G168" s="59"/>
      <x:c r="H168" s="59"/>
      <x:c r="I168" s="59"/>
      <x:c r="J168" s="59"/>
      <x:c r="K168" s="59"/>
      <x:c r="L168" s="59"/>
      <x:c r="M168" s="59"/>
      <x:c r="N168" s="59"/>
      <x:c r="O168" s="59"/>
    </x:row>
    <x:row r="169">
      <x:c r="A169" s="59"/>
      <x:c r="B169" s="59"/>
      <x:c r="C169" s="59"/>
      <x:c r="D169" s="59"/>
      <x:c r="E169" s="59"/>
      <x:c r="F169" s="59"/>
      <x:c r="G169" s="59"/>
      <x:c r="H169" s="59"/>
      <x:c r="I169" s="59"/>
      <x:c r="J169" s="59"/>
      <x:c r="K169" s="59"/>
      <x:c r="L169" s="59"/>
      <x:c r="M169" s="59"/>
      <x:c r="N169" s="59"/>
      <x:c r="O169" s="59"/>
    </x:row>
    <x:row r="170">
      <x:c r="A170" s="59"/>
      <x:c r="B170" s="59"/>
      <x:c r="C170" s="59"/>
      <x:c r="D170" s="59"/>
      <x:c r="E170" s="59"/>
      <x:c r="F170" s="59"/>
      <x:c r="G170" s="59"/>
      <x:c r="H170" s="59"/>
      <x:c r="I170" s="59"/>
      <x:c r="J170" s="59"/>
      <x:c r="K170" s="59"/>
      <x:c r="L170" s="59"/>
      <x:c r="M170" s="59"/>
      <x:c r="N170" s="59"/>
      <x:c r="O170" s="59"/>
    </x:row>
    <x:row r="171">
      <x:c r="A171" s="59"/>
      <x:c r="B171" s="59"/>
      <x:c r="C171" s="59"/>
      <x:c r="D171" s="59"/>
      <x:c r="E171" s="59"/>
      <x:c r="F171" s="59"/>
      <x:c r="G171" s="59"/>
      <x:c r="H171" s="59"/>
      <x:c r="I171" s="59"/>
      <x:c r="J171" s="59"/>
      <x:c r="K171" s="59"/>
      <x:c r="L171" s="59"/>
      <x:c r="M171" s="59"/>
      <x:c r="N171" s="59"/>
      <x:c r="O171" s="59"/>
    </x:row>
    <x:row r="172">
      <x:c r="A172" s="59"/>
      <x:c r="B172" s="59"/>
      <x:c r="C172" s="59"/>
      <x:c r="D172" s="59"/>
      <x:c r="E172" s="59"/>
      <x:c r="F172" s="59"/>
      <x:c r="G172" s="59"/>
      <x:c r="H172" s="59"/>
      <x:c r="I172" s="59"/>
      <x:c r="J172" s="59"/>
      <x:c r="K172" s="59"/>
      <x:c r="L172" s="59"/>
      <x:c r="M172" s="59"/>
      <x:c r="N172" s="59"/>
      <x:c r="O172" s="59"/>
    </x:row>
    <x:row r="173">
      <x:c r="A173" s="59"/>
      <x:c r="B173" s="59"/>
      <x:c r="C173" s="59"/>
      <x:c r="D173" s="59"/>
      <x:c r="E173" s="59"/>
      <x:c r="F173" s="59"/>
      <x:c r="G173" s="59"/>
      <x:c r="H173" s="59"/>
      <x:c r="I173" s="59"/>
      <x:c r="J173" s="59"/>
      <x:c r="K173" s="59"/>
      <x:c r="L173" s="59"/>
      <x:c r="M173" s="59"/>
      <x:c r="N173" s="59"/>
      <x:c r="O173" s="59"/>
    </x:row>
    <x:row r="174">
      <x:c r="A174" s="59"/>
      <x:c r="B174" s="59"/>
      <x:c r="C174" s="59"/>
      <x:c r="D174" s="59"/>
      <x:c r="E174" s="59"/>
      <x:c r="F174" s="59"/>
      <x:c r="G174" s="59"/>
      <x:c r="H174" s="59"/>
      <x:c r="I174" s="59"/>
      <x:c r="J174" s="59"/>
      <x:c r="K174" s="59"/>
      <x:c r="L174" s="59"/>
      <x:c r="M174" s="59"/>
      <x:c r="N174" s="59"/>
      <x:c r="O174" s="59"/>
    </x:row>
    <x:row r="175">
      <x:c r="A175" s="59"/>
      <x:c r="B175" s="59"/>
      <x:c r="C175" s="59"/>
      <x:c r="D175" s="59"/>
      <x:c r="E175" s="59"/>
      <x:c r="F175" s="59"/>
      <x:c r="G175" s="59"/>
      <x:c r="H175" s="59"/>
      <x:c r="I175" s="59"/>
      <x:c r="J175" s="59"/>
      <x:c r="K175" s="59"/>
      <x:c r="L175" s="59"/>
      <x:c r="M175" s="59"/>
      <x:c r="N175" s="59"/>
      <x:c r="O175" s="59"/>
    </x:row>
    <x:row r="176">
      <x:c r="A176" s="59"/>
      <x:c r="B176" s="59"/>
      <x:c r="C176" s="59"/>
      <x:c r="D176" s="59"/>
      <x:c r="E176" s="59"/>
      <x:c r="F176" s="59"/>
      <x:c r="G176" s="59"/>
      <x:c r="H176" s="59"/>
      <x:c r="I176" s="59"/>
      <x:c r="J176" s="59"/>
      <x:c r="K176" s="59"/>
      <x:c r="L176" s="59"/>
      <x:c r="M176" s="59"/>
      <x:c r="N176" s="59"/>
      <x:c r="O176" s="59"/>
    </x:row>
    <x:row r="177">
      <x:c r="A177" s="59"/>
      <x:c r="B177" s="59"/>
      <x:c r="C177" s="59"/>
      <x:c r="D177" s="59"/>
      <x:c r="E177" s="59"/>
      <x:c r="F177" s="59"/>
      <x:c r="G177" s="59"/>
      <x:c r="H177" s="59"/>
      <x:c r="I177" s="59"/>
      <x:c r="J177" s="59"/>
      <x:c r="K177" s="59"/>
      <x:c r="L177" s="59"/>
      <x:c r="M177" s="59"/>
      <x:c r="N177" s="59"/>
      <x:c r="O177" s="59"/>
    </x:row>
    <x:row r="178">
      <x:c r="A178" s="59"/>
      <x:c r="B178" s="59"/>
      <x:c r="C178" s="59"/>
      <x:c r="D178" s="59"/>
      <x:c r="E178" s="59"/>
      <x:c r="F178" s="59"/>
      <x:c r="G178" s="59"/>
      <x:c r="H178" s="59"/>
      <x:c r="I178" s="59"/>
      <x:c r="J178" s="59"/>
      <x:c r="K178" s="59"/>
      <x:c r="L178" s="59"/>
      <x:c r="M178" s="59"/>
      <x:c r="N178" s="59"/>
      <x:c r="O178" s="59"/>
    </x:row>
    <x:row r="179">
      <x:c r="A179" s="59"/>
      <x:c r="B179" s="59"/>
      <x:c r="C179" s="59"/>
      <x:c r="D179" s="59"/>
      <x:c r="E179" s="59"/>
      <x:c r="F179" s="59"/>
      <x:c r="G179" s="59"/>
      <x:c r="H179" s="59"/>
      <x:c r="I179" s="59"/>
      <x:c r="J179" s="59"/>
      <x:c r="K179" s="59"/>
      <x:c r="L179" s="59"/>
      <x:c r="M179" s="59"/>
      <x:c r="N179" s="59"/>
      <x:c r="O179" s="59"/>
    </x:row>
    <x:row r="180">
      <x:c r="A180" s="59"/>
      <x:c r="B180" s="59"/>
      <x:c r="C180" s="59"/>
      <x:c r="D180" s="59"/>
      <x:c r="E180" s="59"/>
      <x:c r="F180" s="59"/>
      <x:c r="G180" s="59"/>
      <x:c r="H180" s="59"/>
      <x:c r="I180" s="59"/>
      <x:c r="J180" s="59"/>
      <x:c r="K180" s="59"/>
      <x:c r="L180" s="59"/>
      <x:c r="M180" s="59"/>
      <x:c r="N180" s="59"/>
      <x:c r="O180" s="59"/>
    </x:row>
    <x:row r="181">
      <x:c r="A181" s="59"/>
      <x:c r="B181" s="59"/>
      <x:c r="C181" s="59"/>
      <x:c r="D181" s="59"/>
      <x:c r="E181" s="59"/>
      <x:c r="F181" s="59"/>
      <x:c r="G181" s="59"/>
      <x:c r="H181" s="59"/>
      <x:c r="I181" s="59"/>
      <x:c r="J181" s="59"/>
      <x:c r="K181" s="59"/>
      <x:c r="L181" s="59"/>
      <x:c r="M181" s="59"/>
      <x:c r="N181" s="59"/>
      <x:c r="O181" s="59"/>
    </x:row>
    <x:row r="182">
      <x:c r="A182" s="59"/>
      <x:c r="B182" s="59"/>
      <x:c r="C182" s="59"/>
      <x:c r="D182" s="59"/>
      <x:c r="E182" s="59"/>
      <x:c r="F182" s="59"/>
      <x:c r="G182" s="59"/>
      <x:c r="H182" s="59"/>
      <x:c r="I182" s="59"/>
      <x:c r="J182" s="59"/>
      <x:c r="K182" s="59"/>
      <x:c r="L182" s="59"/>
      <x:c r="M182" s="59"/>
      <x:c r="N182" s="59"/>
      <x:c r="O182" s="59"/>
    </x:row>
    <x:row r="183">
      <x:c r="A183" s="59"/>
      <x:c r="B183" s="59"/>
      <x:c r="C183" s="59"/>
      <x:c r="D183" s="59"/>
      <x:c r="E183" s="59"/>
      <x:c r="F183" s="59"/>
      <x:c r="G183" s="59"/>
      <x:c r="H183" s="59"/>
      <x:c r="I183" s="59"/>
      <x:c r="J183" s="59"/>
      <x:c r="K183" s="59"/>
      <x:c r="L183" s="59"/>
      <x:c r="M183" s="59"/>
      <x:c r="N183" s="59"/>
      <x:c r="O183" s="59"/>
    </x:row>
    <x:row r="184">
      <x:c r="A184" s="59"/>
      <x:c r="B184" s="59"/>
      <x:c r="C184" s="59"/>
      <x:c r="D184" s="59"/>
      <x:c r="E184" s="59"/>
      <x:c r="F184" s="59"/>
      <x:c r="G184" s="59"/>
      <x:c r="H184" s="59"/>
      <x:c r="I184" s="59"/>
      <x:c r="J184" s="59"/>
      <x:c r="K184" s="59"/>
      <x:c r="L184" s="59"/>
      <x:c r="M184" s="59"/>
      <x:c r="N184" s="59"/>
      <x:c r="O184" s="59"/>
    </x:row>
    <x:row r="185">
      <x:c r="A185" s="59"/>
      <x:c r="B185" s="59"/>
      <x:c r="C185" s="59"/>
      <x:c r="D185" s="59"/>
      <x:c r="E185" s="59"/>
      <x:c r="F185" s="59"/>
      <x:c r="G185" s="59"/>
      <x:c r="H185" s="59"/>
      <x:c r="I185" s="59"/>
      <x:c r="J185" s="59"/>
      <x:c r="K185" s="59"/>
      <x:c r="L185" s="59"/>
      <x:c r="M185" s="59"/>
      <x:c r="N185" s="59"/>
      <x:c r="O185" s="59"/>
    </x:row>
    <x:row r="186">
      <x:c r="A186" s="59"/>
      <x:c r="B186" s="59"/>
      <x:c r="C186" s="59"/>
      <x:c r="D186" s="59"/>
      <x:c r="E186" s="59"/>
      <x:c r="F186" s="59"/>
      <x:c r="G186" s="59"/>
      <x:c r="H186" s="59"/>
      <x:c r="I186" s="59"/>
      <x:c r="J186" s="59"/>
      <x:c r="K186" s="59"/>
      <x:c r="L186" s="59"/>
      <x:c r="M186" s="59"/>
      <x:c r="N186" s="59"/>
      <x:c r="O186" s="59"/>
    </x:row>
    <x:row r="187">
      <x:c r="A187" s="59"/>
      <x:c r="B187" s="59"/>
      <x:c r="C187" s="59"/>
      <x:c r="D187" s="59"/>
      <x:c r="E187" s="59"/>
      <x:c r="F187" s="59"/>
      <x:c r="G187" s="59"/>
      <x:c r="H187" s="59"/>
      <x:c r="I187" s="59"/>
      <x:c r="J187" s="59"/>
      <x:c r="K187" s="59"/>
      <x:c r="L187" s="59"/>
      <x:c r="M187" s="59"/>
      <x:c r="N187" s="59"/>
      <x:c r="O187" s="59"/>
    </x:row>
    <x:row r="188">
      <x:c r="A188" s="59"/>
      <x:c r="B188" s="59"/>
      <x:c r="C188" s="59"/>
      <x:c r="D188" s="59"/>
      <x:c r="E188" s="59"/>
      <x:c r="F188" s="59"/>
      <x:c r="G188" s="59"/>
      <x:c r="H188" s="59"/>
      <x:c r="I188" s="59"/>
      <x:c r="J188" s="59"/>
      <x:c r="K188" s="59"/>
      <x:c r="L188" s="59"/>
      <x:c r="M188" s="59"/>
      <x:c r="N188" s="59"/>
      <x:c r="O188" s="59"/>
    </x:row>
    <x:row r="189">
      <x:c r="A189" s="59"/>
      <x:c r="B189" s="59"/>
      <x:c r="C189" s="59"/>
      <x:c r="D189" s="59"/>
      <x:c r="E189" s="59"/>
      <x:c r="F189" s="59"/>
      <x:c r="G189" s="59"/>
      <x:c r="H189" s="59"/>
      <x:c r="I189" s="59"/>
      <x:c r="J189" s="59"/>
      <x:c r="K189" s="59"/>
      <x:c r="L189" s="59"/>
      <x:c r="M189" s="59"/>
      <x:c r="N189" s="59"/>
      <x:c r="O189" s="59"/>
    </x:row>
    <x:row r="190">
      <x:c r="A190" s="59"/>
      <x:c r="B190" s="59"/>
      <x:c r="C190" s="59"/>
      <x:c r="D190" s="59"/>
      <x:c r="E190" s="59"/>
      <x:c r="F190" s="59"/>
      <x:c r="G190" s="59"/>
      <x:c r="H190" s="59"/>
      <x:c r="I190" s="59"/>
      <x:c r="J190" s="59"/>
      <x:c r="K190" s="59"/>
      <x:c r="L190" s="59"/>
      <x:c r="M190" s="59"/>
      <x:c r="N190" s="59"/>
      <x:c r="O190" s="59"/>
    </x:row>
    <x:row r="191">
      <x:c r="A191" s="59"/>
      <x:c r="B191" s="59"/>
      <x:c r="C191" s="59"/>
      <x:c r="D191" s="59"/>
      <x:c r="E191" s="59"/>
      <x:c r="F191" s="59"/>
      <x:c r="G191" s="59"/>
      <x:c r="H191" s="59"/>
      <x:c r="I191" s="59"/>
      <x:c r="J191" s="59"/>
      <x:c r="K191" s="59"/>
      <x:c r="L191" s="59"/>
      <x:c r="M191" s="59"/>
      <x:c r="N191" s="59"/>
      <x:c r="O191" s="59"/>
    </x:row>
    <x:row r="192">
      <x:c r="A192" s="59"/>
      <x:c r="B192" s="59"/>
      <x:c r="C192" s="59"/>
      <x:c r="D192" s="59"/>
      <x:c r="E192" s="59"/>
      <x:c r="F192" s="59"/>
      <x:c r="G192" s="59"/>
      <x:c r="H192" s="59"/>
      <x:c r="I192" s="59"/>
      <x:c r="J192" s="59"/>
      <x:c r="K192" s="59"/>
      <x:c r="L192" s="59"/>
      <x:c r="M192" s="59"/>
      <x:c r="N192" s="59"/>
      <x:c r="O192" s="59"/>
    </x:row>
    <x:row r="193">
      <x:c r="A193" s="59"/>
      <x:c r="B193" s="59"/>
      <x:c r="C193" s="59"/>
      <x:c r="D193" s="59"/>
      <x:c r="E193" s="59"/>
      <x:c r="F193" s="59"/>
      <x:c r="G193" s="59"/>
      <x:c r="H193" s="59"/>
      <x:c r="I193" s="59"/>
      <x:c r="J193" s="59"/>
      <x:c r="K193" s="59"/>
      <x:c r="L193" s="59"/>
      <x:c r="M193" s="59"/>
      <x:c r="N193" s="59"/>
      <x:c r="O193" s="59"/>
    </x:row>
    <x:row r="194">
      <x:c r="A194" s="59"/>
      <x:c r="B194" s="59"/>
      <x:c r="C194" s="59"/>
      <x:c r="D194" s="59"/>
      <x:c r="E194" s="59"/>
      <x:c r="F194" s="59"/>
      <x:c r="G194" s="59"/>
      <x:c r="H194" s="59"/>
      <x:c r="I194" s="59"/>
      <x:c r="J194" s="59"/>
      <x:c r="K194" s="59"/>
      <x:c r="L194" s="59"/>
      <x:c r="M194" s="59"/>
      <x:c r="N194" s="59"/>
      <x:c r="O194" s="59"/>
    </x:row>
    <x:row r="195">
      <x:c r="A195" s="59"/>
      <x:c r="B195" s="59"/>
      <x:c r="C195" s="59"/>
      <x:c r="D195" s="59"/>
      <x:c r="E195" s="59"/>
      <x:c r="F195" s="59"/>
      <x:c r="G195" s="59"/>
      <x:c r="H195" s="59"/>
      <x:c r="I195" s="59"/>
      <x:c r="J195" s="59"/>
      <x:c r="K195" s="59"/>
      <x:c r="L195" s="59"/>
      <x:c r="M195" s="59"/>
      <x:c r="N195" s="59"/>
      <x:c r="O195" s="59"/>
    </x:row>
    <x:row r="196">
      <x:c r="A196" s="59"/>
      <x:c r="B196" s="59"/>
      <x:c r="C196" s="59"/>
      <x:c r="D196" s="59"/>
      <x:c r="E196" s="59"/>
      <x:c r="F196" s="59"/>
      <x:c r="G196" s="59"/>
      <x:c r="H196" s="59"/>
      <x:c r="I196" s="59"/>
      <x:c r="J196" s="59"/>
      <x:c r="K196" s="59"/>
      <x:c r="L196" s="59"/>
      <x:c r="M196" s="59"/>
      <x:c r="N196" s="59"/>
      <x:c r="O196" s="59"/>
    </x:row>
    <x:row r="197">
      <x:c r="A197" s="59"/>
      <x:c r="B197" s="59"/>
      <x:c r="C197" s="59"/>
      <x:c r="D197" s="59"/>
      <x:c r="E197" s="59"/>
      <x:c r="F197" s="59"/>
      <x:c r="G197" s="59"/>
      <x:c r="H197" s="59"/>
      <x:c r="I197" s="59"/>
      <x:c r="J197" s="59"/>
      <x:c r="K197" s="59"/>
      <x:c r="L197" s="59"/>
      <x:c r="M197" s="59"/>
      <x:c r="N197" s="59"/>
      <x:c r="O197" s="59"/>
    </x:row>
    <x:row r="198">
      <x:c r="A198" s="59"/>
      <x:c r="B198" s="59"/>
      <x:c r="C198" s="59"/>
      <x:c r="D198" s="59"/>
      <x:c r="E198" s="59"/>
      <x:c r="F198" s="59"/>
      <x:c r="G198" s="59"/>
      <x:c r="H198" s="59"/>
      <x:c r="I198" s="59"/>
      <x:c r="J198" s="59"/>
      <x:c r="K198" s="59"/>
      <x:c r="L198" s="59"/>
      <x:c r="M198" s="59"/>
      <x:c r="N198" s="59"/>
      <x:c r="O198" s="59"/>
    </x:row>
    <x:row r="199">
      <x:c r="A199" s="59"/>
      <x:c r="B199" s="59"/>
      <x:c r="C199" s="59"/>
      <x:c r="D199" s="59"/>
      <x:c r="E199" s="59"/>
      <x:c r="F199" s="59"/>
      <x:c r="G199" s="59"/>
      <x:c r="H199" s="59"/>
      <x:c r="I199" s="59"/>
      <x:c r="J199" s="59"/>
      <x:c r="K199" s="59"/>
      <x:c r="L199" s="59"/>
      <x:c r="M199" s="59"/>
      <x:c r="N199" s="59"/>
      <x:c r="O199" s="59"/>
    </x:row>
    <x:row r="200">
      <x:c r="A200" s="59"/>
      <x:c r="B200" s="59"/>
      <x:c r="C200" s="59"/>
      <x:c r="D200" s="59"/>
      <x:c r="E200" s="59"/>
      <x:c r="F200" s="59"/>
      <x:c r="G200" s="59"/>
      <x:c r="H200" s="59"/>
      <x:c r="I200" s="59"/>
      <x:c r="J200" s="59"/>
      <x:c r="K200" s="59"/>
      <x:c r="L200" s="59"/>
      <x:c r="M200" s="59"/>
      <x:c r="N200" s="59"/>
      <x:c r="O200" s="59"/>
    </x:row>
  </x:sheetData>
  <x:mergeCells>
    <x:mergeCell ref="A1:N1"/>
    <x:mergeCell ref="A2:N2"/>
    <x:mergeCell ref="A3:N3"/>
  </x:mergeCells>
  <x:conditionalFormatting sqref="L6:L35">
    <x:cfRule type="colorScale" priority="1">
      <x:colorScale>
        <x:cfvo type="min"/>
        <x:cfvo type="percentile" val="50"/>
        <x:cfvo type="max"/>
        <x:color rgb="FFD9EAD3"/>
        <x:color rgb="FFFFF2CC"/>
        <x:color rgb="FFF4CCCC"/>
      </x:colorScale>
    </x:cfRule>
  </x:conditionalFormatting>
  <x:conditionalFormatting sqref="M6:M35">
    <x:cfRule type="expression" dxfId="3" priority="2">
      <x:formula>M6="Critical"</x:formula>
    </x:cfRule>
    <x:cfRule type="expression" dxfId="4" priority="3">
      <x:formula>M6="High"</x:formula>
    </x:cfRule>
    <x:cfRule type="expression" dxfId="5" priority="4">
      <x:formula>M6="Moderate"</x:formula>
    </x:cfRule>
    <x:cfRule type="expression" dxfId="6" priority="5">
      <x:formula>M6="Normal"</x:formula>
    </x:cfRule>
  </x:conditionalFormatting>
  <x:pageMargins left="0.7" right="0.7" top="0.75" bottom="0.75" header="0.3" footer="0.3"/>
  <x:tableParts count="1">
    <x:tablePart xmlns:r="http://schemas.openxmlformats.org/officeDocument/2006/relationships" r:id="R2a1423cccdd84536"/>
  </x:tableParts>
</x:worksheet>
</file>

<file path=xl/worksheets/sheet5.xml><?xml version="1.0" encoding="utf-8"?>
<x:worksheet xmlns:x="http://schemas.openxmlformats.org/spreadsheetml/2006/main">
  <x:sheetFormatPr defaultRowHeight="15"/>
  <x:cols>
    <x:col min="1" max="1" width="10" hidden="0" customWidth="1"/>
    <x:col min="2" max="2" width="28" hidden="0" customWidth="1"/>
    <x:col min="3" max="3" width="36" hidden="0" customWidth="1"/>
    <x:col min="4" max="4" width="14" hidden="0" customWidth="1"/>
    <x:col min="5" max="5" width="42" hidden="0" customWidth="1"/>
    <x:col min="6" max="6" width="42" hidden="0" customWidth="1"/>
    <x:col min="7" max="7" width="42" hidden="0" customWidth="1"/>
    <x:col min="8" max="8" width="22" hidden="0" customWidth="1"/>
    <x:col min="9" max="9" width="38" hidden="0" customWidth="1"/>
    <x:col min="10" max="10" width="34" hidden="0" customWidth="1"/>
    <x:col min="11" max="11" width="38" hidden="0" customWidth="1"/>
  </x:cols>
  <x:sheetData>
    <x:row r="1" ht="34" customHeight="1">
      <x:c r="A1" s="56" t="str">
        <x:v>OT Priority Alert Playbook</x:v>
      </x:c>
      <x:c r="B1" s="56"/>
      <x:c r="C1" s="56"/>
      <x:c r="D1" s="56"/>
      <x:c r="E1" s="56"/>
      <x:c r="F1" s="56"/>
      <x:c r="G1" s="56"/>
      <x:c r="H1" s="56"/>
      <x:c r="I1" s="56"/>
      <x:c r="J1" s="56"/>
      <x:c r="K1" s="56"/>
      <x:c r="L1" s="59"/>
      <x:c r="M1" s="59"/>
      <x:c r="N1" s="59"/>
      <x:c r="O1" s="59"/>
    </x:row>
    <x:row r="2" ht="20" customHeight="1">
      <x:c r="A2" s="57" t="str">
        <x:v>Author: Yuval Sinay | Version 1.0 | 02.08.2026</x:v>
      </x:c>
      <x:c r="B2" s="57"/>
      <x:c r="C2" s="57"/>
      <x:c r="D2" s="57"/>
      <x:c r="E2" s="57"/>
      <x:c r="F2" s="57"/>
      <x:c r="G2" s="57"/>
      <x:c r="H2" s="57"/>
      <x:c r="I2" s="57"/>
      <x:c r="J2" s="57"/>
      <x:c r="K2" s="57"/>
      <x:c r="L2" s="59"/>
      <x:c r="M2" s="59"/>
      <x:c r="N2" s="59"/>
      <x:c r="O2" s="59"/>
    </x:row>
    <x:row r="3" ht="28" customHeight="1">
      <x:c r="A3" s="58" t="str">
        <x:v>Priority events, trigger logic, immediate containment considerations, and escalation guidance.</x:v>
      </x:c>
      <x:c r="B3" s="58"/>
      <x:c r="C3" s="58"/>
      <x:c r="D3" s="58"/>
      <x:c r="E3" s="58"/>
      <x:c r="F3" s="58"/>
      <x:c r="G3" s="58"/>
      <x:c r="H3" s="58"/>
      <x:c r="I3" s="58"/>
      <x:c r="J3" s="58"/>
      <x:c r="K3" s="58"/>
      <x:c r="L3" s="59"/>
      <x:c r="M3" s="59"/>
      <x:c r="N3" s="59"/>
      <x:c r="O3" s="59"/>
    </x:row>
    <x:row r="4">
      <x:c r="A4" s="59"/>
      <x:c r="B4" s="59"/>
      <x:c r="C4" s="59"/>
      <x:c r="D4" s="59"/>
      <x:c r="E4" s="59"/>
      <x:c r="F4" s="59"/>
      <x:c r="G4" s="59"/>
      <x:c r="H4" s="59"/>
      <x:c r="I4" s="59"/>
      <x:c r="J4" s="59"/>
      <x:c r="K4" s="59"/>
      <x:c r="L4" s="59"/>
      <x:c r="M4" s="59"/>
      <x:c r="N4" s="59"/>
      <x:c r="O4" s="59"/>
    </x:row>
    <x:row r="5" ht="32" customHeight="1">
      <x:c r="A5" s="62" t="str">
        <x:v>Alert ID</x:v>
      </x:c>
      <x:c r="B5" s="62" t="str">
        <x:v>Priority Event</x:v>
      </x:c>
      <x:c r="C5" s="62" t="str">
        <x:v>Typical Trigger</x:v>
      </x:c>
      <x:c r="D5" s="62" t="str">
        <x:v>Default Severity</x:v>
      </x:c>
      <x:c r="E5" s="62" t="str">
        <x:v>First 15 Minutes</x:v>
      </x:c>
      <x:c r="F5" s="62" t="str">
        <x:v>Technical Investigation</x:v>
      </x:c>
      <x:c r="G5" s="62" t="str">
        <x:v>Operational Coordination</x:v>
      </x:c>
      <x:c r="H5" s="62" t="str">
        <x:v>Primary Owner</x:v>
      </x:c>
      <x:c r="I5" s="62" t="str">
        <x:v>Escalation Trigger</x:v>
      </x:c>
      <x:c r="J5" s="62" t="str">
        <x:v>MITRE ATT&amp;CK for ICS / Control Theme</x:v>
      </x:c>
      <x:c r="K5" s="62" t="str">
        <x:v>Evidence to Preserve</x:v>
      </x:c>
      <x:c r="L5" s="59"/>
      <x:c r="M5" s="59"/>
      <x:c r="N5" s="59"/>
      <x:c r="O5" s="59"/>
    </x:row>
    <x:row r="6" ht="78" customHeight="1">
      <x:c r="A6" s="83" t="str">
        <x:v>ALR-01</x:v>
      </x:c>
      <x:c r="B6" s="83" t="str">
        <x:v>Unknown or New OT Asset</x:v>
      </x:c>
      <x:c r="C6" s="83" t="str">
        <x:v>New MAC/IP/device fingerprint in an OT zone.</x:v>
      </x:c>
      <x:c r="D6" s="83" t="str">
        <x:v>Critical</x:v>
      </x:c>
      <x:c r="E6" s="83" t="str">
        <x:v>Identify switch port, zone, owner, and current communication. Do not actively scan without approval.</x:v>
      </x:c>
      <x:c r="F6" s="83" t="str">
        <x:v>Review flows, fingerprint, ARP, switch logs, and asset inventory.</x:v>
      </x:c>
      <x:c r="G6" s="83" t="str">
        <x:v>Confirm maintenance, replacement, or vendor activity with control engineering.</x:v>
      </x:c>
      <x:c r="H6" s="83" t="str">
        <x:v>OT SOC</x:v>
      </x:c>
      <x:c r="I6" s="83" t="str">
        <x:v>No authorized owner, new control communication, or safety-critical location.</x:v>
      </x:c>
      <x:c r="J6" s="83" t="str">
        <x:v>Remote System Discovery / Asset Visibility</x:v>
      </x:c>
      <x:c r="K6" s="83" t="str">
        <x:v>Packet capture, switch logs, inventory snapshot, photographs if appropriate</x:v>
      </x:c>
      <x:c r="L6" s="59"/>
      <x:c r="M6" s="59"/>
      <x:c r="N6" s="59"/>
      <x:c r="O6" s="59"/>
    </x:row>
    <x:row r="7" ht="78" customHeight="1">
      <x:c r="A7" s="83" t="str">
        <x:v>ALR-02</x:v>
      </x:c>
      <x:c r="B7" s="83" t="str">
        <x:v>Unauthorized Write or Setpoint Change</x:v>
      </x:c>
      <x:c r="C7" s="83" t="str">
        <x:v>Write, force, start, stop, reset, or setpoint command from an unapproved source.</x:v>
      </x:c>
      <x:c r="D7" s="83" t="str">
        <x:v>Critical</x:v>
      </x:c>
      <x:c r="E7" s="83" t="str">
        <x:v>Validate command with control room; determine current process state; restrict source only if operationally safe.</x:v>
      </x:c>
      <x:c r="F7" s="83" t="str">
        <x:v>Identify protocol function, source, destination, user, prior commands, and affected tags.</x:v>
      </x:c>
      <x:c r="G7" s="83" t="str">
        <x:v>Coordinate any containment with control and safety personnel.</x:v>
      </x:c>
      <x:c r="H7" s="83" t="str">
        <x:v>Control Engineering</x:v>
      </x:c>
      <x:c r="I7" s="83" t="str">
        <x:v>Safety impact, repeated writes, unknown source, or changed process state.</x:v>
      </x:c>
      <x:c r="J7" s="83" t="str">
        <x:v>Modify Control Logic / Impair Process Control</x:v>
      </x:c>
      <x:c r="K7" s="83" t="str">
        <x:v>Raw packets, controller logs, HMI audit trail, historian sequence</x:v>
      </x:c>
      <x:c r="L7" s="59"/>
      <x:c r="M7" s="59"/>
      <x:c r="N7" s="59"/>
      <x:c r="O7" s="59"/>
    </x:row>
    <x:row r="8" ht="78" customHeight="1">
      <x:c r="A8" s="83" t="str">
        <x:v>ALR-03</x:v>
      </x:c>
      <x:c r="B8" s="83" t="str">
        <x:v>PLC Program Download or Online Edit</x:v>
      </x:c>
      <x:c r="C8" s="83" t="str">
        <x:v>Programming function, controller alarm, project transfer, or engineering workstation event.</x:v>
      </x:c>
      <x:c r="D8" s="83" t="str">
        <x:v>Critical</x:v>
      </x:c>
      <x:c r="E8" s="83" t="str">
        <x:v>Confirm approved change ticket and engineering user. Compare time and target device.</x:v>
      </x:c>
      <x:c r="F8" s="83" t="str">
        <x:v>Collect program version/hash, project files, engineering logs, and protocol evidence.</x:v>
      </x:c>
      <x:c r="G8" s="83" t="str">
        <x:v>Assess whether process can continue safely while verification occurs.</x:v>
      </x:c>
      <x:c r="H8" s="83" t="str">
        <x:v>Control Engineering</x:v>
      </x:c>
      <x:c r="I8" s="83" t="str">
        <x:v>No ticket, unexplained logic difference, or safety-system involvement.</x:v>
      </x:c>
      <x:c r="J8" s="83" t="str">
        <x:v>Program Download / Online Edit</x:v>
      </x:c>
      <x:c r="K8" s="83" t="str">
        <x:v>Golden image, current project, hashes, controller audit logs</x:v>
      </x:c>
      <x:c r="L8" s="59"/>
      <x:c r="M8" s="59"/>
      <x:c r="N8" s="59"/>
      <x:c r="O8" s="59"/>
    </x:row>
    <x:row r="9" ht="78" customHeight="1">
      <x:c r="A9" s="83" t="str">
        <x:v>ALR-04</x:v>
      </x:c>
      <x:c r="B9" s="83" t="str">
        <x:v>Controller Mode Change</x:v>
      </x:c>
      <x:c r="C9" s="83" t="str">
        <x:v>Unexpected RUN/STOP/PROGRAM/REMOTE transition.</x:v>
      </x:c>
      <x:c r="D9" s="83" t="str">
        <x:v>Critical</x:v>
      </x:c>
      <x:c r="E9" s="83" t="str">
        <x:v>Confirm operator action and process condition immediately.</x:v>
      </x:c>
      <x:c r="F9" s="83" t="str">
        <x:v>Review mode-change command, user, source, device alarms, and preceding events.</x:v>
      </x:c>
      <x:c r="G9" s="83" t="str">
        <x:v>Follow operating and safety procedures before restoring mode.</x:v>
      </x:c>
      <x:c r="H9" s="83" t="str">
        <x:v>Control Engineering</x:v>
      </x:c>
      <x:c r="I9" s="83" t="str">
        <x:v>Unplanned stop, inability to restore, or safety impact.</x:v>
      </x:c>
      <x:c r="J9" s="83" t="str">
        <x:v>Change Operating Mode</x:v>
      </x:c>
      <x:c r="K9" s="83" t="str">
        <x:v>Controller state logs, protocol capture, operator log</x:v>
      </x:c>
      <x:c r="L9" s="59"/>
      <x:c r="M9" s="59"/>
      <x:c r="N9" s="59"/>
      <x:c r="O9" s="59"/>
    </x:row>
    <x:row r="10" ht="78" customHeight="1">
      <x:c r="A10" s="83" t="str">
        <x:v>ALR-05</x:v>
      </x:c>
      <x:c r="B10" s="83" t="str">
        <x:v>Firmware Modification</x:v>
      </x:c>
      <x:c r="C10" s="83" t="str">
        <x:v>Firmware upload, update, downgrade, or hash/version deviation.</x:v>
      </x:c>
      <x:c r="D10" s="83" t="str">
        <x:v>Critical</x:v>
      </x:c>
      <x:c r="E10" s="83" t="str">
        <x:v>Confirm vendor image, maintenance window, and change authorization.</x:v>
      </x:c>
      <x:c r="F10" s="83" t="str">
        <x:v>Validate image source, signature/hash, transfer path, and device status.</x:v>
      </x:c>
      <x:c r="G10" s="83" t="str">
        <x:v>Assess redundancy and safe recovery before rollback or reimage.</x:v>
      </x:c>
      <x:c r="H10" s="83" t="str">
        <x:v>Control Engineering</x:v>
      </x:c>
      <x:c r="I10" s="83" t="str">
        <x:v>Unapproved image, unexpected downgrade, or device instability.</x:v>
      </x:c>
      <x:c r="J10" s="83" t="str">
        <x:v>Modify Firmware</x:v>
      </x:c>
      <x:c r="K10" s="83" t="str">
        <x:v>Firmware image, hashes, update logs, network capture</x:v>
      </x:c>
      <x:c r="L10" s="59"/>
      <x:c r="M10" s="59"/>
      <x:c r="N10" s="59"/>
      <x:c r="O10" s="59"/>
    </x:row>
    <x:row r="11" ht="78" customHeight="1">
      <x:c r="A11" s="83" t="str">
        <x:v>ALR-06</x:v>
      </x:c>
      <x:c r="B11" s="83" t="str">
        <x:v>IT-to-OT Segmentation Violation</x:v>
      </x:c>
      <x:c r="C11" s="83" t="str">
        <x:v>Unapproved enterprise-to-control connection or DMZ bypass.</x:v>
      </x:c>
      <x:c r="D11" s="83" t="str">
        <x:v>Critical</x:v>
      </x:c>
      <x:c r="E11" s="83" t="str">
        <x:v>Identify source, destination, protocol, firewall decision, and business purpose.</x:v>
      </x:c>
      <x:c r="F11" s="83" t="str">
        <x:v>Review firewall, routing, NAT, VPN, and flow logs; determine persistence.</x:v>
      </x:c>
      <x:c r="G11" s="83" t="str">
        <x:v>Coordinate blocking with process owner to avoid disrupting essential services.</x:v>
      </x:c>
      <x:c r="H11" s="83" t="str">
        <x:v>OT Network Security</x:v>
      </x:c>
      <x:c r="I11" s="83" t="str">
        <x:v>Allowed connection, repeated attempts, privileged protocol, or controller target.</x:v>
      </x:c>
      <x:c r="J11" s="83" t="str">
        <x:v>Network Segmentation / Zones and Conduits</x:v>
      </x:c>
      <x:c r="K11" s="83" t="str">
        <x:v>Firewall logs, configuration diff, flow records</x:v>
      </x:c>
      <x:c r="L11" s="59"/>
      <x:c r="M11" s="59"/>
      <x:c r="N11" s="59"/>
      <x:c r="O11" s="59"/>
    </x:row>
    <x:row r="12" ht="78" customHeight="1">
      <x:c r="A12" s="83" t="str">
        <x:v>ALR-07</x:v>
      </x:c>
      <x:c r="B12" s="83" t="str">
        <x:v>Direct Internet Communication</x:v>
      </x:c>
      <x:c r="C12" s="83" t="str">
        <x:v>OT asset contacts or is contacted by an unapproved internet destination.</x:v>
      </x:c>
      <x:c r="D12" s="83" t="str">
        <x:v>Critical</x:v>
      </x:c>
      <x:c r="E12" s="83" t="str">
        <x:v>Identify asset, destination, protocol, DNS name, and volume; contain path if safe.</x:v>
      </x:c>
      <x:c r="F12" s="83" t="str">
        <x:v>Review proxy, firewall, DNS, TLS metadata, and process lineage on the source.</x:v>
      </x:c>
      <x:c r="G12" s="83" t="str">
        <x:v>Confirm whether cloud/vendor service is approved and architecturally brokered.</x:v>
      </x:c>
      <x:c r="H12" s="83" t="str">
        <x:v>OT Network Security</x:v>
      </x:c>
      <x:c r="I12" s="83" t="str">
        <x:v>Data transfer, command-and-control pattern, or critical asset.</x:v>
      </x:c>
      <x:c r="J12" s="83" t="str">
        <x:v>Boundary Protection</x:v>
      </x:c>
      <x:c r="K12" s="83" t="str">
        <x:v>DNS, firewall, proxy, packet metadata, endpoint artifacts</x:v>
      </x:c>
      <x:c r="L12" s="59"/>
      <x:c r="M12" s="59"/>
      <x:c r="N12" s="59"/>
      <x:c r="O12" s="59"/>
    </x:row>
    <x:row r="13" ht="78" customHeight="1">
      <x:c r="A13" s="83" t="str">
        <x:v>ALR-08</x:v>
      </x:c>
      <x:c r="B13" s="83" t="str">
        <x:v>Rogue Master or Engineering Station</x:v>
      </x:c>
      <x:c r="C13" s="83" t="str">
        <x:v>New host initiates industrial master, supervisory, or programming functions.</x:v>
      </x:c>
      <x:c r="D13" s="83" t="str">
        <x:v>Critical</x:v>
      </x:c>
      <x:c r="E13" s="83" t="str">
        <x:v>Validate the host and immediately review commands already issued.</x:v>
      </x:c>
      <x:c r="F13" s="83" t="str">
        <x:v>Analyze protocol role, sequence, destinations, and authentication context.</x:v>
      </x:c>
      <x:c r="G13" s="83" t="str">
        <x:v>Confirm temporary engineering activity with maintenance supervisor.</x:v>
      </x:c>
      <x:c r="H13" s="83" t="str">
        <x:v>OT SOC</x:v>
      </x:c>
      <x:c r="I13" s="83" t="str">
        <x:v>Unknown device, multiple PLC targets, or modification commands.</x:v>
      </x:c>
      <x:c r="J13" s="83" t="str">
        <x:v>Discovery / Control Manipulation</x:v>
      </x:c>
      <x:c r="K13" s="83" t="str">
        <x:v>Packet capture, asset fingerprint, switch port, engineering logs</x:v>
      </x:c>
      <x:c r="L13" s="59"/>
      <x:c r="M13" s="59"/>
      <x:c r="N13" s="59"/>
      <x:c r="O13" s="59"/>
    </x:row>
    <x:row r="14" ht="78" customHeight="1">
      <x:c r="A14" s="83" t="str">
        <x:v>ALR-09</x:v>
      </x:c>
      <x:c r="B14" s="83" t="str">
        <x:v>Frozen or Stale Critical Tags</x:v>
      </x:c>
      <x:c r="C14" s="83" t="str">
        <x:v>Critical process tags stop updating beyond expected interval.</x:v>
      </x:c>
      <x:c r="D14" s="83" t="str">
        <x:v>High</x:v>
      </x:c>
      <x:c r="E14" s="83" t="str">
        <x:v>Confirm visibility with operator and identify affected controller, OPC path, or historian service.</x:v>
      </x:c>
      <x:c r="F14" s="83" t="str">
        <x:v>Check communications, service health, controller scan, and timestamp integrity.</x:v>
      </x:c>
      <x:c r="G14" s="83" t="str">
        <x:v>Use local indication or alternate instrumentation according to procedure.</x:v>
      </x:c>
      <x:c r="H14" s="83" t="str">
        <x:v>Control Engineering</x:v>
      </x:c>
      <x:c r="I14" s="83" t="str">
        <x:v>Safety-critical tag, multiple areas, or command-response mismatch.</x:v>
      </x:c>
      <x:c r="J14" s="83" t="str">
        <x:v>Block OT Message</x:v>
      </x:c>
      <x:c r="K14" s="83" t="str">
        <x:v>Historian data, OPC logs, controller diagnostics, network capture</x:v>
      </x:c>
      <x:c r="L14" s="59"/>
      <x:c r="M14" s="59"/>
      <x:c r="N14" s="59"/>
      <x:c r="O14" s="59"/>
    </x:row>
    <x:row r="15" ht="78" customHeight="1">
      <x:c r="A15" s="83" t="str">
        <x:v>ALR-10</x:v>
      </x:c>
      <x:c r="B15" s="83" t="str">
        <x:v>Command-Response Mismatch</x:v>
      </x:c>
      <x:c r="C15" s="83" t="str">
        <x:v>Command issued but actuator or process response is absent or inconsistent.</x:v>
      </x:c>
      <x:c r="D15" s="83" t="str">
        <x:v>Critical</x:v>
      </x:c>
      <x:c r="E15" s="83" t="str">
        <x:v>Validate field condition and follow safety procedure; avoid repeated commands without engineering review.</x:v>
      </x:c>
      <x:c r="F15" s="83" t="str">
        <x:v>Correlate command, feedback, interlock, communications, and sensor data.</x:v>
      </x:c>
      <x:c r="G15" s="83" t="str">
        <x:v>Coordinate with field technician and process engineer.</x:v>
      </x:c>
      <x:c r="H15" s="83" t="str">
        <x:v>Process Engineering</x:v>
      </x:c>
      <x:c r="I15" s="83" t="str">
        <x:v>Safety impact, blocked communication, or suspected manipulation.</x:v>
      </x:c>
      <x:c r="J15" s="83" t="str">
        <x:v>Block OT Message / Impair Process Control</x:v>
      </x:c>
      <x:c r="K15" s="83" t="str">
        <x:v>Command logs, historian timeline, controller and field diagnostics</x:v>
      </x:c>
      <x:c r="L15" s="59"/>
      <x:c r="M15" s="59"/>
      <x:c r="N15" s="59"/>
      <x:c r="O15" s="59"/>
    </x:row>
    <x:row r="16" ht="78" customHeight="1">
      <x:c r="A16" s="83" t="str">
        <x:v>ALR-11</x:v>
      </x:c>
      <x:c r="B16" s="83" t="str">
        <x:v>Safety Bypass or Forced Point</x:v>
      </x:c>
      <x:c r="C16" s="83" t="str">
        <x:v>Unapproved, expired, or unexplained bypass, inhibit, or forced I/O point.</x:v>
      </x:c>
      <x:c r="D16" s="83" t="str">
        <x:v>Critical</x:v>
      </x:c>
      <x:c r="E16" s="83" t="str">
        <x:v>Verify permit, owner, duration, and compensating measures.</x:v>
      </x:c>
      <x:c r="F16" s="83" t="str">
        <x:v>Review SIS/DCS logs, engineering user, and configuration state.</x:v>
      </x:c>
      <x:c r="G16" s="83" t="str">
        <x:v>Engage safety manager before removing or changing state.</x:v>
      </x:c>
      <x:c r="H16" s="83" t="str">
        <x:v>Safety Manager</x:v>
      </x:c>
      <x:c r="I16" s="83" t="str">
        <x:v>No permit, expired bypass, multiple points, or trip inhibition.</x:v>
      </x:c>
      <x:c r="J16" s="83" t="str">
        <x:v>Safety and System Integrity</x:v>
      </x:c>
      <x:c r="K16" s="83" t="str">
        <x:v>Permit, audit logs, controller project, operator log</x:v>
      </x:c>
      <x:c r="L16" s="59"/>
      <x:c r="M16" s="59"/>
      <x:c r="N16" s="59"/>
      <x:c r="O16" s="59"/>
    </x:row>
    <x:row r="17" ht="78" customHeight="1">
      <x:c r="A17" s="83" t="str">
        <x:v>ALR-12</x:v>
      </x:c>
      <x:c r="B17" s="83" t="str">
        <x:v>Remote Access Policy Violation</x:v>
      </x:c>
      <x:c r="C17" s="83" t="str">
        <x:v>Direct device access, missing MFA, bypassed jump host, or access outside approved window.</x:v>
      </x:c>
      <x:c r="D17" s="83" t="str">
        <x:v>High</x:v>
      </x:c>
      <x:c r="E17" s="83" t="str">
        <x:v>Identify user, sponsor, source, target, session state, and ticket.</x:v>
      </x:c>
      <x:c r="F17" s="83" t="str">
        <x:v>Review VPN/PAM/jump logs, commands, files, and session recording.</x:v>
      </x:c>
      <x:c r="G17" s="83" t="str">
        <x:v>Contact maintenance sponsor and control-room supervisor.</x:v>
      </x:c>
      <x:c r="H17" s="83" t="str">
        <x:v>Remote Access Owner</x:v>
      </x:c>
      <x:c r="I17" s="83" t="str">
        <x:v>Privileged change, unknown user, or safety-critical target.</x:v>
      </x:c>
      <x:c r="J17" s="83" t="str">
        <x:v>Valid Accounts / Remote Services</x:v>
      </x:c>
      <x:c r="K17" s="83" t="str">
        <x:v>Session recording, VPN logs, tickets, authentication logs</x:v>
      </x:c>
      <x:c r="L17" s="59"/>
      <x:c r="M17" s="59"/>
      <x:c r="N17" s="59"/>
      <x:c r="O17" s="59"/>
    </x:row>
    <x:row r="18" ht="78" customHeight="1">
      <x:c r="A18" s="83" t="str">
        <x:v>ALR-13</x:v>
      </x:c>
      <x:c r="B18" s="83" t="str">
        <x:v>Time Synchronization Anomaly</x:v>
      </x:c>
      <x:c r="C18" s="83" t="str">
        <x:v>Large clock offset, unauthorized time source, or inconsistent event chronology.</x:v>
      </x:c>
      <x:c r="D18" s="83" t="str">
        <x:v>High</x:v>
      </x:c>
      <x:c r="E18" s="83" t="str">
        <x:v>Identify affected assets and verify authoritative time sources.</x:v>
      </x:c>
      <x:c r="F18" s="83" t="str">
        <x:v>Review NTP/PTP flows, configurations, authentication, and drift history.</x:v>
      </x:c>
      <x:c r="G18" s="83" t="str">
        <x:v>Determine whether control sequence, historian, or safety functions are affected.</x:v>
      </x:c>
      <x:c r="H18" s="83" t="str">
        <x:v>OT Network Engineering</x:v>
      </x:c>
      <x:c r="I18" s="83" t="str">
        <x:v>Control impact, widespread drift, or evidence integrity risk.</x:v>
      </x:c>
      <x:c r="J18" s="83" t="str">
        <x:v>System Integrity</x:v>
      </x:c>
      <x:c r="K18" s="83" t="str">
        <x:v>NTP logs, device configuration, timestamps, packet capture</x:v>
      </x:c>
      <x:c r="L18" s="59"/>
      <x:c r="M18" s="59"/>
      <x:c r="N18" s="59"/>
      <x:c r="O18" s="59"/>
    </x:row>
    <x:row r="19" ht="78" customHeight="1">
      <x:c r="A19" s="83" t="str">
        <x:v>ALR-14</x:v>
      </x:c>
      <x:c r="B19" s="83" t="str">
        <x:v>Monitoring Blind Spot</x:v>
      </x:c>
      <x:c r="C19" s="83" t="str">
        <x:v>Loss of critical log source, sensor, packet visibility, or telemetry pipeline.</x:v>
      </x:c>
      <x:c r="D19" s="83" t="str">
        <x:v>Critical</x:v>
      </x:c>
      <x:c r="E19" s="83" t="str">
        <x:v>Identify affected zones/assets and establish alternate visibility.</x:v>
      </x:c>
      <x:c r="F19" s="83" t="str">
        <x:v>Check sensor health, SPAN/TAP, credentials, collector queues, parsing, and storage.</x:v>
      </x:c>
      <x:c r="G19" s="83" t="str">
        <x:v>Inform plant and SOC leadership of reduced detection capability.</x:v>
      </x:c>
      <x:c r="H19" s="83" t="str">
        <x:v>SOC Engineering</x:v>
      </x:c>
      <x:c r="I19" s="83" t="str">
        <x:v>Critical zone blind, simultaneous source loss, or suspected tampering.</x:v>
      </x:c>
      <x:c r="J19" s="83" t="str">
        <x:v>Impair Defenses</x:v>
      </x:c>
      <x:c r="K19" s="83" t="str">
        <x:v>Sensor health, collector logs, switch config, pipeline metrics</x:v>
      </x:c>
      <x:c r="L19" s="59"/>
      <x:c r="M19" s="59"/>
      <x:c r="N19" s="59"/>
      <x:c r="O19" s="59"/>
    </x:row>
    <x:row r="20" ht="78" customHeight="1">
      <x:c r="A20" s="83" t="str">
        <x:v>ALR-15</x:v>
      </x:c>
      <x:c r="B20" s="83" t="str">
        <x:v>Alarm Flood or Trip Surge</x:v>
      </x:c>
      <x:c r="C20" s="83" t="str">
        <x:v>Sudden increase in alarms, trips, interlocks, or repeated acknowledgements.</x:v>
      </x:c>
      <x:c r="D20" s="83" t="str">
        <x:v>Critical</x:v>
      </x:c>
      <x:c r="E20" s="83" t="str">
        <x:v>Prioritize process stabilization and verify alarm system availability.</x:v>
      </x:c>
      <x:c r="F20" s="83" t="str">
        <x:v>Analyze first-out alarm, sequence of events, root cause, and communication health.</x:v>
      </x:c>
      <x:c r="G20" s="83" t="str">
        <x:v>Coordinate with shift supervisor and safety function.</x:v>
      </x:c>
      <x:c r="H20" s="83" t="str">
        <x:v>Shift Supervisor</x:v>
      </x:c>
      <x:c r="I20" s="83" t="str">
        <x:v>Safety trip, loss of overview, or repeated process instability.</x:v>
      </x:c>
      <x:c r="J20" s="83" t="str">
        <x:v>Impact / Process Disruption</x:v>
      </x:c>
      <x:c r="K20" s="83" t="str">
        <x:v>Alarm sequence, historian, operator actions, controller events</x:v>
      </x:c>
      <x:c r="L20" s="59"/>
      <x:c r="M20" s="59"/>
      <x:c r="N20" s="59"/>
      <x:c r="O20" s="59"/>
    </x:row>
    <x:row r="21" ht="78" customHeight="1">
      <x:c r="A21" s="83" t="str">
        <x:v>ALR-16</x:v>
      </x:c>
      <x:c r="B21" s="83" t="str">
        <x:v>Unapproved Software or Tool</x:v>
      </x:c>
      <x:c r="C21" s="83" t="str">
        <x:v>New executable, remote tool, service, script, or scheduled task on an OT endpoint.</x:v>
      </x:c>
      <x:c r="D21" s="83" t="str">
        <x:v>High</x:v>
      </x:c>
      <x:c r="E21" s="83" t="str">
        <x:v>Validate change and collect process lineage before containment.</x:v>
      </x:c>
      <x:c r="F21" s="83" t="str">
        <x:v>Review hash, signer, parent process, network connections, persistence, and user context.</x:v>
      </x:c>
      <x:c r="G21" s="83" t="str">
        <x:v>Coordinate isolation or process termination with application owner.</x:v>
      </x:c>
      <x:c r="H21" s="83" t="str">
        <x:v>OT Endpoint Security</x:v>
      </x:c>
      <x:c r="I21" s="83" t="str">
        <x:v>Unsigned tool, remote control, persistence, or engineering workstation.</x:v>
      </x:c>
      <x:c r="J21" s="83" t="str">
        <x:v>Execution / Persistence</x:v>
      </x:c>
      <x:c r="K21" s="83" t="str">
        <x:v>Executable, hash, memory if feasible, process tree, host logs</x:v>
      </x:c>
      <x:c r="L21" s="59"/>
      <x:c r="M21" s="59"/>
      <x:c r="N21" s="59"/>
      <x:c r="O21" s="59"/>
    </x:row>
    <x:row r="22">
      <x:c r="A22" s="59"/>
      <x:c r="B22" s="59"/>
      <x:c r="C22" s="59"/>
      <x:c r="D22" s="59"/>
      <x:c r="E22" s="59"/>
      <x:c r="F22" s="59"/>
      <x:c r="G22" s="59"/>
      <x:c r="H22" s="59"/>
      <x:c r="I22" s="59"/>
      <x:c r="J22" s="59"/>
      <x:c r="K22" s="59"/>
      <x:c r="L22" s="59"/>
      <x:c r="M22" s="59"/>
      <x:c r="N22" s="59"/>
      <x:c r="O22" s="59"/>
    </x:row>
    <x:row r="23">
      <x:c r="A23" s="59"/>
      <x:c r="B23" s="59"/>
      <x:c r="C23" s="59"/>
      <x:c r="D23" s="59"/>
      <x:c r="E23" s="59"/>
      <x:c r="F23" s="59"/>
      <x:c r="G23" s="59"/>
      <x:c r="H23" s="59"/>
      <x:c r="I23" s="59"/>
      <x:c r="J23" s="59"/>
      <x:c r="K23" s="59"/>
      <x:c r="L23" s="59"/>
      <x:c r="M23" s="59"/>
      <x:c r="N23" s="59"/>
      <x:c r="O23" s="59"/>
    </x:row>
    <x:row r="24" ht="24" customHeight="1">
      <x:c r="A24" s="61" t="str">
        <x:v>5 × 5 OT Risk Prioritization Matrix</x:v>
      </x:c>
      <x:c r="B24" s="61"/>
      <x:c r="C24" s="61"/>
      <x:c r="D24" s="61"/>
      <x:c r="E24" s="61"/>
      <x:c r="F24" s="61"/>
      <x:c r="G24" s="61"/>
      <x:c r="H24" s="61"/>
      <x:c r="I24" s="61"/>
      <x:c r="J24" s="61"/>
      <x:c r="K24" s="61"/>
      <x:c r="L24" s="59"/>
      <x:c r="M24" s="59"/>
      <x:c r="N24" s="59"/>
      <x:c r="O24" s="59"/>
    </x:row>
    <x:row r="25" ht="26" customHeight="1">
      <x:c r="A25" s="62" t="str">
        <x:v>Likelihood \ Impact</x:v>
      </x:c>
      <x:c r="B25" s="62" t="str">
        <x:v>1 - Minor</x:v>
      </x:c>
      <x:c r="C25" s="62" t="str">
        <x:v>2 - Moderate</x:v>
      </x:c>
      <x:c r="D25" s="62" t="str">
        <x:v>3 - Significant</x:v>
      </x:c>
      <x:c r="E25" s="62" t="str">
        <x:v>4 - Major</x:v>
      </x:c>
      <x:c r="F25" s="62" t="str">
        <x:v>5 - Severe</x:v>
      </x:c>
      <x:c r="G25" s="59"/>
      <x:c r="H25" s="59"/>
      <x:c r="I25" s="59"/>
      <x:c r="J25" s="59"/>
      <x:c r="K25" s="59"/>
      <x:c r="L25" s="59"/>
      <x:c r="M25" s="59"/>
      <x:c r="N25" s="59"/>
      <x:c r="O25" s="59"/>
    </x:row>
    <x:row r="26" ht="26" customHeight="1">
      <x:c r="A26" s="150" t="str">
        <x:v>5 - Almost Certain</x:v>
      </x:c>
      <x:c r="B26" s="59" t="n">
        <x:v>5</x:v>
      </x:c>
      <x:c r="C26" s="59" t="n">
        <x:v>10</x:v>
      </x:c>
      <x:c r="D26" s="59" t="n">
        <x:v>15</x:v>
      </x:c>
      <x:c r="E26" s="59" t="n">
        <x:v>20</x:v>
      </x:c>
      <x:c r="F26" s="59" t="n">
        <x:v>25</x:v>
      </x:c>
      <x:c r="G26" s="59"/>
      <x:c r="H26" s="59"/>
      <x:c r="I26" s="59"/>
      <x:c r="J26" s="59"/>
      <x:c r="K26" s="59"/>
      <x:c r="L26" s="59"/>
      <x:c r="M26" s="59"/>
      <x:c r="N26" s="59"/>
      <x:c r="O26" s="59"/>
    </x:row>
    <x:row r="27" ht="26" customHeight="1">
      <x:c r="A27" s="150" t="str">
        <x:v>4 - Likely</x:v>
      </x:c>
      <x:c r="B27" s="59" t="n">
        <x:v>4</x:v>
      </x:c>
      <x:c r="C27" s="59" t="n">
        <x:v>8</x:v>
      </x:c>
      <x:c r="D27" s="59" t="n">
        <x:v>12</x:v>
      </x:c>
      <x:c r="E27" s="59" t="n">
        <x:v>16</x:v>
      </x:c>
      <x:c r="F27" s="59" t="n">
        <x:v>20</x:v>
      </x:c>
      <x:c r="G27" s="59"/>
      <x:c r="H27" s="59"/>
      <x:c r="I27" s="59"/>
      <x:c r="J27" s="59"/>
      <x:c r="K27" s="59"/>
      <x:c r="L27" s="59"/>
      <x:c r="M27" s="59"/>
      <x:c r="N27" s="59"/>
      <x:c r="O27" s="59"/>
    </x:row>
    <x:row r="28" ht="26" customHeight="1">
      <x:c r="A28" s="150" t="str">
        <x:v>3 - Possible</x:v>
      </x:c>
      <x:c r="B28" s="59" t="n">
        <x:v>3</x:v>
      </x:c>
      <x:c r="C28" s="59" t="n">
        <x:v>6</x:v>
      </x:c>
      <x:c r="D28" s="59" t="n">
        <x:v>9</x:v>
      </x:c>
      <x:c r="E28" s="59" t="n">
        <x:v>12</x:v>
      </x:c>
      <x:c r="F28" s="59" t="n">
        <x:v>15</x:v>
      </x:c>
      <x:c r="G28" s="59"/>
      <x:c r="H28" s="59"/>
      <x:c r="I28" s="59"/>
      <x:c r="J28" s="59"/>
      <x:c r="K28" s="59"/>
      <x:c r="L28" s="59"/>
      <x:c r="M28" s="59"/>
      <x:c r="N28" s="59"/>
      <x:c r="O28" s="59"/>
    </x:row>
    <x:row r="29" ht="26" customHeight="1">
      <x:c r="A29" s="150" t="str">
        <x:v>2 - Unlikely</x:v>
      </x:c>
      <x:c r="B29" s="59" t="n">
        <x:v>2</x:v>
      </x:c>
      <x:c r="C29" s="59" t="n">
        <x:v>4</x:v>
      </x:c>
      <x:c r="D29" s="59" t="n">
        <x:v>6</x:v>
      </x:c>
      <x:c r="E29" s="59" t="n">
        <x:v>8</x:v>
      </x:c>
      <x:c r="F29" s="59" t="n">
        <x:v>10</x:v>
      </x:c>
      <x:c r="G29" s="59"/>
      <x:c r="H29" s="59"/>
      <x:c r="I29" s="59"/>
      <x:c r="J29" s="59"/>
      <x:c r="K29" s="59"/>
      <x:c r="L29" s="59"/>
      <x:c r="M29" s="59"/>
      <x:c r="N29" s="59"/>
      <x:c r="O29" s="59"/>
    </x:row>
    <x:row r="30" ht="26" customHeight="1">
      <x:c r="A30" s="150" t="str">
        <x:v>1 - Rare</x:v>
      </x:c>
      <x:c r="B30" s="59" t="n">
        <x:v>1</x:v>
      </x:c>
      <x:c r="C30" s="59" t="n">
        <x:v>2</x:v>
      </x:c>
      <x:c r="D30" s="59" t="n">
        <x:v>3</x:v>
      </x:c>
      <x:c r="E30" s="59" t="n">
        <x:v>4</x:v>
      </x:c>
      <x:c r="F30" s="59" t="n">
        <x:v>5</x:v>
      </x:c>
      <x:c r="G30" s="59"/>
      <x:c r="H30" s="59"/>
      <x:c r="I30" s="59"/>
      <x:c r="J30" s="59"/>
      <x:c r="K30" s="59"/>
      <x:c r="L30" s="59"/>
      <x:c r="M30" s="59"/>
      <x:c r="N30" s="59"/>
      <x:c r="O30" s="59"/>
    </x:row>
    <x:row r="31">
      <x:c r="A31" s="59"/>
      <x:c r="B31" s="59"/>
      <x:c r="C31" s="59"/>
      <x:c r="D31" s="59"/>
      <x:c r="E31" s="59"/>
      <x:c r="F31" s="59"/>
      <x:c r="G31" s="59"/>
      <x:c r="H31" s="59"/>
      <x:c r="I31" s="59"/>
      <x:c r="J31" s="59"/>
      <x:c r="K31" s="59"/>
      <x:c r="L31" s="59"/>
      <x:c r="M31" s="59"/>
      <x:c r="N31" s="59"/>
      <x:c r="O31" s="59"/>
    </x:row>
    <x:row r="32">
      <x:c r="A32" s="59"/>
      <x:c r="B32" s="59"/>
      <x:c r="C32" s="59"/>
      <x:c r="D32" s="59"/>
      <x:c r="E32" s="59"/>
      <x:c r="F32" s="59"/>
      <x:c r="G32" s="59"/>
      <x:c r="H32" s="59"/>
      <x:c r="I32" s="59"/>
      <x:c r="J32" s="59"/>
      <x:c r="K32" s="59"/>
      <x:c r="L32" s="59"/>
      <x:c r="M32" s="59"/>
      <x:c r="N32" s="59"/>
      <x:c r="O32" s="59"/>
    </x:row>
    <x:row r="33">
      <x:c r="A33" s="59"/>
      <x:c r="B33" s="59"/>
      <x:c r="C33" s="59"/>
      <x:c r="D33" s="59"/>
      <x:c r="E33" s="59"/>
      <x:c r="F33" s="59"/>
      <x:c r="G33" s="59"/>
      <x:c r="H33" s="59"/>
      <x:c r="I33" s="59"/>
      <x:c r="J33" s="59"/>
      <x:c r="K33" s="59"/>
      <x:c r="L33" s="59"/>
      <x:c r="M33" s="59"/>
      <x:c r="N33" s="59"/>
      <x:c r="O33" s="59"/>
    </x:row>
    <x:row r="34">
      <x:c r="A34" s="59"/>
      <x:c r="B34" s="59"/>
      <x:c r="C34" s="59"/>
      <x:c r="D34" s="59"/>
      <x:c r="E34" s="59"/>
      <x:c r="F34" s="59"/>
      <x:c r="G34" s="59"/>
      <x:c r="H34" s="59"/>
      <x:c r="I34" s="59"/>
      <x:c r="J34" s="59"/>
      <x:c r="K34" s="59"/>
      <x:c r="L34" s="59"/>
      <x:c r="M34" s="59"/>
      <x:c r="N34" s="59"/>
      <x:c r="O34" s="59"/>
    </x:row>
    <x:row r="35">
      <x:c r="A35" s="59"/>
      <x:c r="B35" s="59"/>
      <x:c r="C35" s="59"/>
      <x:c r="D35" s="59"/>
      <x:c r="E35" s="59"/>
      <x:c r="F35" s="59"/>
      <x:c r="G35" s="59"/>
      <x:c r="H35" s="59"/>
      <x:c r="I35" s="59"/>
      <x:c r="J35" s="59"/>
      <x:c r="K35" s="59"/>
      <x:c r="L35" s="59"/>
      <x:c r="M35" s="59"/>
      <x:c r="N35" s="59"/>
      <x:c r="O35" s="59"/>
    </x:row>
    <x:row r="36">
      <x:c r="A36" s="59"/>
      <x:c r="B36" s="59"/>
      <x:c r="C36" s="59"/>
      <x:c r="D36" s="59"/>
      <x:c r="E36" s="59"/>
      <x:c r="F36" s="59"/>
      <x:c r="G36" s="59"/>
      <x:c r="H36" s="59"/>
      <x:c r="I36" s="59"/>
      <x:c r="J36" s="59"/>
      <x:c r="K36" s="59"/>
      <x:c r="L36" s="59"/>
      <x:c r="M36" s="59"/>
      <x:c r="N36" s="59"/>
      <x:c r="O36" s="59"/>
    </x:row>
    <x:row r="37">
      <x:c r="A37" s="59"/>
      <x:c r="B37" s="59"/>
      <x:c r="C37" s="59"/>
      <x:c r="D37" s="59"/>
      <x:c r="E37" s="59"/>
      <x:c r="F37" s="59"/>
      <x:c r="G37" s="59"/>
      <x:c r="H37" s="59"/>
      <x:c r="I37" s="59"/>
      <x:c r="J37" s="59"/>
      <x:c r="K37" s="59"/>
      <x:c r="L37" s="59"/>
      <x:c r="M37" s="59"/>
      <x:c r="N37" s="59"/>
      <x:c r="O37" s="59"/>
    </x:row>
    <x:row r="38">
      <x:c r="A38" s="59"/>
      <x:c r="B38" s="59"/>
      <x:c r="C38" s="59"/>
      <x:c r="D38" s="59"/>
      <x:c r="E38" s="59"/>
      <x:c r="F38" s="59"/>
      <x:c r="G38" s="59"/>
      <x:c r="H38" s="59"/>
      <x:c r="I38" s="59"/>
      <x:c r="J38" s="59"/>
      <x:c r="K38" s="59"/>
      <x:c r="L38" s="59"/>
      <x:c r="M38" s="59"/>
      <x:c r="N38" s="59"/>
      <x:c r="O38" s="59"/>
    </x:row>
    <x:row r="39">
      <x:c r="A39" s="59"/>
      <x:c r="B39" s="59"/>
      <x:c r="C39" s="59"/>
      <x:c r="D39" s="59"/>
      <x:c r="E39" s="59"/>
      <x:c r="F39" s="59"/>
      <x:c r="G39" s="59"/>
      <x:c r="H39" s="59"/>
      <x:c r="I39" s="59"/>
      <x:c r="J39" s="59"/>
      <x:c r="K39" s="59"/>
      <x:c r="L39" s="59"/>
      <x:c r="M39" s="59"/>
      <x:c r="N39" s="59"/>
      <x:c r="O39" s="59"/>
    </x:row>
    <x:row r="40">
      <x:c r="A40" s="59"/>
      <x:c r="B40" s="59"/>
      <x:c r="C40" s="59"/>
      <x:c r="D40" s="59"/>
      <x:c r="E40" s="59"/>
      <x:c r="F40" s="59"/>
      <x:c r="G40" s="59"/>
      <x:c r="H40" s="59"/>
      <x:c r="I40" s="59"/>
      <x:c r="J40" s="59"/>
      <x:c r="K40" s="59"/>
      <x:c r="L40" s="59"/>
      <x:c r="M40" s="59"/>
      <x:c r="N40" s="59"/>
      <x:c r="O40" s="59"/>
    </x:row>
    <x:row r="41">
      <x:c r="A41" s="59"/>
      <x:c r="B41" s="59"/>
      <x:c r="C41" s="59"/>
      <x:c r="D41" s="59"/>
      <x:c r="E41" s="59"/>
      <x:c r="F41" s="59"/>
      <x:c r="G41" s="59"/>
      <x:c r="H41" s="59"/>
      <x:c r="I41" s="59"/>
      <x:c r="J41" s="59"/>
      <x:c r="K41" s="59"/>
      <x:c r="L41" s="59"/>
      <x:c r="M41" s="59"/>
      <x:c r="N41" s="59"/>
      <x:c r="O41" s="59"/>
    </x:row>
    <x:row r="42">
      <x:c r="A42" s="59"/>
      <x:c r="B42" s="59"/>
      <x:c r="C42" s="59"/>
      <x:c r="D42" s="59"/>
      <x:c r="E42" s="59"/>
      <x:c r="F42" s="59"/>
      <x:c r="G42" s="59"/>
      <x:c r="H42" s="59"/>
      <x:c r="I42" s="59"/>
      <x:c r="J42" s="59"/>
      <x:c r="K42" s="59"/>
      <x:c r="L42" s="59"/>
      <x:c r="M42" s="59"/>
      <x:c r="N42" s="59"/>
      <x:c r="O42" s="59"/>
    </x:row>
    <x:row r="43">
      <x:c r="A43" s="59"/>
      <x:c r="B43" s="59"/>
      <x:c r="C43" s="59"/>
      <x:c r="D43" s="59"/>
      <x:c r="E43" s="59"/>
      <x:c r="F43" s="59"/>
      <x:c r="G43" s="59"/>
      <x:c r="H43" s="59"/>
      <x:c r="I43" s="59"/>
      <x:c r="J43" s="59"/>
      <x:c r="K43" s="59"/>
      <x:c r="L43" s="59"/>
      <x:c r="M43" s="59"/>
      <x:c r="N43" s="59"/>
      <x:c r="O43" s="59"/>
    </x:row>
    <x:row r="44">
      <x:c r="A44" s="59"/>
      <x:c r="B44" s="59"/>
      <x:c r="C44" s="59"/>
      <x:c r="D44" s="59"/>
      <x:c r="E44" s="59"/>
      <x:c r="F44" s="59"/>
      <x:c r="G44" s="59"/>
      <x:c r="H44" s="59"/>
      <x:c r="I44" s="59"/>
      <x:c r="J44" s="59"/>
      <x:c r="K44" s="59"/>
      <x:c r="L44" s="59"/>
      <x:c r="M44" s="59"/>
      <x:c r="N44" s="59"/>
      <x:c r="O44" s="59"/>
    </x:row>
    <x:row r="45">
      <x:c r="A45" s="59"/>
      <x:c r="B45" s="59"/>
      <x:c r="C45" s="59"/>
      <x:c r="D45" s="59"/>
      <x:c r="E45" s="59"/>
      <x:c r="F45" s="59"/>
      <x:c r="G45" s="59"/>
      <x:c r="H45" s="59"/>
      <x:c r="I45" s="59"/>
      <x:c r="J45" s="59"/>
      <x:c r="K45" s="59"/>
      <x:c r="L45" s="59"/>
      <x:c r="M45" s="59"/>
      <x:c r="N45" s="59"/>
      <x:c r="O45" s="59"/>
    </x:row>
    <x:row r="46">
      <x:c r="A46" s="59"/>
      <x:c r="B46" s="59"/>
      <x:c r="C46" s="59"/>
      <x:c r="D46" s="59"/>
      <x:c r="E46" s="59"/>
      <x:c r="F46" s="59"/>
      <x:c r="G46" s="59"/>
      <x:c r="H46" s="59"/>
      <x:c r="I46" s="59"/>
      <x:c r="J46" s="59"/>
      <x:c r="K46" s="59"/>
      <x:c r="L46" s="59"/>
      <x:c r="M46" s="59"/>
      <x:c r="N46" s="59"/>
      <x:c r="O46" s="59"/>
    </x:row>
    <x:row r="47">
      <x:c r="A47" s="59"/>
      <x:c r="B47" s="59"/>
      <x:c r="C47" s="59"/>
      <x:c r="D47" s="59"/>
      <x:c r="E47" s="59"/>
      <x:c r="F47" s="59"/>
      <x:c r="G47" s="59"/>
      <x:c r="H47" s="59"/>
      <x:c r="I47" s="59"/>
      <x:c r="J47" s="59"/>
      <x:c r="K47" s="59"/>
      <x:c r="L47" s="59"/>
      <x:c r="M47" s="59"/>
      <x:c r="N47" s="59"/>
      <x:c r="O47" s="59"/>
    </x:row>
    <x:row r="48">
      <x:c r="A48" s="59"/>
      <x:c r="B48" s="59"/>
      <x:c r="C48" s="59"/>
      <x:c r="D48" s="59"/>
      <x:c r="E48" s="59"/>
      <x:c r="F48" s="59"/>
      <x:c r="G48" s="59"/>
      <x:c r="H48" s="59"/>
      <x:c r="I48" s="59"/>
      <x:c r="J48" s="59"/>
      <x:c r="K48" s="59"/>
      <x:c r="L48" s="59"/>
      <x:c r="M48" s="59"/>
      <x:c r="N48" s="59"/>
      <x:c r="O48" s="59"/>
    </x:row>
    <x:row r="49">
      <x:c r="A49" s="59"/>
      <x:c r="B49" s="59"/>
      <x:c r="C49" s="59"/>
      <x:c r="D49" s="59"/>
      <x:c r="E49" s="59"/>
      <x:c r="F49" s="59"/>
      <x:c r="G49" s="59"/>
      <x:c r="H49" s="59"/>
      <x:c r="I49" s="59"/>
      <x:c r="J49" s="59"/>
      <x:c r="K49" s="59"/>
      <x:c r="L49" s="59"/>
      <x:c r="M49" s="59"/>
      <x:c r="N49" s="59"/>
      <x:c r="O49" s="59"/>
    </x:row>
    <x:row r="50">
      <x:c r="A50" s="59"/>
      <x:c r="B50" s="59"/>
      <x:c r="C50" s="59"/>
      <x:c r="D50" s="59"/>
      <x:c r="E50" s="59"/>
      <x:c r="F50" s="59"/>
      <x:c r="G50" s="59"/>
      <x:c r="H50" s="59"/>
      <x:c r="I50" s="59"/>
      <x:c r="J50" s="59"/>
      <x:c r="K50" s="59"/>
      <x:c r="L50" s="59"/>
      <x:c r="M50" s="59"/>
      <x:c r="N50" s="59"/>
      <x:c r="O50" s="59"/>
    </x:row>
    <x:row r="51">
      <x:c r="A51" s="59"/>
      <x:c r="B51" s="59"/>
      <x:c r="C51" s="59"/>
      <x:c r="D51" s="59"/>
      <x:c r="E51" s="59"/>
      <x:c r="F51" s="59"/>
      <x:c r="G51" s="59"/>
      <x:c r="H51" s="59"/>
      <x:c r="I51" s="59"/>
      <x:c r="J51" s="59"/>
      <x:c r="K51" s="59"/>
      <x:c r="L51" s="59"/>
      <x:c r="M51" s="59"/>
      <x:c r="N51" s="59"/>
      <x:c r="O51" s="59"/>
    </x:row>
    <x:row r="52">
      <x:c r="A52" s="59"/>
      <x:c r="B52" s="59"/>
      <x:c r="C52" s="59"/>
      <x:c r="D52" s="59"/>
      <x:c r="E52" s="59"/>
      <x:c r="F52" s="59"/>
      <x:c r="G52" s="59"/>
      <x:c r="H52" s="59"/>
      <x:c r="I52" s="59"/>
      <x:c r="J52" s="59"/>
      <x:c r="K52" s="59"/>
      <x:c r="L52" s="59"/>
      <x:c r="M52" s="59"/>
      <x:c r="N52" s="59"/>
      <x:c r="O52" s="59"/>
    </x:row>
    <x:row r="53">
      <x:c r="A53" s="59"/>
      <x:c r="B53" s="59"/>
      <x:c r="C53" s="59"/>
      <x:c r="D53" s="59"/>
      <x:c r="E53" s="59"/>
      <x:c r="F53" s="59"/>
      <x:c r="G53" s="59"/>
      <x:c r="H53" s="59"/>
      <x:c r="I53" s="59"/>
      <x:c r="J53" s="59"/>
      <x:c r="K53" s="59"/>
      <x:c r="L53" s="59"/>
      <x:c r="M53" s="59"/>
      <x:c r="N53" s="59"/>
      <x:c r="O53" s="59"/>
    </x:row>
    <x:row r="54">
      <x:c r="A54" s="59"/>
      <x:c r="B54" s="59"/>
      <x:c r="C54" s="59"/>
      <x:c r="D54" s="59"/>
      <x:c r="E54" s="59"/>
      <x:c r="F54" s="59"/>
      <x:c r="G54" s="59"/>
      <x:c r="H54" s="59"/>
      <x:c r="I54" s="59"/>
      <x:c r="J54" s="59"/>
      <x:c r="K54" s="59"/>
      <x:c r="L54" s="59"/>
      <x:c r="M54" s="59"/>
      <x:c r="N54" s="59"/>
      <x:c r="O54" s="59"/>
    </x:row>
    <x:row r="55">
      <x:c r="A55" s="59"/>
      <x:c r="B55" s="59"/>
      <x:c r="C55" s="59"/>
      <x:c r="D55" s="59"/>
      <x:c r="E55" s="59"/>
      <x:c r="F55" s="59"/>
      <x:c r="G55" s="59"/>
      <x:c r="H55" s="59"/>
      <x:c r="I55" s="59"/>
      <x:c r="J55" s="59"/>
      <x:c r="K55" s="59"/>
      <x:c r="L55" s="59"/>
      <x:c r="M55" s="59"/>
      <x:c r="N55" s="59"/>
      <x:c r="O55" s="59"/>
    </x:row>
    <x:row r="56">
      <x:c r="A56" s="59"/>
      <x:c r="B56" s="59"/>
      <x:c r="C56" s="59"/>
      <x:c r="D56" s="59"/>
      <x:c r="E56" s="59"/>
      <x:c r="F56" s="59"/>
      <x:c r="G56" s="59"/>
      <x:c r="H56" s="59"/>
      <x:c r="I56" s="59"/>
      <x:c r="J56" s="59"/>
      <x:c r="K56" s="59"/>
      <x:c r="L56" s="59"/>
      <x:c r="M56" s="59"/>
      <x:c r="N56" s="59"/>
      <x:c r="O56" s="59"/>
    </x:row>
    <x:row r="57">
      <x:c r="A57" s="59"/>
      <x:c r="B57" s="59"/>
      <x:c r="C57" s="59"/>
      <x:c r="D57" s="59"/>
      <x:c r="E57" s="59"/>
      <x:c r="F57" s="59"/>
      <x:c r="G57" s="59"/>
      <x:c r="H57" s="59"/>
      <x:c r="I57" s="59"/>
      <x:c r="J57" s="59"/>
      <x:c r="K57" s="59"/>
      <x:c r="L57" s="59"/>
      <x:c r="M57" s="59"/>
      <x:c r="N57" s="59"/>
      <x:c r="O57" s="59"/>
    </x:row>
    <x:row r="58">
      <x:c r="A58" s="59"/>
      <x:c r="B58" s="59"/>
      <x:c r="C58" s="59"/>
      <x:c r="D58" s="59"/>
      <x:c r="E58" s="59"/>
      <x:c r="F58" s="59"/>
      <x:c r="G58" s="59"/>
      <x:c r="H58" s="59"/>
      <x:c r="I58" s="59"/>
      <x:c r="J58" s="59"/>
      <x:c r="K58" s="59"/>
      <x:c r="L58" s="59"/>
      <x:c r="M58" s="59"/>
      <x:c r="N58" s="59"/>
      <x:c r="O58" s="59"/>
    </x:row>
    <x:row r="59">
      <x:c r="A59" s="59"/>
      <x:c r="B59" s="59"/>
      <x:c r="C59" s="59"/>
      <x:c r="D59" s="59"/>
      <x:c r="E59" s="59"/>
      <x:c r="F59" s="59"/>
      <x:c r="G59" s="59"/>
      <x:c r="H59" s="59"/>
      <x:c r="I59" s="59"/>
      <x:c r="J59" s="59"/>
      <x:c r="K59" s="59"/>
      <x:c r="L59" s="59"/>
      <x:c r="M59" s="59"/>
      <x:c r="N59" s="59"/>
      <x:c r="O59" s="59"/>
    </x:row>
    <x:row r="60">
      <x:c r="A60" s="59"/>
      <x:c r="B60" s="59"/>
      <x:c r="C60" s="59"/>
      <x:c r="D60" s="59"/>
      <x:c r="E60" s="59"/>
      <x:c r="F60" s="59"/>
      <x:c r="G60" s="59"/>
      <x:c r="H60" s="59"/>
      <x:c r="I60" s="59"/>
      <x:c r="J60" s="59"/>
      <x:c r="K60" s="59"/>
      <x:c r="L60" s="59"/>
      <x:c r="M60" s="59"/>
      <x:c r="N60" s="59"/>
      <x:c r="O60" s="59"/>
    </x:row>
    <x:row r="61">
      <x:c r="A61" s="59"/>
      <x:c r="B61" s="59"/>
      <x:c r="C61" s="59"/>
      <x:c r="D61" s="59"/>
      <x:c r="E61" s="59"/>
      <x:c r="F61" s="59"/>
      <x:c r="G61" s="59"/>
      <x:c r="H61" s="59"/>
      <x:c r="I61" s="59"/>
      <x:c r="J61" s="59"/>
      <x:c r="K61" s="59"/>
      <x:c r="L61" s="59"/>
      <x:c r="M61" s="59"/>
      <x:c r="N61" s="59"/>
      <x:c r="O61" s="59"/>
    </x:row>
    <x:row r="62">
      <x:c r="A62" s="59"/>
      <x:c r="B62" s="59"/>
      <x:c r="C62" s="59"/>
      <x:c r="D62" s="59"/>
      <x:c r="E62" s="59"/>
      <x:c r="F62" s="59"/>
      <x:c r="G62" s="59"/>
      <x:c r="H62" s="59"/>
      <x:c r="I62" s="59"/>
      <x:c r="J62" s="59"/>
      <x:c r="K62" s="59"/>
      <x:c r="L62" s="59"/>
      <x:c r="M62" s="59"/>
      <x:c r="N62" s="59"/>
      <x:c r="O62" s="59"/>
    </x:row>
    <x:row r="63">
      <x:c r="A63" s="59"/>
      <x:c r="B63" s="59"/>
      <x:c r="C63" s="59"/>
      <x:c r="D63" s="59"/>
      <x:c r="E63" s="59"/>
      <x:c r="F63" s="59"/>
      <x:c r="G63" s="59"/>
      <x:c r="H63" s="59"/>
      <x:c r="I63" s="59"/>
      <x:c r="J63" s="59"/>
      <x:c r="K63" s="59"/>
      <x:c r="L63" s="59"/>
      <x:c r="M63" s="59"/>
      <x:c r="N63" s="59"/>
      <x:c r="O63" s="59"/>
    </x:row>
    <x:row r="64">
      <x:c r="A64" s="59"/>
      <x:c r="B64" s="59"/>
      <x:c r="C64" s="59"/>
      <x:c r="D64" s="59"/>
      <x:c r="E64" s="59"/>
      <x:c r="F64" s="59"/>
      <x:c r="G64" s="59"/>
      <x:c r="H64" s="59"/>
      <x:c r="I64" s="59"/>
      <x:c r="J64" s="59"/>
      <x:c r="K64" s="59"/>
      <x:c r="L64" s="59"/>
      <x:c r="M64" s="59"/>
      <x:c r="N64" s="59"/>
      <x:c r="O64" s="59"/>
    </x:row>
    <x:row r="65">
      <x:c r="A65" s="59"/>
      <x:c r="B65" s="59"/>
      <x:c r="C65" s="59"/>
      <x:c r="D65" s="59"/>
      <x:c r="E65" s="59"/>
      <x:c r="F65" s="59"/>
      <x:c r="G65" s="59"/>
      <x:c r="H65" s="59"/>
      <x:c r="I65" s="59"/>
      <x:c r="J65" s="59"/>
      <x:c r="K65" s="59"/>
      <x:c r="L65" s="59"/>
      <x:c r="M65" s="59"/>
      <x:c r="N65" s="59"/>
      <x:c r="O65" s="59"/>
    </x:row>
    <x:row r="66">
      <x:c r="A66" s="59"/>
      <x:c r="B66" s="59"/>
      <x:c r="C66" s="59"/>
      <x:c r="D66" s="59"/>
      <x:c r="E66" s="59"/>
      <x:c r="F66" s="59"/>
      <x:c r="G66" s="59"/>
      <x:c r="H66" s="59"/>
      <x:c r="I66" s="59"/>
      <x:c r="J66" s="59"/>
      <x:c r="K66" s="59"/>
      <x:c r="L66" s="59"/>
      <x:c r="M66" s="59"/>
      <x:c r="N66" s="59"/>
      <x:c r="O66" s="59"/>
    </x:row>
    <x:row r="67">
      <x:c r="A67" s="59"/>
      <x:c r="B67" s="59"/>
      <x:c r="C67" s="59"/>
      <x:c r="D67" s="59"/>
      <x:c r="E67" s="59"/>
      <x:c r="F67" s="59"/>
      <x:c r="G67" s="59"/>
      <x:c r="H67" s="59"/>
      <x:c r="I67" s="59"/>
      <x:c r="J67" s="59"/>
      <x:c r="K67" s="59"/>
      <x:c r="L67" s="59"/>
      <x:c r="M67" s="59"/>
      <x:c r="N67" s="59"/>
      <x:c r="O67" s="59"/>
    </x:row>
    <x:row r="68">
      <x:c r="A68" s="59"/>
      <x:c r="B68" s="59"/>
      <x:c r="C68" s="59"/>
      <x:c r="D68" s="59"/>
      <x:c r="E68" s="59"/>
      <x:c r="F68" s="59"/>
      <x:c r="G68" s="59"/>
      <x:c r="H68" s="59"/>
      <x:c r="I68" s="59"/>
      <x:c r="J68" s="59"/>
      <x:c r="K68" s="59"/>
      <x:c r="L68" s="59"/>
      <x:c r="M68" s="59"/>
      <x:c r="N68" s="59"/>
      <x:c r="O68" s="59"/>
    </x:row>
    <x:row r="69">
      <x:c r="A69" s="59"/>
      <x:c r="B69" s="59"/>
      <x:c r="C69" s="59"/>
      <x:c r="D69" s="59"/>
      <x:c r="E69" s="59"/>
      <x:c r="F69" s="59"/>
      <x:c r="G69" s="59"/>
      <x:c r="H69" s="59"/>
      <x:c r="I69" s="59"/>
      <x:c r="J69" s="59"/>
      <x:c r="K69" s="59"/>
      <x:c r="L69" s="59"/>
      <x:c r="M69" s="59"/>
      <x:c r="N69" s="59"/>
      <x:c r="O69" s="59"/>
    </x:row>
    <x:row r="70">
      <x:c r="A70" s="59"/>
      <x:c r="B70" s="59"/>
      <x:c r="C70" s="59"/>
      <x:c r="D70" s="59"/>
      <x:c r="E70" s="59"/>
      <x:c r="F70" s="59"/>
      <x:c r="G70" s="59"/>
      <x:c r="H70" s="59"/>
      <x:c r="I70" s="59"/>
      <x:c r="J70" s="59"/>
      <x:c r="K70" s="59"/>
      <x:c r="L70" s="59"/>
      <x:c r="M70" s="59"/>
      <x:c r="N70" s="59"/>
      <x:c r="O70" s="59"/>
    </x:row>
    <x:row r="71">
      <x:c r="A71" s="59"/>
      <x:c r="B71" s="59"/>
      <x:c r="C71" s="59"/>
      <x:c r="D71" s="59"/>
      <x:c r="E71" s="59"/>
      <x:c r="F71" s="59"/>
      <x:c r="G71" s="59"/>
      <x:c r="H71" s="59"/>
      <x:c r="I71" s="59"/>
      <x:c r="J71" s="59"/>
      <x:c r="K71" s="59"/>
      <x:c r="L71" s="59"/>
      <x:c r="M71" s="59"/>
      <x:c r="N71" s="59"/>
      <x:c r="O71" s="59"/>
    </x:row>
    <x:row r="72">
      <x:c r="A72" s="59"/>
      <x:c r="B72" s="59"/>
      <x:c r="C72" s="59"/>
      <x:c r="D72" s="59"/>
      <x:c r="E72" s="59"/>
      <x:c r="F72" s="59"/>
      <x:c r="G72" s="59"/>
      <x:c r="H72" s="59"/>
      <x:c r="I72" s="59"/>
      <x:c r="J72" s="59"/>
      <x:c r="K72" s="59"/>
      <x:c r="L72" s="59"/>
      <x:c r="M72" s="59"/>
      <x:c r="N72" s="59"/>
      <x:c r="O72" s="59"/>
    </x:row>
    <x:row r="73">
      <x:c r="A73" s="59"/>
      <x:c r="B73" s="59"/>
      <x:c r="C73" s="59"/>
      <x:c r="D73" s="59"/>
      <x:c r="E73" s="59"/>
      <x:c r="F73" s="59"/>
      <x:c r="G73" s="59"/>
      <x:c r="H73" s="59"/>
      <x:c r="I73" s="59"/>
      <x:c r="J73" s="59"/>
      <x:c r="K73" s="59"/>
      <x:c r="L73" s="59"/>
      <x:c r="M73" s="59"/>
      <x:c r="N73" s="59"/>
      <x:c r="O73" s="59"/>
    </x:row>
    <x:row r="74">
      <x:c r="A74" s="59"/>
      <x:c r="B74" s="59"/>
      <x:c r="C74" s="59"/>
      <x:c r="D74" s="59"/>
      <x:c r="E74" s="59"/>
      <x:c r="F74" s="59"/>
      <x:c r="G74" s="59"/>
      <x:c r="H74" s="59"/>
      <x:c r="I74" s="59"/>
      <x:c r="J74" s="59"/>
      <x:c r="K74" s="59"/>
      <x:c r="L74" s="59"/>
      <x:c r="M74" s="59"/>
      <x:c r="N74" s="59"/>
      <x:c r="O74" s="59"/>
    </x:row>
    <x:row r="75">
      <x:c r="A75" s="59"/>
      <x:c r="B75" s="59"/>
      <x:c r="C75" s="59"/>
      <x:c r="D75" s="59"/>
      <x:c r="E75" s="59"/>
      <x:c r="F75" s="59"/>
      <x:c r="G75" s="59"/>
      <x:c r="H75" s="59"/>
      <x:c r="I75" s="59"/>
      <x:c r="J75" s="59"/>
      <x:c r="K75" s="59"/>
      <x:c r="L75" s="59"/>
      <x:c r="M75" s="59"/>
      <x:c r="N75" s="59"/>
      <x:c r="O75" s="59"/>
    </x:row>
    <x:row r="76">
      <x:c r="A76" s="59"/>
      <x:c r="B76" s="59"/>
      <x:c r="C76" s="59"/>
      <x:c r="D76" s="59"/>
      <x:c r="E76" s="59"/>
      <x:c r="F76" s="59"/>
      <x:c r="G76" s="59"/>
      <x:c r="H76" s="59"/>
      <x:c r="I76" s="59"/>
      <x:c r="J76" s="59"/>
      <x:c r="K76" s="59"/>
      <x:c r="L76" s="59"/>
      <x:c r="M76" s="59"/>
      <x:c r="N76" s="59"/>
      <x:c r="O76" s="59"/>
    </x:row>
    <x:row r="77">
      <x:c r="A77" s="59"/>
      <x:c r="B77" s="59"/>
      <x:c r="C77" s="59"/>
      <x:c r="D77" s="59"/>
      <x:c r="E77" s="59"/>
      <x:c r="F77" s="59"/>
      <x:c r="G77" s="59"/>
      <x:c r="H77" s="59"/>
      <x:c r="I77" s="59"/>
      <x:c r="J77" s="59"/>
      <x:c r="K77" s="59"/>
      <x:c r="L77" s="59"/>
      <x:c r="M77" s="59"/>
      <x:c r="N77" s="59"/>
      <x:c r="O77" s="59"/>
    </x:row>
    <x:row r="78">
      <x:c r="A78" s="59"/>
      <x:c r="B78" s="59"/>
      <x:c r="C78" s="59"/>
      <x:c r="D78" s="59"/>
      <x:c r="E78" s="59"/>
      <x:c r="F78" s="59"/>
      <x:c r="G78" s="59"/>
      <x:c r="H78" s="59"/>
      <x:c r="I78" s="59"/>
      <x:c r="J78" s="59"/>
      <x:c r="K78" s="59"/>
      <x:c r="L78" s="59"/>
      <x:c r="M78" s="59"/>
      <x:c r="N78" s="59"/>
      <x:c r="O78" s="59"/>
    </x:row>
    <x:row r="79">
      <x:c r="A79" s="59"/>
      <x:c r="B79" s="59"/>
      <x:c r="C79" s="59"/>
      <x:c r="D79" s="59"/>
      <x:c r="E79" s="59"/>
      <x:c r="F79" s="59"/>
      <x:c r="G79" s="59"/>
      <x:c r="H79" s="59"/>
      <x:c r="I79" s="59"/>
      <x:c r="J79" s="59"/>
      <x:c r="K79" s="59"/>
      <x:c r="L79" s="59"/>
      <x:c r="M79" s="59"/>
      <x:c r="N79" s="59"/>
      <x:c r="O79" s="59"/>
    </x:row>
    <x:row r="80">
      <x:c r="A80" s="59"/>
      <x:c r="B80" s="59"/>
      <x:c r="C80" s="59"/>
      <x:c r="D80" s="59"/>
      <x:c r="E80" s="59"/>
      <x:c r="F80" s="59"/>
      <x:c r="G80" s="59"/>
      <x:c r="H80" s="59"/>
      <x:c r="I80" s="59"/>
      <x:c r="J80" s="59"/>
      <x:c r="K80" s="59"/>
      <x:c r="L80" s="59"/>
      <x:c r="M80" s="59"/>
      <x:c r="N80" s="59"/>
      <x:c r="O80" s="59"/>
    </x:row>
    <x:row r="81">
      <x:c r="A81" s="59"/>
      <x:c r="B81" s="59"/>
      <x:c r="C81" s="59"/>
      <x:c r="D81" s="59"/>
      <x:c r="E81" s="59"/>
      <x:c r="F81" s="59"/>
      <x:c r="G81" s="59"/>
      <x:c r="H81" s="59"/>
      <x:c r="I81" s="59"/>
      <x:c r="J81" s="59"/>
      <x:c r="K81" s="59"/>
      <x:c r="L81" s="59"/>
      <x:c r="M81" s="59"/>
      <x:c r="N81" s="59"/>
      <x:c r="O81" s="59"/>
    </x:row>
    <x:row r="82">
      <x:c r="A82" s="59"/>
      <x:c r="B82" s="59"/>
      <x:c r="C82" s="59"/>
      <x:c r="D82" s="59"/>
      <x:c r="E82" s="59"/>
      <x:c r="F82" s="59"/>
      <x:c r="G82" s="59"/>
      <x:c r="H82" s="59"/>
      <x:c r="I82" s="59"/>
      <x:c r="J82" s="59"/>
      <x:c r="K82" s="59"/>
      <x:c r="L82" s="59"/>
      <x:c r="M82" s="59"/>
      <x:c r="N82" s="59"/>
      <x:c r="O82" s="59"/>
    </x:row>
    <x:row r="83">
      <x:c r="A83" s="59"/>
      <x:c r="B83" s="59"/>
      <x:c r="C83" s="59"/>
      <x:c r="D83" s="59"/>
      <x:c r="E83" s="59"/>
      <x:c r="F83" s="59"/>
      <x:c r="G83" s="59"/>
      <x:c r="H83" s="59"/>
      <x:c r="I83" s="59"/>
      <x:c r="J83" s="59"/>
      <x:c r="K83" s="59"/>
      <x:c r="L83" s="59"/>
      <x:c r="M83" s="59"/>
      <x:c r="N83" s="59"/>
      <x:c r="O83" s="59"/>
    </x:row>
    <x:row r="84">
      <x:c r="A84" s="59"/>
      <x:c r="B84" s="59"/>
      <x:c r="C84" s="59"/>
      <x:c r="D84" s="59"/>
      <x:c r="E84" s="59"/>
      <x:c r="F84" s="59"/>
      <x:c r="G84" s="59"/>
      <x:c r="H84" s="59"/>
      <x:c r="I84" s="59"/>
      <x:c r="J84" s="59"/>
      <x:c r="K84" s="59"/>
      <x:c r="L84" s="59"/>
      <x:c r="M84" s="59"/>
      <x:c r="N84" s="59"/>
      <x:c r="O84" s="59"/>
    </x:row>
    <x:row r="85">
      <x:c r="A85" s="59"/>
      <x:c r="B85" s="59"/>
      <x:c r="C85" s="59"/>
      <x:c r="D85" s="59"/>
      <x:c r="E85" s="59"/>
      <x:c r="F85" s="59"/>
      <x:c r="G85" s="59"/>
      <x:c r="H85" s="59"/>
      <x:c r="I85" s="59"/>
      <x:c r="J85" s="59"/>
      <x:c r="K85" s="59"/>
      <x:c r="L85" s="59"/>
      <x:c r="M85" s="59"/>
      <x:c r="N85" s="59"/>
      <x:c r="O85" s="59"/>
    </x:row>
    <x:row r="86">
      <x:c r="A86" s="59"/>
      <x:c r="B86" s="59"/>
      <x:c r="C86" s="59"/>
      <x:c r="D86" s="59"/>
      <x:c r="E86" s="59"/>
      <x:c r="F86" s="59"/>
      <x:c r="G86" s="59"/>
      <x:c r="H86" s="59"/>
      <x:c r="I86" s="59"/>
      <x:c r="J86" s="59"/>
      <x:c r="K86" s="59"/>
      <x:c r="L86" s="59"/>
      <x:c r="M86" s="59"/>
      <x:c r="N86" s="59"/>
      <x:c r="O86" s="59"/>
    </x:row>
    <x:row r="87">
      <x:c r="A87" s="59"/>
      <x:c r="B87" s="59"/>
      <x:c r="C87" s="59"/>
      <x:c r="D87" s="59"/>
      <x:c r="E87" s="59"/>
      <x:c r="F87" s="59"/>
      <x:c r="G87" s="59"/>
      <x:c r="H87" s="59"/>
      <x:c r="I87" s="59"/>
      <x:c r="J87" s="59"/>
      <x:c r="K87" s="59"/>
      <x:c r="L87" s="59"/>
      <x:c r="M87" s="59"/>
      <x:c r="N87" s="59"/>
      <x:c r="O87" s="59"/>
    </x:row>
    <x:row r="88">
      <x:c r="A88" s="59"/>
      <x:c r="B88" s="59"/>
      <x:c r="C88" s="59"/>
      <x:c r="D88" s="59"/>
      <x:c r="E88" s="59"/>
      <x:c r="F88" s="59"/>
      <x:c r="G88" s="59"/>
      <x:c r="H88" s="59"/>
      <x:c r="I88" s="59"/>
      <x:c r="J88" s="59"/>
      <x:c r="K88" s="59"/>
      <x:c r="L88" s="59"/>
      <x:c r="M88" s="59"/>
      <x:c r="N88" s="59"/>
      <x:c r="O88" s="59"/>
    </x:row>
    <x:row r="89">
      <x:c r="A89" s="59"/>
      <x:c r="B89" s="59"/>
      <x:c r="C89" s="59"/>
      <x:c r="D89" s="59"/>
      <x:c r="E89" s="59"/>
      <x:c r="F89" s="59"/>
      <x:c r="G89" s="59"/>
      <x:c r="H89" s="59"/>
      <x:c r="I89" s="59"/>
      <x:c r="J89" s="59"/>
      <x:c r="K89" s="59"/>
      <x:c r="L89" s="59"/>
      <x:c r="M89" s="59"/>
      <x:c r="N89" s="59"/>
      <x:c r="O89" s="59"/>
    </x:row>
    <x:row r="90">
      <x:c r="A90" s="59"/>
      <x:c r="B90" s="59"/>
      <x:c r="C90" s="59"/>
      <x:c r="D90" s="59"/>
      <x:c r="E90" s="59"/>
      <x:c r="F90" s="59"/>
      <x:c r="G90" s="59"/>
      <x:c r="H90" s="59"/>
      <x:c r="I90" s="59"/>
      <x:c r="J90" s="59"/>
      <x:c r="K90" s="59"/>
      <x:c r="L90" s="59"/>
      <x:c r="M90" s="59"/>
      <x:c r="N90" s="59"/>
      <x:c r="O90" s="59"/>
    </x:row>
    <x:row r="91">
      <x:c r="A91" s="59"/>
      <x:c r="B91" s="59"/>
      <x:c r="C91" s="59"/>
      <x:c r="D91" s="59"/>
      <x:c r="E91" s="59"/>
      <x:c r="F91" s="59"/>
      <x:c r="G91" s="59"/>
      <x:c r="H91" s="59"/>
      <x:c r="I91" s="59"/>
      <x:c r="J91" s="59"/>
      <x:c r="K91" s="59"/>
      <x:c r="L91" s="59"/>
      <x:c r="M91" s="59"/>
      <x:c r="N91" s="59"/>
      <x:c r="O91" s="59"/>
    </x:row>
    <x:row r="92">
      <x:c r="A92" s="59"/>
      <x:c r="B92" s="59"/>
      <x:c r="C92" s="59"/>
      <x:c r="D92" s="59"/>
      <x:c r="E92" s="59"/>
      <x:c r="F92" s="59"/>
      <x:c r="G92" s="59"/>
      <x:c r="H92" s="59"/>
      <x:c r="I92" s="59"/>
      <x:c r="J92" s="59"/>
      <x:c r="K92" s="59"/>
      <x:c r="L92" s="59"/>
      <x:c r="M92" s="59"/>
      <x:c r="N92" s="59"/>
      <x:c r="O92" s="59"/>
    </x:row>
    <x:row r="93">
      <x:c r="A93" s="59"/>
      <x:c r="B93" s="59"/>
      <x:c r="C93" s="59"/>
      <x:c r="D93" s="59"/>
      <x:c r="E93" s="59"/>
      <x:c r="F93" s="59"/>
      <x:c r="G93" s="59"/>
      <x:c r="H93" s="59"/>
      <x:c r="I93" s="59"/>
      <x:c r="J93" s="59"/>
      <x:c r="K93" s="59"/>
      <x:c r="L93" s="59"/>
      <x:c r="M93" s="59"/>
      <x:c r="N93" s="59"/>
      <x:c r="O93" s="59"/>
    </x:row>
    <x:row r="94">
      <x:c r="A94" s="59"/>
      <x:c r="B94" s="59"/>
      <x:c r="C94" s="59"/>
      <x:c r="D94" s="59"/>
      <x:c r="E94" s="59"/>
      <x:c r="F94" s="59"/>
      <x:c r="G94" s="59"/>
      <x:c r="H94" s="59"/>
      <x:c r="I94" s="59"/>
      <x:c r="J94" s="59"/>
      <x:c r="K94" s="59"/>
      <x:c r="L94" s="59"/>
      <x:c r="M94" s="59"/>
      <x:c r="N94" s="59"/>
      <x:c r="O94" s="59"/>
    </x:row>
    <x:row r="95">
      <x:c r="A95" s="59"/>
      <x:c r="B95" s="59"/>
      <x:c r="C95" s="59"/>
      <x:c r="D95" s="59"/>
      <x:c r="E95" s="59"/>
      <x:c r="F95" s="59"/>
      <x:c r="G95" s="59"/>
      <x:c r="H95" s="59"/>
      <x:c r="I95" s="59"/>
      <x:c r="J95" s="59"/>
      <x:c r="K95" s="59"/>
      <x:c r="L95" s="59"/>
      <x:c r="M95" s="59"/>
      <x:c r="N95" s="59"/>
      <x:c r="O95" s="59"/>
    </x:row>
    <x:row r="96">
      <x:c r="A96" s="59"/>
      <x:c r="B96" s="59"/>
      <x:c r="C96" s="59"/>
      <x:c r="D96" s="59"/>
      <x:c r="E96" s="59"/>
      <x:c r="F96" s="59"/>
      <x:c r="G96" s="59"/>
      <x:c r="H96" s="59"/>
      <x:c r="I96" s="59"/>
      <x:c r="J96" s="59"/>
      <x:c r="K96" s="59"/>
      <x:c r="L96" s="59"/>
      <x:c r="M96" s="59"/>
      <x:c r="N96" s="59"/>
      <x:c r="O96" s="59"/>
    </x:row>
    <x:row r="97">
      <x:c r="A97" s="59"/>
      <x:c r="B97" s="59"/>
      <x:c r="C97" s="59"/>
      <x:c r="D97" s="59"/>
      <x:c r="E97" s="59"/>
      <x:c r="F97" s="59"/>
      <x:c r="G97" s="59"/>
      <x:c r="H97" s="59"/>
      <x:c r="I97" s="59"/>
      <x:c r="J97" s="59"/>
      <x:c r="K97" s="59"/>
      <x:c r="L97" s="59"/>
      <x:c r="M97" s="59"/>
      <x:c r="N97" s="59"/>
      <x:c r="O97" s="59"/>
    </x:row>
    <x:row r="98">
      <x:c r="A98" s="59"/>
      <x:c r="B98" s="59"/>
      <x:c r="C98" s="59"/>
      <x:c r="D98" s="59"/>
      <x:c r="E98" s="59"/>
      <x:c r="F98" s="59"/>
      <x:c r="G98" s="59"/>
      <x:c r="H98" s="59"/>
      <x:c r="I98" s="59"/>
      <x:c r="J98" s="59"/>
      <x:c r="K98" s="59"/>
      <x:c r="L98" s="59"/>
      <x:c r="M98" s="59"/>
      <x:c r="N98" s="59"/>
      <x:c r="O98" s="59"/>
    </x:row>
    <x:row r="99">
      <x:c r="A99" s="59"/>
      <x:c r="B99" s="59"/>
      <x:c r="C99" s="59"/>
      <x:c r="D99" s="59"/>
      <x:c r="E99" s="59"/>
      <x:c r="F99" s="59"/>
      <x:c r="G99" s="59"/>
      <x:c r="H99" s="59"/>
      <x:c r="I99" s="59"/>
      <x:c r="J99" s="59"/>
      <x:c r="K99" s="59"/>
      <x:c r="L99" s="59"/>
      <x:c r="M99" s="59"/>
      <x:c r="N99" s="59"/>
      <x:c r="O99" s="59"/>
    </x:row>
    <x:row r="100">
      <x:c r="A100" s="59"/>
      <x:c r="B100" s="59"/>
      <x:c r="C100" s="59"/>
      <x:c r="D100" s="59"/>
      <x:c r="E100" s="59"/>
      <x:c r="F100" s="59"/>
      <x:c r="G100" s="59"/>
      <x:c r="H100" s="59"/>
      <x:c r="I100" s="59"/>
      <x:c r="J100" s="59"/>
      <x:c r="K100" s="59"/>
      <x:c r="L100" s="59"/>
      <x:c r="M100" s="59"/>
      <x:c r="N100" s="59"/>
      <x:c r="O100" s="59"/>
    </x:row>
    <x:row r="101">
      <x:c r="A101" s="59"/>
      <x:c r="B101" s="59"/>
      <x:c r="C101" s="59"/>
      <x:c r="D101" s="59"/>
      <x:c r="E101" s="59"/>
      <x:c r="F101" s="59"/>
      <x:c r="G101" s="59"/>
      <x:c r="H101" s="59"/>
      <x:c r="I101" s="59"/>
      <x:c r="J101" s="59"/>
      <x:c r="K101" s="59"/>
      <x:c r="L101" s="59"/>
      <x:c r="M101" s="59"/>
      <x:c r="N101" s="59"/>
      <x:c r="O101" s="59"/>
    </x:row>
    <x:row r="102">
      <x:c r="A102" s="59"/>
      <x:c r="B102" s="59"/>
      <x:c r="C102" s="59"/>
      <x:c r="D102" s="59"/>
      <x:c r="E102" s="59"/>
      <x:c r="F102" s="59"/>
      <x:c r="G102" s="59"/>
      <x:c r="H102" s="59"/>
      <x:c r="I102" s="59"/>
      <x:c r="J102" s="59"/>
      <x:c r="K102" s="59"/>
      <x:c r="L102" s="59"/>
      <x:c r="M102" s="59"/>
      <x:c r="N102" s="59"/>
      <x:c r="O102" s="59"/>
    </x:row>
    <x:row r="103">
      <x:c r="A103" s="59"/>
      <x:c r="B103" s="59"/>
      <x:c r="C103" s="59"/>
      <x:c r="D103" s="59"/>
      <x:c r="E103" s="59"/>
      <x:c r="F103" s="59"/>
      <x:c r="G103" s="59"/>
      <x:c r="H103" s="59"/>
      <x:c r="I103" s="59"/>
      <x:c r="J103" s="59"/>
      <x:c r="K103" s="59"/>
      <x:c r="L103" s="59"/>
      <x:c r="M103" s="59"/>
      <x:c r="N103" s="59"/>
      <x:c r="O103" s="59"/>
    </x:row>
    <x:row r="104">
      <x:c r="A104" s="59"/>
      <x:c r="B104" s="59"/>
      <x:c r="C104" s="59"/>
      <x:c r="D104" s="59"/>
      <x:c r="E104" s="59"/>
      <x:c r="F104" s="59"/>
      <x:c r="G104" s="59"/>
      <x:c r="H104" s="59"/>
      <x:c r="I104" s="59"/>
      <x:c r="J104" s="59"/>
      <x:c r="K104" s="59"/>
      <x:c r="L104" s="59"/>
      <x:c r="M104" s="59"/>
      <x:c r="N104" s="59"/>
      <x:c r="O104" s="59"/>
    </x:row>
    <x:row r="105">
      <x:c r="A105" s="59"/>
      <x:c r="B105" s="59"/>
      <x:c r="C105" s="59"/>
      <x:c r="D105" s="59"/>
      <x:c r="E105" s="59"/>
      <x:c r="F105" s="59"/>
      <x:c r="G105" s="59"/>
      <x:c r="H105" s="59"/>
      <x:c r="I105" s="59"/>
      <x:c r="J105" s="59"/>
      <x:c r="K105" s="59"/>
      <x:c r="L105" s="59"/>
      <x:c r="M105" s="59"/>
      <x:c r="N105" s="59"/>
      <x:c r="O105" s="59"/>
    </x:row>
    <x:row r="106">
      <x:c r="A106" s="59"/>
      <x:c r="B106" s="59"/>
      <x:c r="C106" s="59"/>
      <x:c r="D106" s="59"/>
      <x:c r="E106" s="59"/>
      <x:c r="F106" s="59"/>
      <x:c r="G106" s="59"/>
      <x:c r="H106" s="59"/>
      <x:c r="I106" s="59"/>
      <x:c r="J106" s="59"/>
      <x:c r="K106" s="59"/>
      <x:c r="L106" s="59"/>
      <x:c r="M106" s="59"/>
      <x:c r="N106" s="59"/>
      <x:c r="O106" s="59"/>
    </x:row>
    <x:row r="107">
      <x:c r="A107" s="59"/>
      <x:c r="B107" s="59"/>
      <x:c r="C107" s="59"/>
      <x:c r="D107" s="59"/>
      <x:c r="E107" s="59"/>
      <x:c r="F107" s="59"/>
      <x:c r="G107" s="59"/>
      <x:c r="H107" s="59"/>
      <x:c r="I107" s="59"/>
      <x:c r="J107" s="59"/>
      <x:c r="K107" s="59"/>
      <x:c r="L107" s="59"/>
      <x:c r="M107" s="59"/>
      <x:c r="N107" s="59"/>
      <x:c r="O107" s="59"/>
    </x:row>
    <x:row r="108">
      <x:c r="A108" s="59"/>
      <x:c r="B108" s="59"/>
      <x:c r="C108" s="59"/>
      <x:c r="D108" s="59"/>
      <x:c r="E108" s="59"/>
      <x:c r="F108" s="59"/>
      <x:c r="G108" s="59"/>
      <x:c r="H108" s="59"/>
      <x:c r="I108" s="59"/>
      <x:c r="J108" s="59"/>
      <x:c r="K108" s="59"/>
      <x:c r="L108" s="59"/>
      <x:c r="M108" s="59"/>
      <x:c r="N108" s="59"/>
      <x:c r="O108" s="59"/>
    </x:row>
    <x:row r="109">
      <x:c r="A109" s="59"/>
      <x:c r="B109" s="59"/>
      <x:c r="C109" s="59"/>
      <x:c r="D109" s="59"/>
      <x:c r="E109" s="59"/>
      <x:c r="F109" s="59"/>
      <x:c r="G109" s="59"/>
      <x:c r="H109" s="59"/>
      <x:c r="I109" s="59"/>
      <x:c r="J109" s="59"/>
      <x:c r="K109" s="59"/>
      <x:c r="L109" s="59"/>
      <x:c r="M109" s="59"/>
      <x:c r="N109" s="59"/>
      <x:c r="O109" s="59"/>
    </x:row>
    <x:row r="110">
      <x:c r="A110" s="59"/>
      <x:c r="B110" s="59"/>
      <x:c r="C110" s="59"/>
      <x:c r="D110" s="59"/>
      <x:c r="E110" s="59"/>
      <x:c r="F110" s="59"/>
      <x:c r="G110" s="59"/>
      <x:c r="H110" s="59"/>
      <x:c r="I110" s="59"/>
      <x:c r="J110" s="59"/>
      <x:c r="K110" s="59"/>
      <x:c r="L110" s="59"/>
      <x:c r="M110" s="59"/>
      <x:c r="N110" s="59"/>
      <x:c r="O110" s="59"/>
    </x:row>
    <x:row r="111">
      <x:c r="A111" s="59"/>
      <x:c r="B111" s="59"/>
      <x:c r="C111" s="59"/>
      <x:c r="D111" s="59"/>
      <x:c r="E111" s="59"/>
      <x:c r="F111" s="59"/>
      <x:c r="G111" s="59"/>
      <x:c r="H111" s="59"/>
      <x:c r="I111" s="59"/>
      <x:c r="J111" s="59"/>
      <x:c r="K111" s="59"/>
      <x:c r="L111" s="59"/>
      <x:c r="M111" s="59"/>
      <x:c r="N111" s="59"/>
      <x:c r="O111" s="59"/>
    </x:row>
    <x:row r="112">
      <x:c r="A112" s="59"/>
      <x:c r="B112" s="59"/>
      <x:c r="C112" s="59"/>
      <x:c r="D112" s="59"/>
      <x:c r="E112" s="59"/>
      <x:c r="F112" s="59"/>
      <x:c r="G112" s="59"/>
      <x:c r="H112" s="59"/>
      <x:c r="I112" s="59"/>
      <x:c r="J112" s="59"/>
      <x:c r="K112" s="59"/>
      <x:c r="L112" s="59"/>
      <x:c r="M112" s="59"/>
      <x:c r="N112" s="59"/>
      <x:c r="O112" s="59"/>
    </x:row>
    <x:row r="113">
      <x:c r="A113" s="59"/>
      <x:c r="B113" s="59"/>
      <x:c r="C113" s="59"/>
      <x:c r="D113" s="59"/>
      <x:c r="E113" s="59"/>
      <x:c r="F113" s="59"/>
      <x:c r="G113" s="59"/>
      <x:c r="H113" s="59"/>
      <x:c r="I113" s="59"/>
      <x:c r="J113" s="59"/>
      <x:c r="K113" s="59"/>
      <x:c r="L113" s="59"/>
      <x:c r="M113" s="59"/>
      <x:c r="N113" s="59"/>
      <x:c r="O113" s="59"/>
    </x:row>
    <x:row r="114">
      <x:c r="A114" s="59"/>
      <x:c r="B114" s="59"/>
      <x:c r="C114" s="59"/>
      <x:c r="D114" s="59"/>
      <x:c r="E114" s="59"/>
      <x:c r="F114" s="59"/>
      <x:c r="G114" s="59"/>
      <x:c r="H114" s="59"/>
      <x:c r="I114" s="59"/>
      <x:c r="J114" s="59"/>
      <x:c r="K114" s="59"/>
      <x:c r="L114" s="59"/>
      <x:c r="M114" s="59"/>
      <x:c r="N114" s="59"/>
      <x:c r="O114" s="59"/>
    </x:row>
    <x:row r="115">
      <x:c r="A115" s="59"/>
      <x:c r="B115" s="59"/>
      <x:c r="C115" s="59"/>
      <x:c r="D115" s="59"/>
      <x:c r="E115" s="59"/>
      <x:c r="F115" s="59"/>
      <x:c r="G115" s="59"/>
      <x:c r="H115" s="59"/>
      <x:c r="I115" s="59"/>
      <x:c r="J115" s="59"/>
      <x:c r="K115" s="59"/>
      <x:c r="L115" s="59"/>
      <x:c r="M115" s="59"/>
      <x:c r="N115" s="59"/>
      <x:c r="O115" s="59"/>
    </x:row>
    <x:row r="116">
      <x:c r="A116" s="59"/>
      <x:c r="B116" s="59"/>
      <x:c r="C116" s="59"/>
      <x:c r="D116" s="59"/>
      <x:c r="E116" s="59"/>
      <x:c r="F116" s="59"/>
      <x:c r="G116" s="59"/>
      <x:c r="H116" s="59"/>
      <x:c r="I116" s="59"/>
      <x:c r="J116" s="59"/>
      <x:c r="K116" s="59"/>
      <x:c r="L116" s="59"/>
      <x:c r="M116" s="59"/>
      <x:c r="N116" s="59"/>
      <x:c r="O116" s="59"/>
    </x:row>
    <x:row r="117">
      <x:c r="A117" s="59"/>
      <x:c r="B117" s="59"/>
      <x:c r="C117" s="59"/>
      <x:c r="D117" s="59"/>
      <x:c r="E117" s="59"/>
      <x:c r="F117" s="59"/>
      <x:c r="G117" s="59"/>
      <x:c r="H117" s="59"/>
      <x:c r="I117" s="59"/>
      <x:c r="J117" s="59"/>
      <x:c r="K117" s="59"/>
      <x:c r="L117" s="59"/>
      <x:c r="M117" s="59"/>
      <x:c r="N117" s="59"/>
      <x:c r="O117" s="59"/>
    </x:row>
    <x:row r="118">
      <x:c r="A118" s="59"/>
      <x:c r="B118" s="59"/>
      <x:c r="C118" s="59"/>
      <x:c r="D118" s="59"/>
      <x:c r="E118" s="59"/>
      <x:c r="F118" s="59"/>
      <x:c r="G118" s="59"/>
      <x:c r="H118" s="59"/>
      <x:c r="I118" s="59"/>
      <x:c r="J118" s="59"/>
      <x:c r="K118" s="59"/>
      <x:c r="L118" s="59"/>
      <x:c r="M118" s="59"/>
      <x:c r="N118" s="59"/>
      <x:c r="O118" s="59"/>
    </x:row>
    <x:row r="119">
      <x:c r="A119" s="59"/>
      <x:c r="B119" s="59"/>
      <x:c r="C119" s="59"/>
      <x:c r="D119" s="59"/>
      <x:c r="E119" s="59"/>
      <x:c r="F119" s="59"/>
      <x:c r="G119" s="59"/>
      <x:c r="H119" s="59"/>
      <x:c r="I119" s="59"/>
      <x:c r="J119" s="59"/>
      <x:c r="K119" s="59"/>
      <x:c r="L119" s="59"/>
      <x:c r="M119" s="59"/>
      <x:c r="N119" s="59"/>
      <x:c r="O119" s="59"/>
    </x:row>
    <x:row r="120">
      <x:c r="A120" s="59"/>
      <x:c r="B120" s="59"/>
      <x:c r="C120" s="59"/>
      <x:c r="D120" s="59"/>
      <x:c r="E120" s="59"/>
      <x:c r="F120" s="59"/>
      <x:c r="G120" s="59"/>
      <x:c r="H120" s="59"/>
      <x:c r="I120" s="59"/>
      <x:c r="J120" s="59"/>
      <x:c r="K120" s="59"/>
      <x:c r="L120" s="59"/>
      <x:c r="M120" s="59"/>
      <x:c r="N120" s="59"/>
      <x:c r="O120" s="59"/>
    </x:row>
    <x:row r="121">
      <x:c r="A121" s="59"/>
      <x:c r="B121" s="59"/>
      <x:c r="C121" s="59"/>
      <x:c r="D121" s="59"/>
      <x:c r="E121" s="59"/>
      <x:c r="F121" s="59"/>
      <x:c r="G121" s="59"/>
      <x:c r="H121" s="59"/>
      <x:c r="I121" s="59"/>
      <x:c r="J121" s="59"/>
      <x:c r="K121" s="59"/>
      <x:c r="L121" s="59"/>
      <x:c r="M121" s="59"/>
      <x:c r="N121" s="59"/>
      <x:c r="O121" s="59"/>
    </x:row>
    <x:row r="122">
      <x:c r="A122" s="59"/>
      <x:c r="B122" s="59"/>
      <x:c r="C122" s="59"/>
      <x:c r="D122" s="59"/>
      <x:c r="E122" s="59"/>
      <x:c r="F122" s="59"/>
      <x:c r="G122" s="59"/>
      <x:c r="H122" s="59"/>
      <x:c r="I122" s="59"/>
      <x:c r="J122" s="59"/>
      <x:c r="K122" s="59"/>
      <x:c r="L122" s="59"/>
      <x:c r="M122" s="59"/>
      <x:c r="N122" s="59"/>
      <x:c r="O122" s="59"/>
    </x:row>
    <x:row r="123">
      <x:c r="A123" s="59"/>
      <x:c r="B123" s="59"/>
      <x:c r="C123" s="59"/>
      <x:c r="D123" s="59"/>
      <x:c r="E123" s="59"/>
      <x:c r="F123" s="59"/>
      <x:c r="G123" s="59"/>
      <x:c r="H123" s="59"/>
      <x:c r="I123" s="59"/>
      <x:c r="J123" s="59"/>
      <x:c r="K123" s="59"/>
      <x:c r="L123" s="59"/>
      <x:c r="M123" s="59"/>
      <x:c r="N123" s="59"/>
      <x:c r="O123" s="59"/>
    </x:row>
    <x:row r="124">
      <x:c r="A124" s="59"/>
      <x:c r="B124" s="59"/>
      <x:c r="C124" s="59"/>
      <x:c r="D124" s="59"/>
      <x:c r="E124" s="59"/>
      <x:c r="F124" s="59"/>
      <x:c r="G124" s="59"/>
      <x:c r="H124" s="59"/>
      <x:c r="I124" s="59"/>
      <x:c r="J124" s="59"/>
      <x:c r="K124" s="59"/>
      <x:c r="L124" s="59"/>
      <x:c r="M124" s="59"/>
      <x:c r="N124" s="59"/>
      <x:c r="O124" s="59"/>
    </x:row>
    <x:row r="125">
      <x:c r="A125" s="59"/>
      <x:c r="B125" s="59"/>
      <x:c r="C125" s="59"/>
      <x:c r="D125" s="59"/>
      <x:c r="E125" s="59"/>
      <x:c r="F125" s="59"/>
      <x:c r="G125" s="59"/>
      <x:c r="H125" s="59"/>
      <x:c r="I125" s="59"/>
      <x:c r="J125" s="59"/>
      <x:c r="K125" s="59"/>
      <x:c r="L125" s="59"/>
      <x:c r="M125" s="59"/>
      <x:c r="N125" s="59"/>
      <x:c r="O125" s="59"/>
    </x:row>
    <x:row r="126">
      <x:c r="A126" s="59"/>
      <x:c r="B126" s="59"/>
      <x:c r="C126" s="59"/>
      <x:c r="D126" s="59"/>
      <x:c r="E126" s="59"/>
      <x:c r="F126" s="59"/>
      <x:c r="G126" s="59"/>
      <x:c r="H126" s="59"/>
      <x:c r="I126" s="59"/>
      <x:c r="J126" s="59"/>
      <x:c r="K126" s="59"/>
      <x:c r="L126" s="59"/>
      <x:c r="M126" s="59"/>
      <x:c r="N126" s="59"/>
      <x:c r="O126" s="59"/>
    </x:row>
    <x:row r="127">
      <x:c r="A127" s="59"/>
      <x:c r="B127" s="59"/>
      <x:c r="C127" s="59"/>
      <x:c r="D127" s="59"/>
      <x:c r="E127" s="59"/>
      <x:c r="F127" s="59"/>
      <x:c r="G127" s="59"/>
      <x:c r="H127" s="59"/>
      <x:c r="I127" s="59"/>
      <x:c r="J127" s="59"/>
      <x:c r="K127" s="59"/>
      <x:c r="L127" s="59"/>
      <x:c r="M127" s="59"/>
      <x:c r="N127" s="59"/>
      <x:c r="O127" s="59"/>
    </x:row>
    <x:row r="128">
      <x:c r="A128" s="59"/>
      <x:c r="B128" s="59"/>
      <x:c r="C128" s="59"/>
      <x:c r="D128" s="59"/>
      <x:c r="E128" s="59"/>
      <x:c r="F128" s="59"/>
      <x:c r="G128" s="59"/>
      <x:c r="H128" s="59"/>
      <x:c r="I128" s="59"/>
      <x:c r="J128" s="59"/>
      <x:c r="K128" s="59"/>
      <x:c r="L128" s="59"/>
      <x:c r="M128" s="59"/>
      <x:c r="N128" s="59"/>
      <x:c r="O128" s="59"/>
    </x:row>
    <x:row r="129">
      <x:c r="A129" s="59"/>
      <x:c r="B129" s="59"/>
      <x:c r="C129" s="59"/>
      <x:c r="D129" s="59"/>
      <x:c r="E129" s="59"/>
      <x:c r="F129" s="59"/>
      <x:c r="G129" s="59"/>
      <x:c r="H129" s="59"/>
      <x:c r="I129" s="59"/>
      <x:c r="J129" s="59"/>
      <x:c r="K129" s="59"/>
      <x:c r="L129" s="59"/>
      <x:c r="M129" s="59"/>
      <x:c r="N129" s="59"/>
      <x:c r="O129" s="59"/>
    </x:row>
    <x:row r="130">
      <x:c r="A130" s="59"/>
      <x:c r="B130" s="59"/>
      <x:c r="C130" s="59"/>
      <x:c r="D130" s="59"/>
      <x:c r="E130" s="59"/>
      <x:c r="F130" s="59"/>
      <x:c r="G130" s="59"/>
      <x:c r="H130" s="59"/>
      <x:c r="I130" s="59"/>
      <x:c r="J130" s="59"/>
      <x:c r="K130" s="59"/>
      <x:c r="L130" s="59"/>
      <x:c r="M130" s="59"/>
      <x:c r="N130" s="59"/>
      <x:c r="O130" s="59"/>
    </x:row>
    <x:row r="131">
      <x:c r="A131" s="59"/>
      <x:c r="B131" s="59"/>
      <x:c r="C131" s="59"/>
      <x:c r="D131" s="59"/>
      <x:c r="E131" s="59"/>
      <x:c r="F131" s="59"/>
      <x:c r="G131" s="59"/>
      <x:c r="H131" s="59"/>
      <x:c r="I131" s="59"/>
      <x:c r="J131" s="59"/>
      <x:c r="K131" s="59"/>
      <x:c r="L131" s="59"/>
      <x:c r="M131" s="59"/>
      <x:c r="N131" s="59"/>
      <x:c r="O131" s="59"/>
    </x:row>
    <x:row r="132">
      <x:c r="A132" s="59"/>
      <x:c r="B132" s="59"/>
      <x:c r="C132" s="59"/>
      <x:c r="D132" s="59"/>
      <x:c r="E132" s="59"/>
      <x:c r="F132" s="59"/>
      <x:c r="G132" s="59"/>
      <x:c r="H132" s="59"/>
      <x:c r="I132" s="59"/>
      <x:c r="J132" s="59"/>
      <x:c r="K132" s="59"/>
      <x:c r="L132" s="59"/>
      <x:c r="M132" s="59"/>
      <x:c r="N132" s="59"/>
      <x:c r="O132" s="59"/>
    </x:row>
    <x:row r="133">
      <x:c r="A133" s="59"/>
      <x:c r="B133" s="59"/>
      <x:c r="C133" s="59"/>
      <x:c r="D133" s="59"/>
      <x:c r="E133" s="59"/>
      <x:c r="F133" s="59"/>
      <x:c r="G133" s="59"/>
      <x:c r="H133" s="59"/>
      <x:c r="I133" s="59"/>
      <x:c r="J133" s="59"/>
      <x:c r="K133" s="59"/>
      <x:c r="L133" s="59"/>
      <x:c r="M133" s="59"/>
      <x:c r="N133" s="59"/>
      <x:c r="O133" s="59"/>
    </x:row>
    <x:row r="134">
      <x:c r="A134" s="59"/>
      <x:c r="B134" s="59"/>
      <x:c r="C134" s="59"/>
      <x:c r="D134" s="59"/>
      <x:c r="E134" s="59"/>
      <x:c r="F134" s="59"/>
      <x:c r="G134" s="59"/>
      <x:c r="H134" s="59"/>
      <x:c r="I134" s="59"/>
      <x:c r="J134" s="59"/>
      <x:c r="K134" s="59"/>
      <x:c r="L134" s="59"/>
      <x:c r="M134" s="59"/>
      <x:c r="N134" s="59"/>
      <x:c r="O134" s="59"/>
    </x:row>
    <x:row r="135">
      <x:c r="A135" s="59"/>
      <x:c r="B135" s="59"/>
      <x:c r="C135" s="59"/>
      <x:c r="D135" s="59"/>
      <x:c r="E135" s="59"/>
      <x:c r="F135" s="59"/>
      <x:c r="G135" s="59"/>
      <x:c r="H135" s="59"/>
      <x:c r="I135" s="59"/>
      <x:c r="J135" s="59"/>
      <x:c r="K135" s="59"/>
      <x:c r="L135" s="59"/>
      <x:c r="M135" s="59"/>
      <x:c r="N135" s="59"/>
      <x:c r="O135" s="59"/>
    </x:row>
    <x:row r="136">
      <x:c r="A136" s="59"/>
      <x:c r="B136" s="59"/>
      <x:c r="C136" s="59"/>
      <x:c r="D136" s="59"/>
      <x:c r="E136" s="59"/>
      <x:c r="F136" s="59"/>
      <x:c r="G136" s="59"/>
      <x:c r="H136" s="59"/>
      <x:c r="I136" s="59"/>
      <x:c r="J136" s="59"/>
      <x:c r="K136" s="59"/>
      <x:c r="L136" s="59"/>
      <x:c r="M136" s="59"/>
      <x:c r="N136" s="59"/>
      <x:c r="O136" s="59"/>
    </x:row>
    <x:row r="137">
      <x:c r="A137" s="59"/>
      <x:c r="B137" s="59"/>
      <x:c r="C137" s="59"/>
      <x:c r="D137" s="59"/>
      <x:c r="E137" s="59"/>
      <x:c r="F137" s="59"/>
      <x:c r="G137" s="59"/>
      <x:c r="H137" s="59"/>
      <x:c r="I137" s="59"/>
      <x:c r="J137" s="59"/>
      <x:c r="K137" s="59"/>
      <x:c r="L137" s="59"/>
      <x:c r="M137" s="59"/>
      <x:c r="N137" s="59"/>
      <x:c r="O137" s="59"/>
    </x:row>
    <x:row r="138">
      <x:c r="A138" s="59"/>
      <x:c r="B138" s="59"/>
      <x:c r="C138" s="59"/>
      <x:c r="D138" s="59"/>
      <x:c r="E138" s="59"/>
      <x:c r="F138" s="59"/>
      <x:c r="G138" s="59"/>
      <x:c r="H138" s="59"/>
      <x:c r="I138" s="59"/>
      <x:c r="J138" s="59"/>
      <x:c r="K138" s="59"/>
      <x:c r="L138" s="59"/>
      <x:c r="M138" s="59"/>
      <x:c r="N138" s="59"/>
      <x:c r="O138" s="59"/>
    </x:row>
    <x:row r="139">
      <x:c r="A139" s="59"/>
      <x:c r="B139" s="59"/>
      <x:c r="C139" s="59"/>
      <x:c r="D139" s="59"/>
      <x:c r="E139" s="59"/>
      <x:c r="F139" s="59"/>
      <x:c r="G139" s="59"/>
      <x:c r="H139" s="59"/>
      <x:c r="I139" s="59"/>
      <x:c r="J139" s="59"/>
      <x:c r="K139" s="59"/>
      <x:c r="L139" s="59"/>
      <x:c r="M139" s="59"/>
      <x:c r="N139" s="59"/>
      <x:c r="O139" s="59"/>
    </x:row>
    <x:row r="140">
      <x:c r="A140" s="59"/>
      <x:c r="B140" s="59"/>
      <x:c r="C140" s="59"/>
      <x:c r="D140" s="59"/>
      <x:c r="E140" s="59"/>
      <x:c r="F140" s="59"/>
      <x:c r="G140" s="59"/>
      <x:c r="H140" s="59"/>
      <x:c r="I140" s="59"/>
      <x:c r="J140" s="59"/>
      <x:c r="K140" s="59"/>
      <x:c r="L140" s="59"/>
      <x:c r="M140" s="59"/>
      <x:c r="N140" s="59"/>
      <x:c r="O140" s="59"/>
    </x:row>
    <x:row r="141">
      <x:c r="A141" s="59"/>
      <x:c r="B141" s="59"/>
      <x:c r="C141" s="59"/>
      <x:c r="D141" s="59"/>
      <x:c r="E141" s="59"/>
      <x:c r="F141" s="59"/>
      <x:c r="G141" s="59"/>
      <x:c r="H141" s="59"/>
      <x:c r="I141" s="59"/>
      <x:c r="J141" s="59"/>
      <x:c r="K141" s="59"/>
      <x:c r="L141" s="59"/>
      <x:c r="M141" s="59"/>
      <x:c r="N141" s="59"/>
      <x:c r="O141" s="59"/>
    </x:row>
    <x:row r="142">
      <x:c r="A142" s="59"/>
      <x:c r="B142" s="59"/>
      <x:c r="C142" s="59"/>
      <x:c r="D142" s="59"/>
      <x:c r="E142" s="59"/>
      <x:c r="F142" s="59"/>
      <x:c r="G142" s="59"/>
      <x:c r="H142" s="59"/>
      <x:c r="I142" s="59"/>
      <x:c r="J142" s="59"/>
      <x:c r="K142" s="59"/>
      <x:c r="L142" s="59"/>
      <x:c r="M142" s="59"/>
      <x:c r="N142" s="59"/>
      <x:c r="O142" s="59"/>
    </x:row>
    <x:row r="143">
      <x:c r="A143" s="59"/>
      <x:c r="B143" s="59"/>
      <x:c r="C143" s="59"/>
      <x:c r="D143" s="59"/>
      <x:c r="E143" s="59"/>
      <x:c r="F143" s="59"/>
      <x:c r="G143" s="59"/>
      <x:c r="H143" s="59"/>
      <x:c r="I143" s="59"/>
      <x:c r="J143" s="59"/>
      <x:c r="K143" s="59"/>
      <x:c r="L143" s="59"/>
      <x:c r="M143" s="59"/>
      <x:c r="N143" s="59"/>
      <x:c r="O143" s="59"/>
    </x:row>
    <x:row r="144">
      <x:c r="A144" s="59"/>
      <x:c r="B144" s="59"/>
      <x:c r="C144" s="59"/>
      <x:c r="D144" s="59"/>
      <x:c r="E144" s="59"/>
      <x:c r="F144" s="59"/>
      <x:c r="G144" s="59"/>
      <x:c r="H144" s="59"/>
      <x:c r="I144" s="59"/>
      <x:c r="J144" s="59"/>
      <x:c r="K144" s="59"/>
      <x:c r="L144" s="59"/>
      <x:c r="M144" s="59"/>
      <x:c r="N144" s="59"/>
      <x:c r="O144" s="59"/>
    </x:row>
    <x:row r="145">
      <x:c r="A145" s="59"/>
      <x:c r="B145" s="59"/>
      <x:c r="C145" s="59"/>
      <x:c r="D145" s="59"/>
      <x:c r="E145" s="59"/>
      <x:c r="F145" s="59"/>
      <x:c r="G145" s="59"/>
      <x:c r="H145" s="59"/>
      <x:c r="I145" s="59"/>
      <x:c r="J145" s="59"/>
      <x:c r="K145" s="59"/>
      <x:c r="L145" s="59"/>
      <x:c r="M145" s="59"/>
      <x:c r="N145" s="59"/>
      <x:c r="O145" s="59"/>
    </x:row>
    <x:row r="146">
      <x:c r="A146" s="59"/>
      <x:c r="B146" s="59"/>
      <x:c r="C146" s="59"/>
      <x:c r="D146" s="59"/>
      <x:c r="E146" s="59"/>
      <x:c r="F146" s="59"/>
      <x:c r="G146" s="59"/>
      <x:c r="H146" s="59"/>
      <x:c r="I146" s="59"/>
      <x:c r="J146" s="59"/>
      <x:c r="K146" s="59"/>
      <x:c r="L146" s="59"/>
      <x:c r="M146" s="59"/>
      <x:c r="N146" s="59"/>
      <x:c r="O146" s="59"/>
    </x:row>
    <x:row r="147">
      <x:c r="A147" s="59"/>
      <x:c r="B147" s="59"/>
      <x:c r="C147" s="59"/>
      <x:c r="D147" s="59"/>
      <x:c r="E147" s="59"/>
      <x:c r="F147" s="59"/>
      <x:c r="G147" s="59"/>
      <x:c r="H147" s="59"/>
      <x:c r="I147" s="59"/>
      <x:c r="J147" s="59"/>
      <x:c r="K147" s="59"/>
      <x:c r="L147" s="59"/>
      <x:c r="M147" s="59"/>
      <x:c r="N147" s="59"/>
      <x:c r="O147" s="59"/>
    </x:row>
    <x:row r="148">
      <x:c r="A148" s="59"/>
      <x:c r="B148" s="59"/>
      <x:c r="C148" s="59"/>
      <x:c r="D148" s="59"/>
      <x:c r="E148" s="59"/>
      <x:c r="F148" s="59"/>
      <x:c r="G148" s="59"/>
      <x:c r="H148" s="59"/>
      <x:c r="I148" s="59"/>
      <x:c r="J148" s="59"/>
      <x:c r="K148" s="59"/>
      <x:c r="L148" s="59"/>
      <x:c r="M148" s="59"/>
      <x:c r="N148" s="59"/>
      <x:c r="O148" s="59"/>
    </x:row>
    <x:row r="149">
      <x:c r="A149" s="59"/>
      <x:c r="B149" s="59"/>
      <x:c r="C149" s="59"/>
      <x:c r="D149" s="59"/>
      <x:c r="E149" s="59"/>
      <x:c r="F149" s="59"/>
      <x:c r="G149" s="59"/>
      <x:c r="H149" s="59"/>
      <x:c r="I149" s="59"/>
      <x:c r="J149" s="59"/>
      <x:c r="K149" s="59"/>
      <x:c r="L149" s="59"/>
      <x:c r="M149" s="59"/>
      <x:c r="N149" s="59"/>
      <x:c r="O149" s="59"/>
    </x:row>
    <x:row r="150">
      <x:c r="A150" s="59"/>
      <x:c r="B150" s="59"/>
      <x:c r="C150" s="59"/>
      <x:c r="D150" s="59"/>
      <x:c r="E150" s="59"/>
      <x:c r="F150" s="59"/>
      <x:c r="G150" s="59"/>
      <x:c r="H150" s="59"/>
      <x:c r="I150" s="59"/>
      <x:c r="J150" s="59"/>
      <x:c r="K150" s="59"/>
      <x:c r="L150" s="59"/>
      <x:c r="M150" s="59"/>
      <x:c r="N150" s="59"/>
      <x:c r="O150" s="59"/>
    </x:row>
    <x:row r="151">
      <x:c r="A151" s="59"/>
      <x:c r="B151" s="59"/>
      <x:c r="C151" s="59"/>
      <x:c r="D151" s="59"/>
      <x:c r="E151" s="59"/>
      <x:c r="F151" s="59"/>
      <x:c r="G151" s="59"/>
      <x:c r="H151" s="59"/>
      <x:c r="I151" s="59"/>
      <x:c r="J151" s="59"/>
      <x:c r="K151" s="59"/>
      <x:c r="L151" s="59"/>
      <x:c r="M151" s="59"/>
      <x:c r="N151" s="59"/>
      <x:c r="O151" s="59"/>
    </x:row>
    <x:row r="152">
      <x:c r="A152" s="59"/>
      <x:c r="B152" s="59"/>
      <x:c r="C152" s="59"/>
      <x:c r="D152" s="59"/>
      <x:c r="E152" s="59"/>
      <x:c r="F152" s="59"/>
      <x:c r="G152" s="59"/>
      <x:c r="H152" s="59"/>
      <x:c r="I152" s="59"/>
      <x:c r="J152" s="59"/>
      <x:c r="K152" s="59"/>
      <x:c r="L152" s="59"/>
      <x:c r="M152" s="59"/>
      <x:c r="N152" s="59"/>
      <x:c r="O152" s="59"/>
    </x:row>
    <x:row r="153">
      <x:c r="A153" s="59"/>
      <x:c r="B153" s="59"/>
      <x:c r="C153" s="59"/>
      <x:c r="D153" s="59"/>
      <x:c r="E153" s="59"/>
      <x:c r="F153" s="59"/>
      <x:c r="G153" s="59"/>
      <x:c r="H153" s="59"/>
      <x:c r="I153" s="59"/>
      <x:c r="J153" s="59"/>
      <x:c r="K153" s="59"/>
      <x:c r="L153" s="59"/>
      <x:c r="M153" s="59"/>
      <x:c r="N153" s="59"/>
      <x:c r="O153" s="59"/>
    </x:row>
    <x:row r="154">
      <x:c r="A154" s="59"/>
      <x:c r="B154" s="59"/>
      <x:c r="C154" s="59"/>
      <x:c r="D154" s="59"/>
      <x:c r="E154" s="59"/>
      <x:c r="F154" s="59"/>
      <x:c r="G154" s="59"/>
      <x:c r="H154" s="59"/>
      <x:c r="I154" s="59"/>
      <x:c r="J154" s="59"/>
      <x:c r="K154" s="59"/>
      <x:c r="L154" s="59"/>
      <x:c r="M154" s="59"/>
      <x:c r="N154" s="59"/>
      <x:c r="O154" s="59"/>
    </x:row>
    <x:row r="155">
      <x:c r="A155" s="59"/>
      <x:c r="B155" s="59"/>
      <x:c r="C155" s="59"/>
      <x:c r="D155" s="59"/>
      <x:c r="E155" s="59"/>
      <x:c r="F155" s="59"/>
      <x:c r="G155" s="59"/>
      <x:c r="H155" s="59"/>
      <x:c r="I155" s="59"/>
      <x:c r="J155" s="59"/>
      <x:c r="K155" s="59"/>
      <x:c r="L155" s="59"/>
      <x:c r="M155" s="59"/>
      <x:c r="N155" s="59"/>
      <x:c r="O155" s="59"/>
    </x:row>
    <x:row r="156">
      <x:c r="A156" s="59"/>
      <x:c r="B156" s="59"/>
      <x:c r="C156" s="59"/>
      <x:c r="D156" s="59"/>
      <x:c r="E156" s="59"/>
      <x:c r="F156" s="59"/>
      <x:c r="G156" s="59"/>
      <x:c r="H156" s="59"/>
      <x:c r="I156" s="59"/>
      <x:c r="J156" s="59"/>
      <x:c r="K156" s="59"/>
      <x:c r="L156" s="59"/>
      <x:c r="M156" s="59"/>
      <x:c r="N156" s="59"/>
      <x:c r="O156" s="59"/>
    </x:row>
    <x:row r="157">
      <x:c r="A157" s="59"/>
      <x:c r="B157" s="59"/>
      <x:c r="C157" s="59"/>
      <x:c r="D157" s="59"/>
      <x:c r="E157" s="59"/>
      <x:c r="F157" s="59"/>
      <x:c r="G157" s="59"/>
      <x:c r="H157" s="59"/>
      <x:c r="I157" s="59"/>
      <x:c r="J157" s="59"/>
      <x:c r="K157" s="59"/>
      <x:c r="L157" s="59"/>
      <x:c r="M157" s="59"/>
      <x:c r="N157" s="59"/>
      <x:c r="O157" s="59"/>
    </x:row>
    <x:row r="158">
      <x:c r="A158" s="59"/>
      <x:c r="B158" s="59"/>
      <x:c r="C158" s="59"/>
      <x:c r="D158" s="59"/>
      <x:c r="E158" s="59"/>
      <x:c r="F158" s="59"/>
      <x:c r="G158" s="59"/>
      <x:c r="H158" s="59"/>
      <x:c r="I158" s="59"/>
      <x:c r="J158" s="59"/>
      <x:c r="K158" s="59"/>
      <x:c r="L158" s="59"/>
      <x:c r="M158" s="59"/>
      <x:c r="N158" s="59"/>
      <x:c r="O158" s="59"/>
    </x:row>
    <x:row r="159">
      <x:c r="A159" s="59"/>
      <x:c r="B159" s="59"/>
      <x:c r="C159" s="59"/>
      <x:c r="D159" s="59"/>
      <x:c r="E159" s="59"/>
      <x:c r="F159" s="59"/>
      <x:c r="G159" s="59"/>
      <x:c r="H159" s="59"/>
      <x:c r="I159" s="59"/>
      <x:c r="J159" s="59"/>
      <x:c r="K159" s="59"/>
      <x:c r="L159" s="59"/>
      <x:c r="M159" s="59"/>
      <x:c r="N159" s="59"/>
      <x:c r="O159" s="59"/>
    </x:row>
    <x:row r="160">
      <x:c r="A160" s="59"/>
      <x:c r="B160" s="59"/>
      <x:c r="C160" s="59"/>
      <x:c r="D160" s="59"/>
      <x:c r="E160" s="59"/>
      <x:c r="F160" s="59"/>
      <x:c r="G160" s="59"/>
      <x:c r="H160" s="59"/>
      <x:c r="I160" s="59"/>
      <x:c r="J160" s="59"/>
      <x:c r="K160" s="59"/>
      <x:c r="L160" s="59"/>
      <x:c r="M160" s="59"/>
      <x:c r="N160" s="59"/>
      <x:c r="O160" s="59"/>
    </x:row>
    <x:row r="161">
      <x:c r="A161" s="59"/>
      <x:c r="B161" s="59"/>
      <x:c r="C161" s="59"/>
      <x:c r="D161" s="59"/>
      <x:c r="E161" s="59"/>
      <x:c r="F161" s="59"/>
      <x:c r="G161" s="59"/>
      <x:c r="H161" s="59"/>
      <x:c r="I161" s="59"/>
      <x:c r="J161" s="59"/>
      <x:c r="K161" s="59"/>
      <x:c r="L161" s="59"/>
      <x:c r="M161" s="59"/>
      <x:c r="N161" s="59"/>
      <x:c r="O161" s="59"/>
    </x:row>
    <x:row r="162">
      <x:c r="A162" s="59"/>
      <x:c r="B162" s="59"/>
      <x:c r="C162" s="59"/>
      <x:c r="D162" s="59"/>
      <x:c r="E162" s="59"/>
      <x:c r="F162" s="59"/>
      <x:c r="G162" s="59"/>
      <x:c r="H162" s="59"/>
      <x:c r="I162" s="59"/>
      <x:c r="J162" s="59"/>
      <x:c r="K162" s="59"/>
      <x:c r="L162" s="59"/>
      <x:c r="M162" s="59"/>
      <x:c r="N162" s="59"/>
      <x:c r="O162" s="59"/>
    </x:row>
    <x:row r="163">
      <x:c r="A163" s="59"/>
      <x:c r="B163" s="59"/>
      <x:c r="C163" s="59"/>
      <x:c r="D163" s="59"/>
      <x:c r="E163" s="59"/>
      <x:c r="F163" s="59"/>
      <x:c r="G163" s="59"/>
      <x:c r="H163" s="59"/>
      <x:c r="I163" s="59"/>
      <x:c r="J163" s="59"/>
      <x:c r="K163" s="59"/>
      <x:c r="L163" s="59"/>
      <x:c r="M163" s="59"/>
      <x:c r="N163" s="59"/>
      <x:c r="O163" s="59"/>
    </x:row>
    <x:row r="164">
      <x:c r="A164" s="59"/>
      <x:c r="B164" s="59"/>
      <x:c r="C164" s="59"/>
      <x:c r="D164" s="59"/>
      <x:c r="E164" s="59"/>
      <x:c r="F164" s="59"/>
      <x:c r="G164" s="59"/>
      <x:c r="H164" s="59"/>
      <x:c r="I164" s="59"/>
      <x:c r="J164" s="59"/>
      <x:c r="K164" s="59"/>
      <x:c r="L164" s="59"/>
      <x:c r="M164" s="59"/>
      <x:c r="N164" s="59"/>
      <x:c r="O164" s="59"/>
    </x:row>
    <x:row r="165">
      <x:c r="A165" s="59"/>
      <x:c r="B165" s="59"/>
      <x:c r="C165" s="59"/>
      <x:c r="D165" s="59"/>
      <x:c r="E165" s="59"/>
      <x:c r="F165" s="59"/>
      <x:c r="G165" s="59"/>
      <x:c r="H165" s="59"/>
      <x:c r="I165" s="59"/>
      <x:c r="J165" s="59"/>
      <x:c r="K165" s="59"/>
      <x:c r="L165" s="59"/>
      <x:c r="M165" s="59"/>
      <x:c r="N165" s="59"/>
      <x:c r="O165" s="59"/>
    </x:row>
    <x:row r="166">
      <x:c r="A166" s="59"/>
      <x:c r="B166" s="59"/>
      <x:c r="C166" s="59"/>
      <x:c r="D166" s="59"/>
      <x:c r="E166" s="59"/>
      <x:c r="F166" s="59"/>
      <x:c r="G166" s="59"/>
      <x:c r="H166" s="59"/>
      <x:c r="I166" s="59"/>
      <x:c r="J166" s="59"/>
      <x:c r="K166" s="59"/>
      <x:c r="L166" s="59"/>
      <x:c r="M166" s="59"/>
      <x:c r="N166" s="59"/>
      <x:c r="O166" s="59"/>
    </x:row>
    <x:row r="167">
      <x:c r="A167" s="59"/>
      <x:c r="B167" s="59"/>
      <x:c r="C167" s="59"/>
      <x:c r="D167" s="59"/>
      <x:c r="E167" s="59"/>
      <x:c r="F167" s="59"/>
      <x:c r="G167" s="59"/>
      <x:c r="H167" s="59"/>
      <x:c r="I167" s="59"/>
      <x:c r="J167" s="59"/>
      <x:c r="K167" s="59"/>
      <x:c r="L167" s="59"/>
      <x:c r="M167" s="59"/>
      <x:c r="N167" s="59"/>
      <x:c r="O167" s="59"/>
    </x:row>
    <x:row r="168">
      <x:c r="A168" s="59"/>
      <x:c r="B168" s="59"/>
      <x:c r="C168" s="59"/>
      <x:c r="D168" s="59"/>
      <x:c r="E168" s="59"/>
      <x:c r="F168" s="59"/>
      <x:c r="G168" s="59"/>
      <x:c r="H168" s="59"/>
      <x:c r="I168" s="59"/>
      <x:c r="J168" s="59"/>
      <x:c r="K168" s="59"/>
      <x:c r="L168" s="59"/>
      <x:c r="M168" s="59"/>
      <x:c r="N168" s="59"/>
      <x:c r="O168" s="59"/>
    </x:row>
    <x:row r="169">
      <x:c r="A169" s="59"/>
      <x:c r="B169" s="59"/>
      <x:c r="C169" s="59"/>
      <x:c r="D169" s="59"/>
      <x:c r="E169" s="59"/>
      <x:c r="F169" s="59"/>
      <x:c r="G169" s="59"/>
      <x:c r="H169" s="59"/>
      <x:c r="I169" s="59"/>
      <x:c r="J169" s="59"/>
      <x:c r="K169" s="59"/>
      <x:c r="L169" s="59"/>
      <x:c r="M169" s="59"/>
      <x:c r="N169" s="59"/>
      <x:c r="O169" s="59"/>
    </x:row>
    <x:row r="170">
      <x:c r="A170" s="59"/>
      <x:c r="B170" s="59"/>
      <x:c r="C170" s="59"/>
      <x:c r="D170" s="59"/>
      <x:c r="E170" s="59"/>
      <x:c r="F170" s="59"/>
      <x:c r="G170" s="59"/>
      <x:c r="H170" s="59"/>
      <x:c r="I170" s="59"/>
      <x:c r="J170" s="59"/>
      <x:c r="K170" s="59"/>
      <x:c r="L170" s="59"/>
      <x:c r="M170" s="59"/>
      <x:c r="N170" s="59"/>
      <x:c r="O170" s="59"/>
    </x:row>
    <x:row r="171">
      <x:c r="A171" s="59"/>
      <x:c r="B171" s="59"/>
      <x:c r="C171" s="59"/>
      <x:c r="D171" s="59"/>
      <x:c r="E171" s="59"/>
      <x:c r="F171" s="59"/>
      <x:c r="G171" s="59"/>
      <x:c r="H171" s="59"/>
      <x:c r="I171" s="59"/>
      <x:c r="J171" s="59"/>
      <x:c r="K171" s="59"/>
      <x:c r="L171" s="59"/>
      <x:c r="M171" s="59"/>
      <x:c r="N171" s="59"/>
      <x:c r="O171" s="59"/>
    </x:row>
    <x:row r="172">
      <x:c r="A172" s="59"/>
      <x:c r="B172" s="59"/>
      <x:c r="C172" s="59"/>
      <x:c r="D172" s="59"/>
      <x:c r="E172" s="59"/>
      <x:c r="F172" s="59"/>
      <x:c r="G172" s="59"/>
      <x:c r="H172" s="59"/>
      <x:c r="I172" s="59"/>
      <x:c r="J172" s="59"/>
      <x:c r="K172" s="59"/>
      <x:c r="L172" s="59"/>
      <x:c r="M172" s="59"/>
      <x:c r="N172" s="59"/>
      <x:c r="O172" s="59"/>
    </x:row>
    <x:row r="173">
      <x:c r="A173" s="59"/>
      <x:c r="B173" s="59"/>
      <x:c r="C173" s="59"/>
      <x:c r="D173" s="59"/>
      <x:c r="E173" s="59"/>
      <x:c r="F173" s="59"/>
      <x:c r="G173" s="59"/>
      <x:c r="H173" s="59"/>
      <x:c r="I173" s="59"/>
      <x:c r="J173" s="59"/>
      <x:c r="K173" s="59"/>
      <x:c r="L173" s="59"/>
      <x:c r="M173" s="59"/>
      <x:c r="N173" s="59"/>
      <x:c r="O173" s="59"/>
    </x:row>
    <x:row r="174">
      <x:c r="A174" s="59"/>
      <x:c r="B174" s="59"/>
      <x:c r="C174" s="59"/>
      <x:c r="D174" s="59"/>
      <x:c r="E174" s="59"/>
      <x:c r="F174" s="59"/>
      <x:c r="G174" s="59"/>
      <x:c r="H174" s="59"/>
      <x:c r="I174" s="59"/>
      <x:c r="J174" s="59"/>
      <x:c r="K174" s="59"/>
      <x:c r="L174" s="59"/>
      <x:c r="M174" s="59"/>
      <x:c r="N174" s="59"/>
      <x:c r="O174" s="59"/>
    </x:row>
    <x:row r="175">
      <x:c r="A175" s="59"/>
      <x:c r="B175" s="59"/>
      <x:c r="C175" s="59"/>
      <x:c r="D175" s="59"/>
      <x:c r="E175" s="59"/>
      <x:c r="F175" s="59"/>
      <x:c r="G175" s="59"/>
      <x:c r="H175" s="59"/>
      <x:c r="I175" s="59"/>
      <x:c r="J175" s="59"/>
      <x:c r="K175" s="59"/>
      <x:c r="L175" s="59"/>
      <x:c r="M175" s="59"/>
      <x:c r="N175" s="59"/>
      <x:c r="O175" s="59"/>
    </x:row>
    <x:row r="176">
      <x:c r="A176" s="59"/>
      <x:c r="B176" s="59"/>
      <x:c r="C176" s="59"/>
      <x:c r="D176" s="59"/>
      <x:c r="E176" s="59"/>
      <x:c r="F176" s="59"/>
      <x:c r="G176" s="59"/>
      <x:c r="H176" s="59"/>
      <x:c r="I176" s="59"/>
      <x:c r="J176" s="59"/>
      <x:c r="K176" s="59"/>
      <x:c r="L176" s="59"/>
      <x:c r="M176" s="59"/>
      <x:c r="N176" s="59"/>
      <x:c r="O176" s="59"/>
    </x:row>
    <x:row r="177">
      <x:c r="A177" s="59"/>
      <x:c r="B177" s="59"/>
      <x:c r="C177" s="59"/>
      <x:c r="D177" s="59"/>
      <x:c r="E177" s="59"/>
      <x:c r="F177" s="59"/>
      <x:c r="G177" s="59"/>
      <x:c r="H177" s="59"/>
      <x:c r="I177" s="59"/>
      <x:c r="J177" s="59"/>
      <x:c r="K177" s="59"/>
      <x:c r="L177" s="59"/>
      <x:c r="M177" s="59"/>
      <x:c r="N177" s="59"/>
      <x:c r="O177" s="59"/>
    </x:row>
    <x:row r="178">
      <x:c r="A178" s="59"/>
      <x:c r="B178" s="59"/>
      <x:c r="C178" s="59"/>
      <x:c r="D178" s="59"/>
      <x:c r="E178" s="59"/>
      <x:c r="F178" s="59"/>
      <x:c r="G178" s="59"/>
      <x:c r="H178" s="59"/>
      <x:c r="I178" s="59"/>
      <x:c r="J178" s="59"/>
      <x:c r="K178" s="59"/>
      <x:c r="L178" s="59"/>
      <x:c r="M178" s="59"/>
      <x:c r="N178" s="59"/>
      <x:c r="O178" s="59"/>
    </x:row>
    <x:row r="179">
      <x:c r="A179" s="59"/>
      <x:c r="B179" s="59"/>
      <x:c r="C179" s="59"/>
      <x:c r="D179" s="59"/>
      <x:c r="E179" s="59"/>
      <x:c r="F179" s="59"/>
      <x:c r="G179" s="59"/>
      <x:c r="H179" s="59"/>
      <x:c r="I179" s="59"/>
      <x:c r="J179" s="59"/>
      <x:c r="K179" s="59"/>
      <x:c r="L179" s="59"/>
      <x:c r="M179" s="59"/>
      <x:c r="N179" s="59"/>
      <x:c r="O179" s="59"/>
    </x:row>
    <x:row r="180">
      <x:c r="A180" s="59"/>
      <x:c r="B180" s="59"/>
      <x:c r="C180" s="59"/>
      <x:c r="D180" s="59"/>
      <x:c r="E180" s="59"/>
      <x:c r="F180" s="59"/>
      <x:c r="G180" s="59"/>
      <x:c r="H180" s="59"/>
      <x:c r="I180" s="59"/>
      <x:c r="J180" s="59"/>
      <x:c r="K180" s="59"/>
      <x:c r="L180" s="59"/>
      <x:c r="M180" s="59"/>
      <x:c r="N180" s="59"/>
      <x:c r="O180" s="59"/>
    </x:row>
    <x:row r="181">
      <x:c r="A181" s="59"/>
      <x:c r="B181" s="59"/>
      <x:c r="C181" s="59"/>
      <x:c r="D181" s="59"/>
      <x:c r="E181" s="59"/>
      <x:c r="F181" s="59"/>
      <x:c r="G181" s="59"/>
      <x:c r="H181" s="59"/>
      <x:c r="I181" s="59"/>
      <x:c r="J181" s="59"/>
      <x:c r="K181" s="59"/>
      <x:c r="L181" s="59"/>
      <x:c r="M181" s="59"/>
      <x:c r="N181" s="59"/>
      <x:c r="O181" s="59"/>
    </x:row>
    <x:row r="182">
      <x:c r="A182" s="59"/>
      <x:c r="B182" s="59"/>
      <x:c r="C182" s="59"/>
      <x:c r="D182" s="59"/>
      <x:c r="E182" s="59"/>
      <x:c r="F182" s="59"/>
      <x:c r="G182" s="59"/>
      <x:c r="H182" s="59"/>
      <x:c r="I182" s="59"/>
      <x:c r="J182" s="59"/>
      <x:c r="K182" s="59"/>
      <x:c r="L182" s="59"/>
      <x:c r="M182" s="59"/>
      <x:c r="N182" s="59"/>
      <x:c r="O182" s="59"/>
    </x:row>
    <x:row r="183">
      <x:c r="A183" s="59"/>
      <x:c r="B183" s="59"/>
      <x:c r="C183" s="59"/>
      <x:c r="D183" s="59"/>
      <x:c r="E183" s="59"/>
      <x:c r="F183" s="59"/>
      <x:c r="G183" s="59"/>
      <x:c r="H183" s="59"/>
      <x:c r="I183" s="59"/>
      <x:c r="J183" s="59"/>
      <x:c r="K183" s="59"/>
      <x:c r="L183" s="59"/>
      <x:c r="M183" s="59"/>
      <x:c r="N183" s="59"/>
      <x:c r="O183" s="59"/>
    </x:row>
    <x:row r="184">
      <x:c r="A184" s="59"/>
      <x:c r="B184" s="59"/>
      <x:c r="C184" s="59"/>
      <x:c r="D184" s="59"/>
      <x:c r="E184" s="59"/>
      <x:c r="F184" s="59"/>
      <x:c r="G184" s="59"/>
      <x:c r="H184" s="59"/>
      <x:c r="I184" s="59"/>
      <x:c r="J184" s="59"/>
      <x:c r="K184" s="59"/>
      <x:c r="L184" s="59"/>
      <x:c r="M184" s="59"/>
      <x:c r="N184" s="59"/>
      <x:c r="O184" s="59"/>
    </x:row>
    <x:row r="185">
      <x:c r="A185" s="59"/>
      <x:c r="B185" s="59"/>
      <x:c r="C185" s="59"/>
      <x:c r="D185" s="59"/>
      <x:c r="E185" s="59"/>
      <x:c r="F185" s="59"/>
      <x:c r="G185" s="59"/>
      <x:c r="H185" s="59"/>
      <x:c r="I185" s="59"/>
      <x:c r="J185" s="59"/>
      <x:c r="K185" s="59"/>
      <x:c r="L185" s="59"/>
      <x:c r="M185" s="59"/>
      <x:c r="N185" s="59"/>
      <x:c r="O185" s="59"/>
    </x:row>
    <x:row r="186">
      <x:c r="A186" s="59"/>
      <x:c r="B186" s="59"/>
      <x:c r="C186" s="59"/>
      <x:c r="D186" s="59"/>
      <x:c r="E186" s="59"/>
      <x:c r="F186" s="59"/>
      <x:c r="G186" s="59"/>
      <x:c r="H186" s="59"/>
      <x:c r="I186" s="59"/>
      <x:c r="J186" s="59"/>
      <x:c r="K186" s="59"/>
      <x:c r="L186" s="59"/>
      <x:c r="M186" s="59"/>
      <x:c r="N186" s="59"/>
      <x:c r="O186" s="59"/>
    </x:row>
    <x:row r="187">
      <x:c r="A187" s="59"/>
      <x:c r="B187" s="59"/>
      <x:c r="C187" s="59"/>
      <x:c r="D187" s="59"/>
      <x:c r="E187" s="59"/>
      <x:c r="F187" s="59"/>
      <x:c r="G187" s="59"/>
      <x:c r="H187" s="59"/>
      <x:c r="I187" s="59"/>
      <x:c r="J187" s="59"/>
      <x:c r="K187" s="59"/>
      <x:c r="L187" s="59"/>
      <x:c r="M187" s="59"/>
      <x:c r="N187" s="59"/>
      <x:c r="O187" s="59"/>
    </x:row>
    <x:row r="188">
      <x:c r="A188" s="59"/>
      <x:c r="B188" s="59"/>
      <x:c r="C188" s="59"/>
      <x:c r="D188" s="59"/>
      <x:c r="E188" s="59"/>
      <x:c r="F188" s="59"/>
      <x:c r="G188" s="59"/>
      <x:c r="H188" s="59"/>
      <x:c r="I188" s="59"/>
      <x:c r="J188" s="59"/>
      <x:c r="K188" s="59"/>
      <x:c r="L188" s="59"/>
      <x:c r="M188" s="59"/>
      <x:c r="N188" s="59"/>
      <x:c r="O188" s="59"/>
    </x:row>
    <x:row r="189">
      <x:c r="A189" s="59"/>
      <x:c r="B189" s="59"/>
      <x:c r="C189" s="59"/>
      <x:c r="D189" s="59"/>
      <x:c r="E189" s="59"/>
      <x:c r="F189" s="59"/>
      <x:c r="G189" s="59"/>
      <x:c r="H189" s="59"/>
      <x:c r="I189" s="59"/>
      <x:c r="J189" s="59"/>
      <x:c r="K189" s="59"/>
      <x:c r="L189" s="59"/>
      <x:c r="M189" s="59"/>
      <x:c r="N189" s="59"/>
      <x:c r="O189" s="59"/>
    </x:row>
    <x:row r="190">
      <x:c r="A190" s="59"/>
      <x:c r="B190" s="59"/>
      <x:c r="C190" s="59"/>
      <x:c r="D190" s="59"/>
      <x:c r="E190" s="59"/>
      <x:c r="F190" s="59"/>
      <x:c r="G190" s="59"/>
      <x:c r="H190" s="59"/>
      <x:c r="I190" s="59"/>
      <x:c r="J190" s="59"/>
      <x:c r="K190" s="59"/>
      <x:c r="L190" s="59"/>
      <x:c r="M190" s="59"/>
      <x:c r="N190" s="59"/>
      <x:c r="O190" s="59"/>
    </x:row>
    <x:row r="191">
      <x:c r="A191" s="59"/>
      <x:c r="B191" s="59"/>
      <x:c r="C191" s="59"/>
      <x:c r="D191" s="59"/>
      <x:c r="E191" s="59"/>
      <x:c r="F191" s="59"/>
      <x:c r="G191" s="59"/>
      <x:c r="H191" s="59"/>
      <x:c r="I191" s="59"/>
      <x:c r="J191" s="59"/>
      <x:c r="K191" s="59"/>
      <x:c r="L191" s="59"/>
      <x:c r="M191" s="59"/>
      <x:c r="N191" s="59"/>
      <x:c r="O191" s="59"/>
    </x:row>
    <x:row r="192">
      <x:c r="A192" s="59"/>
      <x:c r="B192" s="59"/>
      <x:c r="C192" s="59"/>
      <x:c r="D192" s="59"/>
      <x:c r="E192" s="59"/>
      <x:c r="F192" s="59"/>
      <x:c r="G192" s="59"/>
      <x:c r="H192" s="59"/>
      <x:c r="I192" s="59"/>
      <x:c r="J192" s="59"/>
      <x:c r="K192" s="59"/>
      <x:c r="L192" s="59"/>
      <x:c r="M192" s="59"/>
      <x:c r="N192" s="59"/>
      <x:c r="O192" s="59"/>
    </x:row>
    <x:row r="193">
      <x:c r="A193" s="59"/>
      <x:c r="B193" s="59"/>
      <x:c r="C193" s="59"/>
      <x:c r="D193" s="59"/>
      <x:c r="E193" s="59"/>
      <x:c r="F193" s="59"/>
      <x:c r="G193" s="59"/>
      <x:c r="H193" s="59"/>
      <x:c r="I193" s="59"/>
      <x:c r="J193" s="59"/>
      <x:c r="K193" s="59"/>
      <x:c r="L193" s="59"/>
      <x:c r="M193" s="59"/>
      <x:c r="N193" s="59"/>
      <x:c r="O193" s="59"/>
    </x:row>
    <x:row r="194">
      <x:c r="A194" s="59"/>
      <x:c r="B194" s="59"/>
      <x:c r="C194" s="59"/>
      <x:c r="D194" s="59"/>
      <x:c r="E194" s="59"/>
      <x:c r="F194" s="59"/>
      <x:c r="G194" s="59"/>
      <x:c r="H194" s="59"/>
      <x:c r="I194" s="59"/>
      <x:c r="J194" s="59"/>
      <x:c r="K194" s="59"/>
      <x:c r="L194" s="59"/>
      <x:c r="M194" s="59"/>
      <x:c r="N194" s="59"/>
      <x:c r="O194" s="59"/>
    </x:row>
    <x:row r="195">
      <x:c r="A195" s="59"/>
      <x:c r="B195" s="59"/>
      <x:c r="C195" s="59"/>
      <x:c r="D195" s="59"/>
      <x:c r="E195" s="59"/>
      <x:c r="F195" s="59"/>
      <x:c r="G195" s="59"/>
      <x:c r="H195" s="59"/>
      <x:c r="I195" s="59"/>
      <x:c r="J195" s="59"/>
      <x:c r="K195" s="59"/>
      <x:c r="L195" s="59"/>
      <x:c r="M195" s="59"/>
      <x:c r="N195" s="59"/>
      <x:c r="O195" s="59"/>
    </x:row>
    <x:row r="196">
      <x:c r="A196" s="59"/>
      <x:c r="B196" s="59"/>
      <x:c r="C196" s="59"/>
      <x:c r="D196" s="59"/>
      <x:c r="E196" s="59"/>
      <x:c r="F196" s="59"/>
      <x:c r="G196" s="59"/>
      <x:c r="H196" s="59"/>
      <x:c r="I196" s="59"/>
      <x:c r="J196" s="59"/>
      <x:c r="K196" s="59"/>
      <x:c r="L196" s="59"/>
      <x:c r="M196" s="59"/>
      <x:c r="N196" s="59"/>
      <x:c r="O196" s="59"/>
    </x:row>
    <x:row r="197">
      <x:c r="A197" s="59"/>
      <x:c r="B197" s="59"/>
      <x:c r="C197" s="59"/>
      <x:c r="D197" s="59"/>
      <x:c r="E197" s="59"/>
      <x:c r="F197" s="59"/>
      <x:c r="G197" s="59"/>
      <x:c r="H197" s="59"/>
      <x:c r="I197" s="59"/>
      <x:c r="J197" s="59"/>
      <x:c r="K197" s="59"/>
      <x:c r="L197" s="59"/>
      <x:c r="M197" s="59"/>
      <x:c r="N197" s="59"/>
      <x:c r="O197" s="59"/>
    </x:row>
    <x:row r="198">
      <x:c r="A198" s="59"/>
      <x:c r="B198" s="59"/>
      <x:c r="C198" s="59"/>
      <x:c r="D198" s="59"/>
      <x:c r="E198" s="59"/>
      <x:c r="F198" s="59"/>
      <x:c r="G198" s="59"/>
      <x:c r="H198" s="59"/>
      <x:c r="I198" s="59"/>
      <x:c r="J198" s="59"/>
      <x:c r="K198" s="59"/>
      <x:c r="L198" s="59"/>
      <x:c r="M198" s="59"/>
      <x:c r="N198" s="59"/>
      <x:c r="O198" s="59"/>
    </x:row>
    <x:row r="199">
      <x:c r="A199" s="59"/>
      <x:c r="B199" s="59"/>
      <x:c r="C199" s="59"/>
      <x:c r="D199" s="59"/>
      <x:c r="E199" s="59"/>
      <x:c r="F199" s="59"/>
      <x:c r="G199" s="59"/>
      <x:c r="H199" s="59"/>
      <x:c r="I199" s="59"/>
      <x:c r="J199" s="59"/>
      <x:c r="K199" s="59"/>
      <x:c r="L199" s="59"/>
      <x:c r="M199" s="59"/>
      <x:c r="N199" s="59"/>
      <x:c r="O199" s="59"/>
    </x:row>
    <x:row r="200">
      <x:c r="A200" s="59"/>
      <x:c r="B200" s="59"/>
      <x:c r="C200" s="59"/>
      <x:c r="D200" s="59"/>
      <x:c r="E200" s="59"/>
      <x:c r="F200" s="59"/>
      <x:c r="G200" s="59"/>
      <x:c r="H200" s="59"/>
      <x:c r="I200" s="59"/>
      <x:c r="J200" s="59"/>
      <x:c r="K200" s="59"/>
      <x:c r="L200" s="59"/>
      <x:c r="M200" s="59"/>
      <x:c r="N200" s="59"/>
      <x:c r="O200" s="59"/>
    </x:row>
  </x:sheetData>
  <x:mergeCells>
    <x:mergeCell ref="A1:K1"/>
    <x:mergeCell ref="A2:K2"/>
    <x:mergeCell ref="A3:K3"/>
    <x:mergeCell ref="A24:K24"/>
  </x:mergeCells>
  <x:conditionalFormatting sqref="D6:D21">
    <x:cfRule type="expression" dxfId="11" priority="1">
      <x:formula>D6="Critical"</x:formula>
    </x:cfRule>
    <x:cfRule type="expression" dxfId="12" priority="2">
      <x:formula>D6="High"</x:formula>
    </x:cfRule>
  </x:conditionalFormatting>
  <x:conditionalFormatting sqref="B26:F30">
    <x:cfRule type="colorScale" priority="3">
      <x:colorScale>
        <x:cfvo type="min"/>
        <x:cfvo type="percentile" val="50"/>
        <x:cfvo type="max"/>
        <x:color rgb="FFD9EAD3"/>
        <x:color rgb="FFFFF2CC"/>
        <x:color rgb="FFF4CCCC"/>
      </x:colorScale>
    </x:cfRule>
  </x:conditionalFormatting>
  <x:pageMargins left="0.7" right="0.7" top="0.75" bottom="0.75" header="0.3" footer="0.3"/>
  <x:tableParts count="1">
    <x:tablePart xmlns:r="http://schemas.openxmlformats.org/officeDocument/2006/relationships" r:id="R5269ae39d7dd422f"/>
  </x:tableParts>
</x:worksheet>
</file>

<file path=xl/worksheets/sheet6.xml><?xml version="1.0" encoding="utf-8"?>
<x:worksheet xmlns:x="http://schemas.openxmlformats.org/spreadsheetml/2006/main">
  <x:sheetFormatPr defaultRowHeight="15"/>
  <x:cols>
    <x:col min="1" max="1" width="24" hidden="0" customWidth="1"/>
    <x:col min="2" max="2" width="30" hidden="0" customWidth="1"/>
    <x:col min="3" max="3" width="42" hidden="0" customWidth="1"/>
    <x:col min="4" max="4" width="42" hidden="0" customWidth="1"/>
    <x:col min="5" max="5" width="38" hidden="0" customWidth="1"/>
    <x:col min="6" max="6" width="30" hidden="0" customWidth="1"/>
    <x:col min="7" max="7" width="14" hidden="0" customWidth="1"/>
    <x:col min="8" max="8" width="44" hidden="0" customWidth="1"/>
    <x:col min="9" max="9" width="24" hidden="0" customWidth="1"/>
    <x:col min="10" max="10" width="42" hidden="0" customWidth="1"/>
  </x:cols>
  <x:sheetData>
    <x:row r="1" ht="34" customHeight="1">
      <x:c r="A1" s="56" t="str">
        <x:v>OT Protocol Monitoring Coverage</x:v>
      </x:c>
      <x:c r="B1" s="56"/>
      <x:c r="C1" s="56"/>
      <x:c r="D1" s="56"/>
      <x:c r="E1" s="56"/>
      <x:c r="F1" s="56"/>
      <x:c r="G1" s="56"/>
      <x:c r="H1" s="56"/>
      <x:c r="I1" s="56"/>
      <x:c r="J1" s="56"/>
      <x:c r="K1" s="59"/>
      <x:c r="L1" s="59"/>
      <x:c r="M1" s="59"/>
      <x:c r="N1" s="59"/>
      <x:c r="O1" s="59"/>
    </x:row>
    <x:row r="2" ht="20" customHeight="1">
      <x:c r="A2" s="57" t="str">
        <x:v>Author: Yuval Sinay | Version 1.0 | 02.08.2026</x:v>
      </x:c>
      <x:c r="B2" s="57"/>
      <x:c r="C2" s="57"/>
      <x:c r="D2" s="57"/>
      <x:c r="E2" s="57"/>
      <x:c r="F2" s="57"/>
      <x:c r="G2" s="57"/>
      <x:c r="H2" s="57"/>
      <x:c r="I2" s="57"/>
      <x:c r="J2" s="57"/>
      <x:c r="K2" s="59"/>
      <x:c r="L2" s="59"/>
      <x:c r="M2" s="59"/>
      <x:c r="N2" s="59"/>
      <x:c r="O2" s="59"/>
    </x:row>
    <x:row r="3" ht="28" customHeight="1">
      <x:c r="A3" s="58" t="str">
        <x:v>Protocol-specific functions and anomalies that should be incorporated into passive monitoring and detection engineering.</x:v>
      </x:c>
      <x:c r="B3" s="58"/>
      <x:c r="C3" s="58"/>
      <x:c r="D3" s="58"/>
      <x:c r="E3" s="58"/>
      <x:c r="F3" s="58"/>
      <x:c r="G3" s="58"/>
      <x:c r="H3" s="58"/>
      <x:c r="I3" s="58"/>
      <x:c r="J3" s="58"/>
      <x:c r="K3" s="59"/>
      <x:c r="L3" s="59"/>
      <x:c r="M3" s="59"/>
      <x:c r="N3" s="59"/>
      <x:c r="O3" s="59"/>
    </x:row>
    <x:row r="4">
      <x:c r="A4" s="59"/>
      <x:c r="B4" s="59"/>
      <x:c r="C4" s="59"/>
      <x:c r="D4" s="59"/>
      <x:c r="E4" s="59"/>
      <x:c r="F4" s="59"/>
      <x:c r="G4" s="59"/>
      <x:c r="H4" s="59"/>
      <x:c r="I4" s="59"/>
      <x:c r="J4" s="59"/>
      <x:c r="K4" s="59"/>
      <x:c r="L4" s="59"/>
      <x:c r="M4" s="59"/>
      <x:c r="N4" s="59"/>
      <x:c r="O4" s="59"/>
    </x:row>
    <x:row r="5" ht="32" customHeight="1">
      <x:c r="A5" s="62" t="str">
        <x:v>Protocol / Technology</x:v>
      </x:c>
      <x:c r="B5" s="62" t="str">
        <x:v>Typical OT Use</x:v>
      </x:c>
      <x:c r="C5" s="62" t="str">
        <x:v>Key Functions or Operations to Monitor</x:v>
      </x:c>
      <x:c r="D5" s="62" t="str">
        <x:v>High-Risk Events</x:v>
      </x:c>
      <x:c r="E5" s="62" t="str">
        <x:v>Behavioral Baseline</x:v>
      </x:c>
      <x:c r="F5" s="62" t="str">
        <x:v>Primary Telemetry</x:v>
      </x:c>
      <x:c r="G5" s="62" t="str">
        <x:v>Suggested Priority</x:v>
      </x:c>
      <x:c r="H5" s="62" t="str">
        <x:v>Example Detection Question</x:v>
      </x:c>
      <x:c r="I5" s="62" t="str">
        <x:v>Common Ports / Transport</x:v>
      </x:c>
      <x:c r="J5" s="62" t="str">
        <x:v>Notes</x:v>
      </x:c>
      <x:c r="K5" s="59"/>
      <x:c r="L5" s="59"/>
      <x:c r="M5" s="59"/>
      <x:c r="N5" s="59"/>
      <x:c r="O5" s="59"/>
    </x:row>
    <x:row r="6" ht="76" customHeight="1">
      <x:c r="A6" s="83" t="str">
        <x:v>Modbus TCP</x:v>
      </x:c>
      <x:c r="B6" s="83" t="str">
        <x:v>PLC, RTU, field I/O and supervisory communications</x:v>
      </x:c>
      <x:c r="C6" s="83" t="str">
        <x:v>Function codes; reads vs writes; diagnostics; exception responses; unit identifiers</x:v>
      </x:c>
      <x:c r="D6" s="83" t="str">
        <x:v>Write single/multiple coil/register; diagnostics; restart; new master; broadcast use</x:v>
      </x:c>
      <x:c r="E6" s="83" t="str">
        <x:v>Stable master-slave pairs, cyclic reads, limited writes</x:v>
      </x:c>
      <x:c r="F6" s="83" t="str">
        <x:v>Passive DPI; firewall; PLC logs</x:v>
      </x:c>
      <x:c r="G6" s="83" t="str">
        <x:v>Critical</x:v>
      </x:c>
      <x:c r="H6" s="83" t="str">
        <x:v>Did an unapproved source issue a write or diagnostic function to a critical device?</x:v>
      </x:c>
      <x:c r="I6" s="83" t="str">
        <x:v>TCP/502</x:v>
      </x:c>
      <x:c r="J6" s="83" t="str">
        <x:v>Many deployments lack native authentication; context and segmentation are essential.</x:v>
      </x:c>
      <x:c r="K6" s="59"/>
      <x:c r="L6" s="59"/>
      <x:c r="M6" s="59"/>
      <x:c r="N6" s="59"/>
      <x:c r="O6" s="59"/>
    </x:row>
    <x:row r="7" ht="76" customHeight="1">
      <x:c r="A7" s="83" t="str">
        <x:v>DNP3</x:v>
      </x:c>
      <x:c r="B7" s="83" t="str">
        <x:v>Electric power, water, and remote telemetry</x:v>
      </x:c>
      <x:c r="C7" s="83" t="str">
        <x:v>Read, operate, direct operate, select-before-operate, time sync, unsolicited responses</x:v>
      </x:c>
      <x:c r="D7" s="83" t="str">
        <x:v>Operate without expected select; new master; time changes; excessive integrity polls</x:v>
      </x:c>
      <x:c r="E7" s="83" t="str">
        <x:v>Stable outstation-master relationships and polling cycles</x:v>
      </x:c>
      <x:c r="F7" s="83" t="str">
        <x:v>Passive DPI; gateway logs; outstation events</x:v>
      </x:c>
      <x:c r="G7" s="83" t="str">
        <x:v>Critical</x:v>
      </x:c>
      <x:c r="H7" s="83" t="str">
        <x:v>Was an operate command issued outside the normal source, schedule, or sequence?</x:v>
      </x:c>
      <x:c r="I7" s="83" t="str">
        <x:v>TCP/UDP/20000</x:v>
      </x:c>
      <x:c r="J7" s="83" t="str">
        <x:v>Secure Authentication should be monitored where deployed.</x:v>
      </x:c>
      <x:c r="K7" s="59"/>
      <x:c r="L7" s="59"/>
      <x:c r="M7" s="59"/>
      <x:c r="N7" s="59"/>
      <x:c r="O7" s="59"/>
    </x:row>
    <x:row r="8" ht="76" customHeight="1">
      <x:c r="A8" s="83" t="str">
        <x:v>IEC 60870-5-104</x:v>
      </x:c>
      <x:c r="B8" s="83" t="str">
        <x:v>Power utility telecontrol</x:v>
      </x:c>
      <x:c r="C8" s="83" t="str">
        <x:v>Commands, setpoints, interrogation, clock sync, test frames, spontaneous events</x:v>
      </x:c>
      <x:c r="D8" s="83" t="str">
        <x:v>New controlling station; command execution; time manipulation; sequence anomalies</x:v>
      </x:c>
      <x:c r="E8" s="83" t="str">
        <x:v>Stable control-center to substation communication and cause-of-transmission patterns</x:v>
      </x:c>
      <x:c r="F8" s="83" t="str">
        <x:v>Passive DPI; gateway logs</x:v>
      </x:c>
      <x:c r="G8" s="83" t="str">
        <x:v>Critical</x:v>
      </x:c>
      <x:c r="H8" s="83" t="str">
        <x:v>Did command or clock synchronization behavior deviate from the approved baseline?</x:v>
      </x:c>
      <x:c r="I8" s="83" t="str">
        <x:v>TCP/2404</x:v>
      </x:c>
      <x:c r="J8" s="83" t="str">
        <x:v>Correlate control direction, cause of transmission, and process state.</x:v>
      </x:c>
      <x:c r="K8" s="59"/>
      <x:c r="L8" s="59"/>
      <x:c r="M8" s="59"/>
      <x:c r="N8" s="59"/>
      <x:c r="O8" s="59"/>
    </x:row>
    <x:row r="9" ht="76" customHeight="1">
      <x:c r="A9" s="83" t="str">
        <x:v>IEC 61850 MMS / GOOSE / SV</x:v>
      </x:c>
      <x:c r="B9" s="83" t="str">
        <x:v>Substation automation and protection</x:v>
      </x:c>
      <x:c r="C9" s="83" t="str">
        <x:v>MMS control operations; reports; GOOSE state/sequence; sampled values timing</x:v>
      </x:c>
      <x:c r="D9" s="83" t="str">
        <x:v>Unauthorized control; GOOSE spoofing; state/sequence anomalies; configuration change</x:v>
      </x:c>
      <x:c r="E9" s="83" t="str">
        <x:v>Highly deterministic publisher-subscriber and protection traffic</x:v>
      </x:c>
      <x:c r="F9" s="83" t="str">
        <x:v>Passive DPI; IED logs; engineering tools</x:v>
      </x:c>
      <x:c r="G9" s="83" t="str">
        <x:v>Critical</x:v>
      </x:c>
      <x:c r="H9" s="83" t="str">
        <x:v>Did a new publisher, control operation, or GOOSE state change appear?</x:v>
      </x:c>
      <x:c r="I9" s="83" t="str">
        <x:v>TCP/102; Ethernet multicast</x:v>
      </x:c>
      <x:c r="J9" s="83" t="str">
        <x:v>Monitor timing and sequence counters in addition to addresses.</x:v>
      </x:c>
      <x:c r="K9" s="59"/>
      <x:c r="L9" s="59"/>
      <x:c r="M9" s="59"/>
      <x:c r="N9" s="59"/>
      <x:c r="O9" s="59"/>
    </x:row>
    <x:row r="10" ht="76" customHeight="1">
      <x:c r="A10" s="83" t="str">
        <x:v>OPC Classic</x:v>
      </x:c>
      <x:c r="B10" s="83" t="str">
        <x:v>Industrial data integration using COM/DCOM</x:v>
      </x:c>
      <x:c r="C10" s="83" t="str">
        <x:v>Server enumeration; subscriptions; reads/writes; DCOM activation; account use</x:v>
      </x:c>
      <x:c r="D10" s="83" t="str">
        <x:v>New OPC client; remote activation; writes; excessive enumeration</x:v>
      </x:c>
      <x:c r="E10" s="83" t="str">
        <x:v>Known OPC servers, clients, tags, and update intervals</x:v>
      </x:c>
      <x:c r="F10" s="83" t="str">
        <x:v>Windows logs; firewall; passive sensor</x:v>
      </x:c>
      <x:c r="G10" s="83" t="str">
        <x:v>High</x:v>
      </x:c>
      <x:c r="H10" s="83" t="str">
        <x:v>Is a new client accessing or writing tags through OPC/DCOM?</x:v>
      </x:c>
      <x:c r="I10" s="83" t="str">
        <x:v>Dynamic RPC/DCOM</x:v>
      </x:c>
      <x:c r="J10" s="83" t="str">
        <x:v>Hard to segment without careful DCOM configuration.</x:v>
      </x:c>
      <x:c r="K10" s="59"/>
      <x:c r="L10" s="59"/>
      <x:c r="M10" s="59"/>
      <x:c r="N10" s="59"/>
      <x:c r="O10" s="59"/>
    </x:row>
    <x:row r="11" ht="76" customHeight="1">
      <x:c r="A11" s="83" t="str">
        <x:v>OPC UA</x:v>
      </x:c>
      <x:c r="B11" s="83" t="str">
        <x:v>Secure industrial interoperability</x:v>
      </x:c>
      <x:c r="C11" s="83" t="str">
        <x:v>Sessions; certificates; Browse; Read; Write; Call; subscriptions; security mode</x:v>
      </x:c>
      <x:c r="D11" s="83" t="str">
        <x:v>Untrusted certificate; anonymous session; write/call; new endpoint; weak security mode</x:v>
      </x:c>
      <x:c r="E11" s="83" t="str">
        <x:v>Known endpoints, certificates, users, nodes, and methods</x:v>
      </x:c>
      <x:c r="F11" s="83" t="str">
        <x:v>OPC UA server audit; passive DPI</x:v>
      </x:c>
      <x:c r="G11" s="83" t="str">
        <x:v>Critical</x:v>
      </x:c>
      <x:c r="H11" s="83" t="str">
        <x:v>Was a write or method call performed using an unexpected identity or certificate?</x:v>
      </x:c>
      <x:c r="I11" s="83" t="str">
        <x:v>TCP/4840</x:v>
      </x:c>
      <x:c r="J11" s="83" t="str">
        <x:v>Monitor certificate lifecycle and security policy changes.</x:v>
      </x:c>
      <x:c r="K11" s="59"/>
      <x:c r="L11" s="59"/>
      <x:c r="M11" s="59"/>
      <x:c r="N11" s="59"/>
      <x:c r="O11" s="59"/>
    </x:row>
    <x:row r="12" ht="76" customHeight="1">
      <x:c r="A12" s="83" t="str">
        <x:v>EtherNet/IP / CIP</x:v>
      </x:c>
      <x:c r="B12" s="83" t="str">
        <x:v>Rockwell and multi-vendor industrial control</x:v>
      </x:c>
      <x:c r="C12" s="83" t="str">
        <x:v>Explicit messaging; implicit I/O; CIP services; controller tags; programming operations</x:v>
      </x:c>
      <x:c r="D12" s="83" t="str">
        <x:v>Program transfer; mode change; tag writes; new originator; excessive connections</x:v>
      </x:c>
      <x:c r="E12" s="83" t="str">
        <x:v>Stable originator-target pairs and cyclic I/O</x:v>
      </x:c>
      <x:c r="F12" s="83" t="str">
        <x:v>Passive DPI; controller logs</x:v>
      </x:c>
      <x:c r="G12" s="83" t="str">
        <x:v>Critical</x:v>
      </x:c>
      <x:c r="H12" s="83" t="str">
        <x:v>Did an unapproved originator change a tag, mode, or program?</x:v>
      </x:c>
      <x:c r="I12" s="83" t="str">
        <x:v>TCP/UDP/44818; UDP/2222</x:v>
      </x:c>
      <x:c r="J12" s="83" t="str">
        <x:v>Differentiate cyclic I/O from engineering and explicit messaging.</x:v>
      </x:c>
      <x:c r="K12" s="59"/>
      <x:c r="L12" s="59"/>
      <x:c r="M12" s="59"/>
      <x:c r="N12" s="59"/>
      <x:c r="O12" s="59"/>
    </x:row>
    <x:row r="13" ht="76" customHeight="1">
      <x:c r="A13" s="83" t="str">
        <x:v>PROFINET</x:v>
      </x:c>
      <x:c r="B13" s="83" t="str">
        <x:v>Siemens and industrial automation</x:v>
      </x:c>
      <x:c r="C13" s="83" t="str">
        <x:v>DCP discovery/configuration; real-time data; alarms; acyclic reads/writes</x:v>
      </x:c>
      <x:c r="D13" s="83" t="str">
        <x:v>Device name/IP change; new controller; configuration write; topology anomaly</x:v>
      </x:c>
      <x:c r="E13" s="83" t="str">
        <x:v>Deterministic controller-device relationships</x:v>
      </x:c>
      <x:c r="F13" s="83" t="str">
        <x:v>Passive DPI; switch diagnostics; engineering logs</x:v>
      </x:c>
      <x:c r="G13" s="83" t="str">
        <x:v>Critical</x:v>
      </x:c>
      <x:c r="H13" s="83" t="str">
        <x:v>Was device configuration changed or did a new controller relationship appear?</x:v>
      </x:c>
      <x:c r="I13" s="83" t="str">
        <x:v>EtherType 0x8892; UDP/TCP supporting services</x:v>
      </x:c>
      <x:c r="J13" s="83" t="str">
        <x:v>Layer-2 visibility is important.</x:v>
      </x:c>
      <x:c r="K13" s="59"/>
      <x:c r="L13" s="59"/>
      <x:c r="M13" s="59"/>
      <x:c r="N13" s="59"/>
      <x:c r="O13" s="59"/>
    </x:row>
    <x:row r="14" ht="76" customHeight="1">
      <x:c r="A14" s="83" t="str">
        <x:v>S7comm / S7comm Plus</x:v>
      </x:c>
      <x:c r="B14" s="83" t="str">
        <x:v>Siemens PLC engineering and control</x:v>
      </x:c>
      <x:c r="C14" s="83" t="str">
        <x:v>Read/write variables; block upload/download; start/stop; diagnostics; session establishment</x:v>
      </x:c>
      <x:c r="D14" s="83" t="str">
        <x:v>Block download; PLC stop; new engineering station; unauthenticated session</x:v>
      </x:c>
      <x:c r="E14" s="83" t="str">
        <x:v>Known HMI/engineering to PLC pairs and limited programming windows</x:v>
      </x:c>
      <x:c r="F14" s="83" t="str">
        <x:v>Passive DPI; TIA Portal logs; PLC diagnostics</x:v>
      </x:c>
      <x:c r="G14" s="83" t="str">
        <x:v>Critical</x:v>
      </x:c>
      <x:c r="H14" s="83" t="str">
        <x:v>Did an unexpected engineering host download blocks or change PLC state?</x:v>
      </x:c>
      <x:c r="I14" s="83" t="str">
        <x:v>TCP/102</x:v>
      </x:c>
      <x:c r="J14" s="83" t="str">
        <x:v>Correlate with approved TIA Portal project and change ticket.</x:v>
      </x:c>
      <x:c r="K14" s="59"/>
      <x:c r="L14" s="59"/>
      <x:c r="M14" s="59"/>
      <x:c r="N14" s="59"/>
      <x:c r="O14" s="59"/>
    </x:row>
    <x:row r="15" ht="76" customHeight="1">
      <x:c r="A15" s="83" t="str">
        <x:v>BACnet/IP</x:v>
      </x:c>
      <x:c r="B15" s="83" t="str">
        <x:v>Building automation systems</x:v>
      </x:c>
      <x:c r="C15" s="83" t="str">
        <x:v>Who-Is/I-Am; ReadProperty; WriteProperty; device management; time sync</x:v>
      </x:c>
      <x:c r="D15" s="83" t="str">
        <x:v>WriteProperty; reinitialize device; device communication control; discovery surge</x:v>
      </x:c>
      <x:c r="E15" s="83" t="str">
        <x:v>Stable management stations and property access patterns</x:v>
      </x:c>
      <x:c r="F15" s="83" t="str">
        <x:v>Passive DPI; BAS logs</x:v>
      </x:c>
      <x:c r="G15" s="83" t="str">
        <x:v>High</x:v>
      </x:c>
      <x:c r="H15" s="83" t="str">
        <x:v>Did an unknown workstation write properties or reinitialize a controller?</x:v>
      </x:c>
      <x:c r="I15" s="83" t="str">
        <x:v>UDP/47808</x:v>
      </x:c>
      <x:c r="J15" s="83" t="str">
        <x:v>Relevant to HVAC, access control, and facility dependencies.</x:v>
      </x:c>
      <x:c r="K15" s="59"/>
      <x:c r="L15" s="59"/>
      <x:c r="M15" s="59"/>
      <x:c r="N15" s="59"/>
      <x:c r="O15" s="59"/>
    </x:row>
    <x:row r="16" ht="76" customHeight="1">
      <x:c r="A16" s="83" t="str">
        <x:v>MQTT</x:v>
      </x:c>
      <x:c r="B16" s="83" t="str">
        <x:v>IIoT telemetry and messaging</x:v>
      </x:c>
      <x:c r="C16" s="83" t="str">
        <x:v>CONNECT; SUBSCRIBE; PUBLISH; retained messages; topic access; client IDs</x:v>
      </x:c>
      <x:c r="D16" s="83" t="str">
        <x:v>Anonymous client; wildcard subscription; retained command; topic abuse; broker bypass</x:v>
      </x:c>
      <x:c r="E16" s="83" t="str">
        <x:v>Known brokers, clients, topics, QoS, and publish frequency</x:v>
      </x:c>
      <x:c r="F16" s="83" t="str">
        <x:v>Broker logs; TLS metadata; network sensor</x:v>
      </x:c>
      <x:c r="G16" s="83" t="str">
        <x:v>High</x:v>
      </x:c>
      <x:c r="H16" s="83" t="str">
        <x:v>Did a new client publish to a command topic or subscribe broadly?</x:v>
      </x:c>
      <x:c r="I16" s="83" t="str">
        <x:v>TCP/1883, 8883</x:v>
      </x:c>
      <x:c r="J16" s="83" t="str">
        <x:v>Monitor authentication, TLS, topic ACLs, and retained messages.</x:v>
      </x:c>
      <x:c r="K16" s="59"/>
      <x:c r="L16" s="59"/>
      <x:c r="M16" s="59"/>
      <x:c r="N16" s="59"/>
      <x:c r="O16" s="59"/>
    </x:row>
    <x:row r="17" ht="76" customHeight="1">
      <x:c r="A17" s="83" t="str">
        <x:v>AMQP</x:v>
      </x:c>
      <x:c r="B17" s="83" t="str">
        <x:v>Industrial messaging and integration</x:v>
      </x:c>
      <x:c r="C17" s="83" t="str">
        <x:v>Authentication; exchange/queue creation; publish/consume; routing keys</x:v>
      </x:c>
      <x:c r="D17" s="83" t="str">
        <x:v>Unauthorized producer; new exchange; message surge; external broker communication</x:v>
      </x:c>
      <x:c r="E17" s="83" t="str">
        <x:v>Known brokers, producers, consumers, queues, and rates</x:v>
      </x:c>
      <x:c r="F17" s="83" t="str">
        <x:v>Broker logs; TLS metadata; firewall</x:v>
      </x:c>
      <x:c r="G17" s="83" t="str">
        <x:v>Medium</x:v>
      </x:c>
      <x:c r="H17" s="83" t="str">
        <x:v>Did an unapproved producer publish to an operational queue?</x:v>
      </x:c>
      <x:c r="I17" s="83" t="str">
        <x:v>TCP/5672, 5671</x:v>
      </x:c>
      <x:c r="J17" s="83" t="str">
        <x:v>Often used in IT/OT integration and cloud-connected architectures.</x:v>
      </x:c>
      <x:c r="K17" s="59"/>
      <x:c r="L17" s="59"/>
      <x:c r="M17" s="59"/>
      <x:c r="N17" s="59"/>
      <x:c r="O17" s="59"/>
    </x:row>
    <x:row r="18" ht="76" customHeight="1">
      <x:c r="A18" s="83" t="str">
        <x:v>NTP / PTP</x:v>
      </x:c>
      <x:c r="B18" s="83" t="str">
        <x:v>Time synchronization</x:v>
      </x:c>
      <x:c r="C18" s="83" t="str">
        <x:v>Source selection; synchronization state; offset; delay; announce/master messages</x:v>
      </x:c>
      <x:c r="D18" s="83" t="str">
        <x:v>Unapproved source; large offset; rogue grandmaster; repeated resync</x:v>
      </x:c>
      <x:c r="E18" s="83" t="str">
        <x:v>Stable authoritative sources and tight asset-specific tolerance</x:v>
      </x:c>
      <x:c r="F18" s="83" t="str">
        <x:v>NTP/PTP monitoring; passive sensor; device logs</x:v>
      </x:c>
      <x:c r="G18" s="83" t="str">
        <x:v>High</x:v>
      </x:c>
      <x:c r="H18" s="83" t="str">
        <x:v>Did an asset switch to an unauthorized time source or exceed tolerance?</x:v>
      </x:c>
      <x:c r="I18" s="83" t="str">
        <x:v>UDP/123; UDP/319-320</x:v>
      </x:c>
      <x:c r="J18" s="83" t="str">
        <x:v>Time anomalies can undermine control sequence and forensic evidence.</x:v>
      </x:c>
      <x:c r="K18" s="59"/>
      <x:c r="L18" s="59"/>
      <x:c r="M18" s="59"/>
      <x:c r="N18" s="59"/>
      <x:c r="O18" s="59"/>
    </x:row>
    <x:row r="19" ht="76" customHeight="1">
      <x:c r="A19" s="83" t="str">
        <x:v>SNMP</x:v>
      </x:c>
      <x:c r="B19" s="83" t="str">
        <x:v>Network and device monitoring</x:v>
      </x:c>
      <x:c r="C19" s="83" t="str">
        <x:v>GET/GETNEXT/SET; traps; authentication; community/user use</x:v>
      </x:c>
      <x:c r="D19" s="83" t="str">
        <x:v>SNMP SET; default community; new manager; trap loss; bulk enumeration</x:v>
      </x:c>
      <x:c r="E19" s="83" t="str">
        <x:v>Known managers, targets, versions, and polling intervals</x:v>
      </x:c>
      <x:c r="F19" s="83" t="str">
        <x:v>NMS; network sensor; device logs</x:v>
      </x:c>
      <x:c r="G19" s="83" t="str">
        <x:v>High</x:v>
      </x:c>
      <x:c r="H19" s="83" t="str">
        <x:v>Did a new manager issue SNMP SET or broad enumeration?</x:v>
      </x:c>
      <x:c r="I19" s="83" t="str">
        <x:v>UDP/161-162</x:v>
      </x:c>
      <x:c r="J19" s="83" t="str">
        <x:v>Prefer SNMPv3 and restrict management paths.</x:v>
      </x:c>
      <x:c r="K19" s="59"/>
      <x:c r="L19" s="59"/>
      <x:c r="M19" s="59"/>
      <x:c r="N19" s="59"/>
      <x:c r="O19" s="59"/>
    </x:row>
    <x:row r="20" ht="76" customHeight="1">
      <x:c r="A20" s="83" t="str">
        <x:v>RDP / SSH / VNC / Vendor Tools</x:v>
      </x:c>
      <x:c r="B20" s="83" t="str">
        <x:v>Administrative and remote support access</x:v>
      </x:c>
      <x:c r="C20" s="83" t="str">
        <x:v>Authentication; session start/end; file transfer; commands; clipboard; tunneling</x:v>
      </x:c>
      <x:c r="D20" s="83" t="str">
        <x:v>Direct controller access; missing MFA; session outside ticket; tool installation</x:v>
      </x:c>
      <x:c r="E20" s="83" t="str">
        <x:v>Approved jump hosts, users, targets, windows, and recorded sessions</x:v>
      </x:c>
      <x:c r="F20" s="83" t="str">
        <x:v>VPN; PAM; jump host; endpoint logs</x:v>
      </x:c>
      <x:c r="G20" s="83" t="str">
        <x:v>Critical</x:v>
      </x:c>
      <x:c r="H20" s="83" t="str">
        <x:v>Did a remote user bypass the approved jump path or perform unapproved changes?</x:v>
      </x:c>
      <x:c r="I20" s="83" t="str">
        <x:v>TCP/3389, 22 and vendor-specific</x:v>
      </x:c>
      <x:c r="J20" s="83" t="str">
        <x:v>Treat remote access as a controlled conduit with strong session evidence.</x:v>
      </x:c>
      <x:c r="K20" s="59"/>
      <x:c r="L20" s="59"/>
      <x:c r="M20" s="59"/>
      <x:c r="N20" s="59"/>
      <x:c r="O20" s="59"/>
    </x:row>
    <x:row r="21">
      <x:c r="A21" s="59"/>
      <x:c r="B21" s="59"/>
      <x:c r="C21" s="59"/>
      <x:c r="D21" s="59"/>
      <x:c r="E21" s="59"/>
      <x:c r="F21" s="59"/>
      <x:c r="G21" s="59"/>
      <x:c r="H21" s="59"/>
      <x:c r="I21" s="59"/>
      <x:c r="J21" s="59"/>
      <x:c r="K21" s="59"/>
      <x:c r="L21" s="59"/>
      <x:c r="M21" s="59"/>
      <x:c r="N21" s="59"/>
      <x:c r="O21" s="59"/>
    </x:row>
    <x:row r="22">
      <x:c r="A22" s="59"/>
      <x:c r="B22" s="59"/>
      <x:c r="C22" s="59"/>
      <x:c r="D22" s="59"/>
      <x:c r="E22" s="59"/>
      <x:c r="F22" s="59"/>
      <x:c r="G22" s="59"/>
      <x:c r="H22" s="59"/>
      <x:c r="I22" s="59"/>
      <x:c r="J22" s="59"/>
      <x:c r="K22" s="59"/>
      <x:c r="L22" s="59"/>
      <x:c r="M22" s="59"/>
      <x:c r="N22" s="59"/>
      <x:c r="O22" s="59"/>
    </x:row>
    <x:row r="23">
      <x:c r="A23" s="59"/>
      <x:c r="B23" s="59"/>
      <x:c r="C23" s="59"/>
      <x:c r="D23" s="59"/>
      <x:c r="E23" s="59"/>
      <x:c r="F23" s="59"/>
      <x:c r="G23" s="59"/>
      <x:c r="H23" s="59"/>
      <x:c r="I23" s="59"/>
      <x:c r="J23" s="59"/>
      <x:c r="K23" s="59"/>
      <x:c r="L23" s="59"/>
      <x:c r="M23" s="59"/>
      <x:c r="N23" s="59"/>
      <x:c r="O23" s="59"/>
    </x:row>
    <x:row r="24">
      <x:c r="A24" s="59"/>
      <x:c r="B24" s="59"/>
      <x:c r="C24" s="59"/>
      <x:c r="D24" s="59"/>
      <x:c r="E24" s="59"/>
      <x:c r="F24" s="59"/>
      <x:c r="G24" s="59"/>
      <x:c r="H24" s="59"/>
      <x:c r="I24" s="59"/>
      <x:c r="J24" s="59"/>
      <x:c r="K24" s="59"/>
      <x:c r="L24" s="59"/>
      <x:c r="M24" s="59"/>
      <x:c r="N24" s="59"/>
      <x:c r="O24" s="59"/>
    </x:row>
    <x:row r="25">
      <x:c r="A25" s="59"/>
      <x:c r="B25" s="59"/>
      <x:c r="C25" s="59"/>
      <x:c r="D25" s="59"/>
      <x:c r="E25" s="59"/>
      <x:c r="F25" s="59"/>
      <x:c r="G25" s="59"/>
      <x:c r="H25" s="59"/>
      <x:c r="I25" s="59"/>
      <x:c r="J25" s="59"/>
      <x:c r="K25" s="59"/>
      <x:c r="L25" s="59"/>
      <x:c r="M25" s="59"/>
      <x:c r="N25" s="59"/>
      <x:c r="O25" s="59"/>
    </x:row>
    <x:row r="26">
      <x:c r="A26" s="59"/>
      <x:c r="B26" s="59"/>
      <x:c r="C26" s="59"/>
      <x:c r="D26" s="59"/>
      <x:c r="E26" s="59"/>
      <x:c r="F26" s="59"/>
      <x:c r="G26" s="59"/>
      <x:c r="H26" s="59"/>
      <x:c r="I26" s="59"/>
      <x:c r="J26" s="59"/>
      <x:c r="K26" s="59"/>
      <x:c r="L26" s="59"/>
      <x:c r="M26" s="59"/>
      <x:c r="N26" s="59"/>
      <x:c r="O26" s="59"/>
    </x:row>
    <x:row r="27">
      <x:c r="A27" s="59"/>
      <x:c r="B27" s="59"/>
      <x:c r="C27" s="59"/>
      <x:c r="D27" s="59"/>
      <x:c r="E27" s="59"/>
      <x:c r="F27" s="59"/>
      <x:c r="G27" s="59"/>
      <x:c r="H27" s="59"/>
      <x:c r="I27" s="59"/>
      <x:c r="J27" s="59"/>
      <x:c r="K27" s="59"/>
      <x:c r="L27" s="59"/>
      <x:c r="M27" s="59"/>
      <x:c r="N27" s="59"/>
      <x:c r="O27" s="59"/>
    </x:row>
    <x:row r="28">
      <x:c r="A28" s="59"/>
      <x:c r="B28" s="59"/>
      <x:c r="C28" s="59"/>
      <x:c r="D28" s="59"/>
      <x:c r="E28" s="59"/>
      <x:c r="F28" s="59"/>
      <x:c r="G28" s="59"/>
      <x:c r="H28" s="59"/>
      <x:c r="I28" s="59"/>
      <x:c r="J28" s="59"/>
      <x:c r="K28" s="59"/>
      <x:c r="L28" s="59"/>
      <x:c r="M28" s="59"/>
      <x:c r="N28" s="59"/>
      <x:c r="O28" s="59"/>
    </x:row>
    <x:row r="29">
      <x:c r="A29" s="59"/>
      <x:c r="B29" s="59"/>
      <x:c r="C29" s="59"/>
      <x:c r="D29" s="59"/>
      <x:c r="E29" s="59"/>
      <x:c r="F29" s="59"/>
      <x:c r="G29" s="59"/>
      <x:c r="H29" s="59"/>
      <x:c r="I29" s="59"/>
      <x:c r="J29" s="59"/>
      <x:c r="K29" s="59"/>
      <x:c r="L29" s="59"/>
      <x:c r="M29" s="59"/>
      <x:c r="N29" s="59"/>
      <x:c r="O29" s="59"/>
    </x:row>
    <x:row r="30">
      <x:c r="A30" s="59"/>
      <x:c r="B30" s="59"/>
      <x:c r="C30" s="59"/>
      <x:c r="D30" s="59"/>
      <x:c r="E30" s="59"/>
      <x:c r="F30" s="59"/>
      <x:c r="G30" s="59"/>
      <x:c r="H30" s="59"/>
      <x:c r="I30" s="59"/>
      <x:c r="J30" s="59"/>
      <x:c r="K30" s="59"/>
      <x:c r="L30" s="59"/>
      <x:c r="M30" s="59"/>
      <x:c r="N30" s="59"/>
      <x:c r="O30" s="59"/>
    </x:row>
    <x:row r="31">
      <x:c r="A31" s="59"/>
      <x:c r="B31" s="59"/>
      <x:c r="C31" s="59"/>
      <x:c r="D31" s="59"/>
      <x:c r="E31" s="59"/>
      <x:c r="F31" s="59"/>
      <x:c r="G31" s="59"/>
      <x:c r="H31" s="59"/>
      <x:c r="I31" s="59"/>
      <x:c r="J31" s="59"/>
      <x:c r="K31" s="59"/>
      <x:c r="L31" s="59"/>
      <x:c r="M31" s="59"/>
      <x:c r="N31" s="59"/>
      <x:c r="O31" s="59"/>
    </x:row>
    <x:row r="32">
      <x:c r="A32" s="59"/>
      <x:c r="B32" s="59"/>
      <x:c r="C32" s="59"/>
      <x:c r="D32" s="59"/>
      <x:c r="E32" s="59"/>
      <x:c r="F32" s="59"/>
      <x:c r="G32" s="59"/>
      <x:c r="H32" s="59"/>
      <x:c r="I32" s="59"/>
      <x:c r="J32" s="59"/>
      <x:c r="K32" s="59"/>
      <x:c r="L32" s="59"/>
      <x:c r="M32" s="59"/>
      <x:c r="N32" s="59"/>
      <x:c r="O32" s="59"/>
    </x:row>
    <x:row r="33">
      <x:c r="A33" s="59"/>
      <x:c r="B33" s="59"/>
      <x:c r="C33" s="59"/>
      <x:c r="D33" s="59"/>
      <x:c r="E33" s="59"/>
      <x:c r="F33" s="59"/>
      <x:c r="G33" s="59"/>
      <x:c r="H33" s="59"/>
      <x:c r="I33" s="59"/>
      <x:c r="J33" s="59"/>
      <x:c r="K33" s="59"/>
      <x:c r="L33" s="59"/>
      <x:c r="M33" s="59"/>
      <x:c r="N33" s="59"/>
      <x:c r="O33" s="59"/>
    </x:row>
    <x:row r="34">
      <x:c r="A34" s="59"/>
      <x:c r="B34" s="59"/>
      <x:c r="C34" s="59"/>
      <x:c r="D34" s="59"/>
      <x:c r="E34" s="59"/>
      <x:c r="F34" s="59"/>
      <x:c r="G34" s="59"/>
      <x:c r="H34" s="59"/>
      <x:c r="I34" s="59"/>
      <x:c r="J34" s="59"/>
      <x:c r="K34" s="59"/>
      <x:c r="L34" s="59"/>
      <x:c r="M34" s="59"/>
      <x:c r="N34" s="59"/>
      <x:c r="O34" s="59"/>
    </x:row>
    <x:row r="35">
      <x:c r="A35" s="59"/>
      <x:c r="B35" s="59"/>
      <x:c r="C35" s="59"/>
      <x:c r="D35" s="59"/>
      <x:c r="E35" s="59"/>
      <x:c r="F35" s="59"/>
      <x:c r="G35" s="59"/>
      <x:c r="H35" s="59"/>
      <x:c r="I35" s="59"/>
      <x:c r="J35" s="59"/>
      <x:c r="K35" s="59"/>
      <x:c r="L35" s="59"/>
      <x:c r="M35" s="59"/>
      <x:c r="N35" s="59"/>
      <x:c r="O35" s="59"/>
    </x:row>
    <x:row r="36">
      <x:c r="A36" s="59"/>
      <x:c r="B36" s="59"/>
      <x:c r="C36" s="59"/>
      <x:c r="D36" s="59"/>
      <x:c r="E36" s="59"/>
      <x:c r="F36" s="59"/>
      <x:c r="G36" s="59"/>
      <x:c r="H36" s="59"/>
      <x:c r="I36" s="59"/>
      <x:c r="J36" s="59"/>
      <x:c r="K36" s="59"/>
      <x:c r="L36" s="59"/>
      <x:c r="M36" s="59"/>
      <x:c r="N36" s="59"/>
      <x:c r="O36" s="59"/>
    </x:row>
    <x:row r="37">
      <x:c r="A37" s="59"/>
      <x:c r="B37" s="59"/>
      <x:c r="C37" s="59"/>
      <x:c r="D37" s="59"/>
      <x:c r="E37" s="59"/>
      <x:c r="F37" s="59"/>
      <x:c r="G37" s="59"/>
      <x:c r="H37" s="59"/>
      <x:c r="I37" s="59"/>
      <x:c r="J37" s="59"/>
      <x:c r="K37" s="59"/>
      <x:c r="L37" s="59"/>
      <x:c r="M37" s="59"/>
      <x:c r="N37" s="59"/>
      <x:c r="O37" s="59"/>
    </x:row>
    <x:row r="38">
      <x:c r="A38" s="59"/>
      <x:c r="B38" s="59"/>
      <x:c r="C38" s="59"/>
      <x:c r="D38" s="59"/>
      <x:c r="E38" s="59"/>
      <x:c r="F38" s="59"/>
      <x:c r="G38" s="59"/>
      <x:c r="H38" s="59"/>
      <x:c r="I38" s="59"/>
      <x:c r="J38" s="59"/>
      <x:c r="K38" s="59"/>
      <x:c r="L38" s="59"/>
      <x:c r="M38" s="59"/>
      <x:c r="N38" s="59"/>
      <x:c r="O38" s="59"/>
    </x:row>
    <x:row r="39">
      <x:c r="A39" s="59"/>
      <x:c r="B39" s="59"/>
      <x:c r="C39" s="59"/>
      <x:c r="D39" s="59"/>
      <x:c r="E39" s="59"/>
      <x:c r="F39" s="59"/>
      <x:c r="G39" s="59"/>
      <x:c r="H39" s="59"/>
      <x:c r="I39" s="59"/>
      <x:c r="J39" s="59"/>
      <x:c r="K39" s="59"/>
      <x:c r="L39" s="59"/>
      <x:c r="M39" s="59"/>
      <x:c r="N39" s="59"/>
      <x:c r="O39" s="59"/>
    </x:row>
    <x:row r="40">
      <x:c r="A40" s="59"/>
      <x:c r="B40" s="59"/>
      <x:c r="C40" s="59"/>
      <x:c r="D40" s="59"/>
      <x:c r="E40" s="59"/>
      <x:c r="F40" s="59"/>
      <x:c r="G40" s="59"/>
      <x:c r="H40" s="59"/>
      <x:c r="I40" s="59"/>
      <x:c r="J40" s="59"/>
      <x:c r="K40" s="59"/>
      <x:c r="L40" s="59"/>
      <x:c r="M40" s="59"/>
      <x:c r="N40" s="59"/>
      <x:c r="O40" s="59"/>
    </x:row>
    <x:row r="41">
      <x:c r="A41" s="59"/>
      <x:c r="B41" s="59"/>
      <x:c r="C41" s="59"/>
      <x:c r="D41" s="59"/>
      <x:c r="E41" s="59"/>
      <x:c r="F41" s="59"/>
      <x:c r="G41" s="59"/>
      <x:c r="H41" s="59"/>
      <x:c r="I41" s="59"/>
      <x:c r="J41" s="59"/>
      <x:c r="K41" s="59"/>
      <x:c r="L41" s="59"/>
      <x:c r="M41" s="59"/>
      <x:c r="N41" s="59"/>
      <x:c r="O41" s="59"/>
    </x:row>
    <x:row r="42">
      <x:c r="A42" s="59"/>
      <x:c r="B42" s="59"/>
      <x:c r="C42" s="59"/>
      <x:c r="D42" s="59"/>
      <x:c r="E42" s="59"/>
      <x:c r="F42" s="59"/>
      <x:c r="G42" s="59"/>
      <x:c r="H42" s="59"/>
      <x:c r="I42" s="59"/>
      <x:c r="J42" s="59"/>
      <x:c r="K42" s="59"/>
      <x:c r="L42" s="59"/>
      <x:c r="M42" s="59"/>
      <x:c r="N42" s="59"/>
      <x:c r="O42" s="59"/>
    </x:row>
    <x:row r="43">
      <x:c r="A43" s="59"/>
      <x:c r="B43" s="59"/>
      <x:c r="C43" s="59"/>
      <x:c r="D43" s="59"/>
      <x:c r="E43" s="59"/>
      <x:c r="F43" s="59"/>
      <x:c r="G43" s="59"/>
      <x:c r="H43" s="59"/>
      <x:c r="I43" s="59"/>
      <x:c r="J43" s="59"/>
      <x:c r="K43" s="59"/>
      <x:c r="L43" s="59"/>
      <x:c r="M43" s="59"/>
      <x:c r="N43" s="59"/>
      <x:c r="O43" s="59"/>
    </x:row>
    <x:row r="44">
      <x:c r="A44" s="59"/>
      <x:c r="B44" s="59"/>
      <x:c r="C44" s="59"/>
      <x:c r="D44" s="59"/>
      <x:c r="E44" s="59"/>
      <x:c r="F44" s="59"/>
      <x:c r="G44" s="59"/>
      <x:c r="H44" s="59"/>
      <x:c r="I44" s="59"/>
      <x:c r="J44" s="59"/>
      <x:c r="K44" s="59"/>
      <x:c r="L44" s="59"/>
      <x:c r="M44" s="59"/>
      <x:c r="N44" s="59"/>
      <x:c r="O44" s="59"/>
    </x:row>
    <x:row r="45">
      <x:c r="A45" s="59"/>
      <x:c r="B45" s="59"/>
      <x:c r="C45" s="59"/>
      <x:c r="D45" s="59"/>
      <x:c r="E45" s="59"/>
      <x:c r="F45" s="59"/>
      <x:c r="G45" s="59"/>
      <x:c r="H45" s="59"/>
      <x:c r="I45" s="59"/>
      <x:c r="J45" s="59"/>
      <x:c r="K45" s="59"/>
      <x:c r="L45" s="59"/>
      <x:c r="M45" s="59"/>
      <x:c r="N45" s="59"/>
      <x:c r="O45" s="59"/>
    </x:row>
    <x:row r="46">
      <x:c r="A46" s="59"/>
      <x:c r="B46" s="59"/>
      <x:c r="C46" s="59"/>
      <x:c r="D46" s="59"/>
      <x:c r="E46" s="59"/>
      <x:c r="F46" s="59"/>
      <x:c r="G46" s="59"/>
      <x:c r="H46" s="59"/>
      <x:c r="I46" s="59"/>
      <x:c r="J46" s="59"/>
      <x:c r="K46" s="59"/>
      <x:c r="L46" s="59"/>
      <x:c r="M46" s="59"/>
      <x:c r="N46" s="59"/>
      <x:c r="O46" s="59"/>
    </x:row>
    <x:row r="47">
      <x:c r="A47" s="59"/>
      <x:c r="B47" s="59"/>
      <x:c r="C47" s="59"/>
      <x:c r="D47" s="59"/>
      <x:c r="E47" s="59"/>
      <x:c r="F47" s="59"/>
      <x:c r="G47" s="59"/>
      <x:c r="H47" s="59"/>
      <x:c r="I47" s="59"/>
      <x:c r="J47" s="59"/>
      <x:c r="K47" s="59"/>
      <x:c r="L47" s="59"/>
      <x:c r="M47" s="59"/>
      <x:c r="N47" s="59"/>
      <x:c r="O47" s="59"/>
    </x:row>
    <x:row r="48">
      <x:c r="A48" s="59"/>
      <x:c r="B48" s="59"/>
      <x:c r="C48" s="59"/>
      <x:c r="D48" s="59"/>
      <x:c r="E48" s="59"/>
      <x:c r="F48" s="59"/>
      <x:c r="G48" s="59"/>
      <x:c r="H48" s="59"/>
      <x:c r="I48" s="59"/>
      <x:c r="J48" s="59"/>
      <x:c r="K48" s="59"/>
      <x:c r="L48" s="59"/>
      <x:c r="M48" s="59"/>
      <x:c r="N48" s="59"/>
      <x:c r="O48" s="59"/>
    </x:row>
    <x:row r="49">
      <x:c r="A49" s="59"/>
      <x:c r="B49" s="59"/>
      <x:c r="C49" s="59"/>
      <x:c r="D49" s="59"/>
      <x:c r="E49" s="59"/>
      <x:c r="F49" s="59"/>
      <x:c r="G49" s="59"/>
      <x:c r="H49" s="59"/>
      <x:c r="I49" s="59"/>
      <x:c r="J49" s="59"/>
      <x:c r="K49" s="59"/>
      <x:c r="L49" s="59"/>
      <x:c r="M49" s="59"/>
      <x:c r="N49" s="59"/>
      <x:c r="O49" s="59"/>
    </x:row>
    <x:row r="50">
      <x:c r="A50" s="59"/>
      <x:c r="B50" s="59"/>
      <x:c r="C50" s="59"/>
      <x:c r="D50" s="59"/>
      <x:c r="E50" s="59"/>
      <x:c r="F50" s="59"/>
      <x:c r="G50" s="59"/>
      <x:c r="H50" s="59"/>
      <x:c r="I50" s="59"/>
      <x:c r="J50" s="59"/>
      <x:c r="K50" s="59"/>
      <x:c r="L50" s="59"/>
      <x:c r="M50" s="59"/>
      <x:c r="N50" s="59"/>
      <x:c r="O50" s="59"/>
    </x:row>
    <x:row r="51">
      <x:c r="A51" s="59"/>
      <x:c r="B51" s="59"/>
      <x:c r="C51" s="59"/>
      <x:c r="D51" s="59"/>
      <x:c r="E51" s="59"/>
      <x:c r="F51" s="59"/>
      <x:c r="G51" s="59"/>
      <x:c r="H51" s="59"/>
      <x:c r="I51" s="59"/>
      <x:c r="J51" s="59"/>
      <x:c r="K51" s="59"/>
      <x:c r="L51" s="59"/>
      <x:c r="M51" s="59"/>
      <x:c r="N51" s="59"/>
      <x:c r="O51" s="59"/>
    </x:row>
    <x:row r="52">
      <x:c r="A52" s="59"/>
      <x:c r="B52" s="59"/>
      <x:c r="C52" s="59"/>
      <x:c r="D52" s="59"/>
      <x:c r="E52" s="59"/>
      <x:c r="F52" s="59"/>
      <x:c r="G52" s="59"/>
      <x:c r="H52" s="59"/>
      <x:c r="I52" s="59"/>
      <x:c r="J52" s="59"/>
      <x:c r="K52" s="59"/>
      <x:c r="L52" s="59"/>
      <x:c r="M52" s="59"/>
      <x:c r="N52" s="59"/>
      <x:c r="O52" s="59"/>
    </x:row>
    <x:row r="53">
      <x:c r="A53" s="59"/>
      <x:c r="B53" s="59"/>
      <x:c r="C53" s="59"/>
      <x:c r="D53" s="59"/>
      <x:c r="E53" s="59"/>
      <x:c r="F53" s="59"/>
      <x:c r="G53" s="59"/>
      <x:c r="H53" s="59"/>
      <x:c r="I53" s="59"/>
      <x:c r="J53" s="59"/>
      <x:c r="K53" s="59"/>
      <x:c r="L53" s="59"/>
      <x:c r="M53" s="59"/>
      <x:c r="N53" s="59"/>
      <x:c r="O53" s="59"/>
    </x:row>
    <x:row r="54">
      <x:c r="A54" s="59"/>
      <x:c r="B54" s="59"/>
      <x:c r="C54" s="59"/>
      <x:c r="D54" s="59"/>
      <x:c r="E54" s="59"/>
      <x:c r="F54" s="59"/>
      <x:c r="G54" s="59"/>
      <x:c r="H54" s="59"/>
      <x:c r="I54" s="59"/>
      <x:c r="J54" s="59"/>
      <x:c r="K54" s="59"/>
      <x:c r="L54" s="59"/>
      <x:c r="M54" s="59"/>
      <x:c r="N54" s="59"/>
      <x:c r="O54" s="59"/>
    </x:row>
    <x:row r="55">
      <x:c r="A55" s="59"/>
      <x:c r="B55" s="59"/>
      <x:c r="C55" s="59"/>
      <x:c r="D55" s="59"/>
      <x:c r="E55" s="59"/>
      <x:c r="F55" s="59"/>
      <x:c r="G55" s="59"/>
      <x:c r="H55" s="59"/>
      <x:c r="I55" s="59"/>
      <x:c r="J55" s="59"/>
      <x:c r="K55" s="59"/>
      <x:c r="L55" s="59"/>
      <x:c r="M55" s="59"/>
      <x:c r="N55" s="59"/>
      <x:c r="O55" s="59"/>
    </x:row>
    <x:row r="56">
      <x:c r="A56" s="59"/>
      <x:c r="B56" s="59"/>
      <x:c r="C56" s="59"/>
      <x:c r="D56" s="59"/>
      <x:c r="E56" s="59"/>
      <x:c r="F56" s="59"/>
      <x:c r="G56" s="59"/>
      <x:c r="H56" s="59"/>
      <x:c r="I56" s="59"/>
      <x:c r="J56" s="59"/>
      <x:c r="K56" s="59"/>
      <x:c r="L56" s="59"/>
      <x:c r="M56" s="59"/>
      <x:c r="N56" s="59"/>
      <x:c r="O56" s="59"/>
    </x:row>
    <x:row r="57">
      <x:c r="A57" s="59"/>
      <x:c r="B57" s="59"/>
      <x:c r="C57" s="59"/>
      <x:c r="D57" s="59"/>
      <x:c r="E57" s="59"/>
      <x:c r="F57" s="59"/>
      <x:c r="G57" s="59"/>
      <x:c r="H57" s="59"/>
      <x:c r="I57" s="59"/>
      <x:c r="J57" s="59"/>
      <x:c r="K57" s="59"/>
      <x:c r="L57" s="59"/>
      <x:c r="M57" s="59"/>
      <x:c r="N57" s="59"/>
      <x:c r="O57" s="59"/>
    </x:row>
    <x:row r="58">
      <x:c r="A58" s="59"/>
      <x:c r="B58" s="59"/>
      <x:c r="C58" s="59"/>
      <x:c r="D58" s="59"/>
      <x:c r="E58" s="59"/>
      <x:c r="F58" s="59"/>
      <x:c r="G58" s="59"/>
      <x:c r="H58" s="59"/>
      <x:c r="I58" s="59"/>
      <x:c r="J58" s="59"/>
      <x:c r="K58" s="59"/>
      <x:c r="L58" s="59"/>
      <x:c r="M58" s="59"/>
      <x:c r="N58" s="59"/>
      <x:c r="O58" s="59"/>
    </x:row>
    <x:row r="59">
      <x:c r="A59" s="59"/>
      <x:c r="B59" s="59"/>
      <x:c r="C59" s="59"/>
      <x:c r="D59" s="59"/>
      <x:c r="E59" s="59"/>
      <x:c r="F59" s="59"/>
      <x:c r="G59" s="59"/>
      <x:c r="H59" s="59"/>
      <x:c r="I59" s="59"/>
      <x:c r="J59" s="59"/>
      <x:c r="K59" s="59"/>
      <x:c r="L59" s="59"/>
      <x:c r="M59" s="59"/>
      <x:c r="N59" s="59"/>
      <x:c r="O59" s="59"/>
    </x:row>
    <x:row r="60">
      <x:c r="A60" s="59"/>
      <x:c r="B60" s="59"/>
      <x:c r="C60" s="59"/>
      <x:c r="D60" s="59"/>
      <x:c r="E60" s="59"/>
      <x:c r="F60" s="59"/>
      <x:c r="G60" s="59"/>
      <x:c r="H60" s="59"/>
      <x:c r="I60" s="59"/>
      <x:c r="J60" s="59"/>
      <x:c r="K60" s="59"/>
      <x:c r="L60" s="59"/>
      <x:c r="M60" s="59"/>
      <x:c r="N60" s="59"/>
      <x:c r="O60" s="59"/>
    </x:row>
    <x:row r="61">
      <x:c r="A61" s="59"/>
      <x:c r="B61" s="59"/>
      <x:c r="C61" s="59"/>
      <x:c r="D61" s="59"/>
      <x:c r="E61" s="59"/>
      <x:c r="F61" s="59"/>
      <x:c r="G61" s="59"/>
      <x:c r="H61" s="59"/>
      <x:c r="I61" s="59"/>
      <x:c r="J61" s="59"/>
      <x:c r="K61" s="59"/>
      <x:c r="L61" s="59"/>
      <x:c r="M61" s="59"/>
      <x:c r="N61" s="59"/>
      <x:c r="O61" s="59"/>
    </x:row>
    <x:row r="62">
      <x:c r="A62" s="59"/>
      <x:c r="B62" s="59"/>
      <x:c r="C62" s="59"/>
      <x:c r="D62" s="59"/>
      <x:c r="E62" s="59"/>
      <x:c r="F62" s="59"/>
      <x:c r="G62" s="59"/>
      <x:c r="H62" s="59"/>
      <x:c r="I62" s="59"/>
      <x:c r="J62" s="59"/>
      <x:c r="K62" s="59"/>
      <x:c r="L62" s="59"/>
      <x:c r="M62" s="59"/>
      <x:c r="N62" s="59"/>
      <x:c r="O62" s="59"/>
    </x:row>
    <x:row r="63">
      <x:c r="A63" s="59"/>
      <x:c r="B63" s="59"/>
      <x:c r="C63" s="59"/>
      <x:c r="D63" s="59"/>
      <x:c r="E63" s="59"/>
      <x:c r="F63" s="59"/>
      <x:c r="G63" s="59"/>
      <x:c r="H63" s="59"/>
      <x:c r="I63" s="59"/>
      <x:c r="J63" s="59"/>
      <x:c r="K63" s="59"/>
      <x:c r="L63" s="59"/>
      <x:c r="M63" s="59"/>
      <x:c r="N63" s="59"/>
      <x:c r="O63" s="59"/>
    </x:row>
    <x:row r="64">
      <x:c r="A64" s="59"/>
      <x:c r="B64" s="59"/>
      <x:c r="C64" s="59"/>
      <x:c r="D64" s="59"/>
      <x:c r="E64" s="59"/>
      <x:c r="F64" s="59"/>
      <x:c r="G64" s="59"/>
      <x:c r="H64" s="59"/>
      <x:c r="I64" s="59"/>
      <x:c r="J64" s="59"/>
      <x:c r="K64" s="59"/>
      <x:c r="L64" s="59"/>
      <x:c r="M64" s="59"/>
      <x:c r="N64" s="59"/>
      <x:c r="O64" s="59"/>
    </x:row>
    <x:row r="65">
      <x:c r="A65" s="59"/>
      <x:c r="B65" s="59"/>
      <x:c r="C65" s="59"/>
      <x:c r="D65" s="59"/>
      <x:c r="E65" s="59"/>
      <x:c r="F65" s="59"/>
      <x:c r="G65" s="59"/>
      <x:c r="H65" s="59"/>
      <x:c r="I65" s="59"/>
      <x:c r="J65" s="59"/>
      <x:c r="K65" s="59"/>
      <x:c r="L65" s="59"/>
      <x:c r="M65" s="59"/>
      <x:c r="N65" s="59"/>
      <x:c r="O65" s="59"/>
    </x:row>
    <x:row r="66">
      <x:c r="A66" s="59"/>
      <x:c r="B66" s="59"/>
      <x:c r="C66" s="59"/>
      <x:c r="D66" s="59"/>
      <x:c r="E66" s="59"/>
      <x:c r="F66" s="59"/>
      <x:c r="G66" s="59"/>
      <x:c r="H66" s="59"/>
      <x:c r="I66" s="59"/>
      <x:c r="J66" s="59"/>
      <x:c r="K66" s="59"/>
      <x:c r="L66" s="59"/>
      <x:c r="M66" s="59"/>
      <x:c r="N66" s="59"/>
      <x:c r="O66" s="59"/>
    </x:row>
    <x:row r="67">
      <x:c r="A67" s="59"/>
      <x:c r="B67" s="59"/>
      <x:c r="C67" s="59"/>
      <x:c r="D67" s="59"/>
      <x:c r="E67" s="59"/>
      <x:c r="F67" s="59"/>
      <x:c r="G67" s="59"/>
      <x:c r="H67" s="59"/>
      <x:c r="I67" s="59"/>
      <x:c r="J67" s="59"/>
      <x:c r="K67" s="59"/>
      <x:c r="L67" s="59"/>
      <x:c r="M67" s="59"/>
      <x:c r="N67" s="59"/>
      <x:c r="O67" s="59"/>
    </x:row>
    <x:row r="68">
      <x:c r="A68" s="59"/>
      <x:c r="B68" s="59"/>
      <x:c r="C68" s="59"/>
      <x:c r="D68" s="59"/>
      <x:c r="E68" s="59"/>
      <x:c r="F68" s="59"/>
      <x:c r="G68" s="59"/>
      <x:c r="H68" s="59"/>
      <x:c r="I68" s="59"/>
      <x:c r="J68" s="59"/>
      <x:c r="K68" s="59"/>
      <x:c r="L68" s="59"/>
      <x:c r="M68" s="59"/>
      <x:c r="N68" s="59"/>
      <x:c r="O68" s="59"/>
    </x:row>
    <x:row r="69">
      <x:c r="A69" s="59"/>
      <x:c r="B69" s="59"/>
      <x:c r="C69" s="59"/>
      <x:c r="D69" s="59"/>
      <x:c r="E69" s="59"/>
      <x:c r="F69" s="59"/>
      <x:c r="G69" s="59"/>
      <x:c r="H69" s="59"/>
      <x:c r="I69" s="59"/>
      <x:c r="J69" s="59"/>
      <x:c r="K69" s="59"/>
      <x:c r="L69" s="59"/>
      <x:c r="M69" s="59"/>
      <x:c r="N69" s="59"/>
      <x:c r="O69" s="59"/>
    </x:row>
    <x:row r="70">
      <x:c r="A70" s="59"/>
      <x:c r="B70" s="59"/>
      <x:c r="C70" s="59"/>
      <x:c r="D70" s="59"/>
      <x:c r="E70" s="59"/>
      <x:c r="F70" s="59"/>
      <x:c r="G70" s="59"/>
      <x:c r="H70" s="59"/>
      <x:c r="I70" s="59"/>
      <x:c r="J70" s="59"/>
      <x:c r="K70" s="59"/>
      <x:c r="L70" s="59"/>
      <x:c r="M70" s="59"/>
      <x:c r="N70" s="59"/>
      <x:c r="O70" s="59"/>
    </x:row>
    <x:row r="71">
      <x:c r="A71" s="59"/>
      <x:c r="B71" s="59"/>
      <x:c r="C71" s="59"/>
      <x:c r="D71" s="59"/>
      <x:c r="E71" s="59"/>
      <x:c r="F71" s="59"/>
      <x:c r="G71" s="59"/>
      <x:c r="H71" s="59"/>
      <x:c r="I71" s="59"/>
      <x:c r="J71" s="59"/>
      <x:c r="K71" s="59"/>
      <x:c r="L71" s="59"/>
      <x:c r="M71" s="59"/>
      <x:c r="N71" s="59"/>
      <x:c r="O71" s="59"/>
    </x:row>
    <x:row r="72">
      <x:c r="A72" s="59"/>
      <x:c r="B72" s="59"/>
      <x:c r="C72" s="59"/>
      <x:c r="D72" s="59"/>
      <x:c r="E72" s="59"/>
      <x:c r="F72" s="59"/>
      <x:c r="G72" s="59"/>
      <x:c r="H72" s="59"/>
      <x:c r="I72" s="59"/>
      <x:c r="J72" s="59"/>
      <x:c r="K72" s="59"/>
      <x:c r="L72" s="59"/>
      <x:c r="M72" s="59"/>
      <x:c r="N72" s="59"/>
      <x:c r="O72" s="59"/>
    </x:row>
    <x:row r="73">
      <x:c r="A73" s="59"/>
      <x:c r="B73" s="59"/>
      <x:c r="C73" s="59"/>
      <x:c r="D73" s="59"/>
      <x:c r="E73" s="59"/>
      <x:c r="F73" s="59"/>
      <x:c r="G73" s="59"/>
      <x:c r="H73" s="59"/>
      <x:c r="I73" s="59"/>
      <x:c r="J73" s="59"/>
      <x:c r="K73" s="59"/>
      <x:c r="L73" s="59"/>
      <x:c r="M73" s="59"/>
      <x:c r="N73" s="59"/>
      <x:c r="O73" s="59"/>
    </x:row>
    <x:row r="74">
      <x:c r="A74" s="59"/>
      <x:c r="B74" s="59"/>
      <x:c r="C74" s="59"/>
      <x:c r="D74" s="59"/>
      <x:c r="E74" s="59"/>
      <x:c r="F74" s="59"/>
      <x:c r="G74" s="59"/>
      <x:c r="H74" s="59"/>
      <x:c r="I74" s="59"/>
      <x:c r="J74" s="59"/>
      <x:c r="K74" s="59"/>
      <x:c r="L74" s="59"/>
      <x:c r="M74" s="59"/>
      <x:c r="N74" s="59"/>
      <x:c r="O74" s="59"/>
    </x:row>
    <x:row r="75">
      <x:c r="A75" s="59"/>
      <x:c r="B75" s="59"/>
      <x:c r="C75" s="59"/>
      <x:c r="D75" s="59"/>
      <x:c r="E75" s="59"/>
      <x:c r="F75" s="59"/>
      <x:c r="G75" s="59"/>
      <x:c r="H75" s="59"/>
      <x:c r="I75" s="59"/>
      <x:c r="J75" s="59"/>
      <x:c r="K75" s="59"/>
      <x:c r="L75" s="59"/>
      <x:c r="M75" s="59"/>
      <x:c r="N75" s="59"/>
      <x:c r="O75" s="59"/>
    </x:row>
    <x:row r="76">
      <x:c r="A76" s="59"/>
      <x:c r="B76" s="59"/>
      <x:c r="C76" s="59"/>
      <x:c r="D76" s="59"/>
      <x:c r="E76" s="59"/>
      <x:c r="F76" s="59"/>
      <x:c r="G76" s="59"/>
      <x:c r="H76" s="59"/>
      <x:c r="I76" s="59"/>
      <x:c r="J76" s="59"/>
      <x:c r="K76" s="59"/>
      <x:c r="L76" s="59"/>
      <x:c r="M76" s="59"/>
      <x:c r="N76" s="59"/>
      <x:c r="O76" s="59"/>
    </x:row>
    <x:row r="77">
      <x:c r="A77" s="59"/>
      <x:c r="B77" s="59"/>
      <x:c r="C77" s="59"/>
      <x:c r="D77" s="59"/>
      <x:c r="E77" s="59"/>
      <x:c r="F77" s="59"/>
      <x:c r="G77" s="59"/>
      <x:c r="H77" s="59"/>
      <x:c r="I77" s="59"/>
      <x:c r="J77" s="59"/>
      <x:c r="K77" s="59"/>
      <x:c r="L77" s="59"/>
      <x:c r="M77" s="59"/>
      <x:c r="N77" s="59"/>
      <x:c r="O77" s="59"/>
    </x:row>
    <x:row r="78">
      <x:c r="A78" s="59"/>
      <x:c r="B78" s="59"/>
      <x:c r="C78" s="59"/>
      <x:c r="D78" s="59"/>
      <x:c r="E78" s="59"/>
      <x:c r="F78" s="59"/>
      <x:c r="G78" s="59"/>
      <x:c r="H78" s="59"/>
      <x:c r="I78" s="59"/>
      <x:c r="J78" s="59"/>
      <x:c r="K78" s="59"/>
      <x:c r="L78" s="59"/>
      <x:c r="M78" s="59"/>
      <x:c r="N78" s="59"/>
      <x:c r="O78" s="59"/>
    </x:row>
    <x:row r="79">
      <x:c r="A79" s="59"/>
      <x:c r="B79" s="59"/>
      <x:c r="C79" s="59"/>
      <x:c r="D79" s="59"/>
      <x:c r="E79" s="59"/>
      <x:c r="F79" s="59"/>
      <x:c r="G79" s="59"/>
      <x:c r="H79" s="59"/>
      <x:c r="I79" s="59"/>
      <x:c r="J79" s="59"/>
      <x:c r="K79" s="59"/>
      <x:c r="L79" s="59"/>
      <x:c r="M79" s="59"/>
      <x:c r="N79" s="59"/>
      <x:c r="O79" s="59"/>
    </x:row>
    <x:row r="80">
      <x:c r="A80" s="59"/>
      <x:c r="B80" s="59"/>
      <x:c r="C80" s="59"/>
      <x:c r="D80" s="59"/>
      <x:c r="E80" s="59"/>
      <x:c r="F80" s="59"/>
      <x:c r="G80" s="59"/>
      <x:c r="H80" s="59"/>
      <x:c r="I80" s="59"/>
      <x:c r="J80" s="59"/>
      <x:c r="K80" s="59"/>
      <x:c r="L80" s="59"/>
      <x:c r="M80" s="59"/>
      <x:c r="N80" s="59"/>
      <x:c r="O80" s="59"/>
    </x:row>
    <x:row r="81">
      <x:c r="A81" s="59"/>
      <x:c r="B81" s="59"/>
      <x:c r="C81" s="59"/>
      <x:c r="D81" s="59"/>
      <x:c r="E81" s="59"/>
      <x:c r="F81" s="59"/>
      <x:c r="G81" s="59"/>
      <x:c r="H81" s="59"/>
      <x:c r="I81" s="59"/>
      <x:c r="J81" s="59"/>
      <x:c r="K81" s="59"/>
      <x:c r="L81" s="59"/>
      <x:c r="M81" s="59"/>
      <x:c r="N81" s="59"/>
      <x:c r="O81" s="59"/>
    </x:row>
    <x:row r="82">
      <x:c r="A82" s="59"/>
      <x:c r="B82" s="59"/>
      <x:c r="C82" s="59"/>
      <x:c r="D82" s="59"/>
      <x:c r="E82" s="59"/>
      <x:c r="F82" s="59"/>
      <x:c r="G82" s="59"/>
      <x:c r="H82" s="59"/>
      <x:c r="I82" s="59"/>
      <x:c r="J82" s="59"/>
      <x:c r="K82" s="59"/>
      <x:c r="L82" s="59"/>
      <x:c r="M82" s="59"/>
      <x:c r="N82" s="59"/>
      <x:c r="O82" s="59"/>
    </x:row>
    <x:row r="83">
      <x:c r="A83" s="59"/>
      <x:c r="B83" s="59"/>
      <x:c r="C83" s="59"/>
      <x:c r="D83" s="59"/>
      <x:c r="E83" s="59"/>
      <x:c r="F83" s="59"/>
      <x:c r="G83" s="59"/>
      <x:c r="H83" s="59"/>
      <x:c r="I83" s="59"/>
      <x:c r="J83" s="59"/>
      <x:c r="K83" s="59"/>
      <x:c r="L83" s="59"/>
      <x:c r="M83" s="59"/>
      <x:c r="N83" s="59"/>
      <x:c r="O83" s="59"/>
    </x:row>
    <x:row r="84">
      <x:c r="A84" s="59"/>
      <x:c r="B84" s="59"/>
      <x:c r="C84" s="59"/>
      <x:c r="D84" s="59"/>
      <x:c r="E84" s="59"/>
      <x:c r="F84" s="59"/>
      <x:c r="G84" s="59"/>
      <x:c r="H84" s="59"/>
      <x:c r="I84" s="59"/>
      <x:c r="J84" s="59"/>
      <x:c r="K84" s="59"/>
      <x:c r="L84" s="59"/>
      <x:c r="M84" s="59"/>
      <x:c r="N84" s="59"/>
      <x:c r="O84" s="59"/>
    </x:row>
    <x:row r="85">
      <x:c r="A85" s="59"/>
      <x:c r="B85" s="59"/>
      <x:c r="C85" s="59"/>
      <x:c r="D85" s="59"/>
      <x:c r="E85" s="59"/>
      <x:c r="F85" s="59"/>
      <x:c r="G85" s="59"/>
      <x:c r="H85" s="59"/>
      <x:c r="I85" s="59"/>
      <x:c r="J85" s="59"/>
      <x:c r="K85" s="59"/>
      <x:c r="L85" s="59"/>
      <x:c r="M85" s="59"/>
      <x:c r="N85" s="59"/>
      <x:c r="O85" s="59"/>
    </x:row>
    <x:row r="86">
      <x:c r="A86" s="59"/>
      <x:c r="B86" s="59"/>
      <x:c r="C86" s="59"/>
      <x:c r="D86" s="59"/>
      <x:c r="E86" s="59"/>
      <x:c r="F86" s="59"/>
      <x:c r="G86" s="59"/>
      <x:c r="H86" s="59"/>
      <x:c r="I86" s="59"/>
      <x:c r="J86" s="59"/>
      <x:c r="K86" s="59"/>
      <x:c r="L86" s="59"/>
      <x:c r="M86" s="59"/>
      <x:c r="N86" s="59"/>
      <x:c r="O86" s="59"/>
    </x:row>
    <x:row r="87">
      <x:c r="A87" s="59"/>
      <x:c r="B87" s="59"/>
      <x:c r="C87" s="59"/>
      <x:c r="D87" s="59"/>
      <x:c r="E87" s="59"/>
      <x:c r="F87" s="59"/>
      <x:c r="G87" s="59"/>
      <x:c r="H87" s="59"/>
      <x:c r="I87" s="59"/>
      <x:c r="J87" s="59"/>
      <x:c r="K87" s="59"/>
      <x:c r="L87" s="59"/>
      <x:c r="M87" s="59"/>
      <x:c r="N87" s="59"/>
      <x:c r="O87" s="59"/>
    </x:row>
    <x:row r="88">
      <x:c r="A88" s="59"/>
      <x:c r="B88" s="59"/>
      <x:c r="C88" s="59"/>
      <x:c r="D88" s="59"/>
      <x:c r="E88" s="59"/>
      <x:c r="F88" s="59"/>
      <x:c r="G88" s="59"/>
      <x:c r="H88" s="59"/>
      <x:c r="I88" s="59"/>
      <x:c r="J88" s="59"/>
      <x:c r="K88" s="59"/>
      <x:c r="L88" s="59"/>
      <x:c r="M88" s="59"/>
      <x:c r="N88" s="59"/>
      <x:c r="O88" s="59"/>
    </x:row>
    <x:row r="89">
      <x:c r="A89" s="59"/>
      <x:c r="B89" s="59"/>
      <x:c r="C89" s="59"/>
      <x:c r="D89" s="59"/>
      <x:c r="E89" s="59"/>
      <x:c r="F89" s="59"/>
      <x:c r="G89" s="59"/>
      <x:c r="H89" s="59"/>
      <x:c r="I89" s="59"/>
      <x:c r="J89" s="59"/>
      <x:c r="K89" s="59"/>
      <x:c r="L89" s="59"/>
      <x:c r="M89" s="59"/>
      <x:c r="N89" s="59"/>
      <x:c r="O89" s="59"/>
    </x:row>
    <x:row r="90">
      <x:c r="A90" s="59"/>
      <x:c r="B90" s="59"/>
      <x:c r="C90" s="59"/>
      <x:c r="D90" s="59"/>
      <x:c r="E90" s="59"/>
      <x:c r="F90" s="59"/>
      <x:c r="G90" s="59"/>
      <x:c r="H90" s="59"/>
      <x:c r="I90" s="59"/>
      <x:c r="J90" s="59"/>
      <x:c r="K90" s="59"/>
      <x:c r="L90" s="59"/>
      <x:c r="M90" s="59"/>
      <x:c r="N90" s="59"/>
      <x:c r="O90" s="59"/>
    </x:row>
    <x:row r="91">
      <x:c r="A91" s="59"/>
      <x:c r="B91" s="59"/>
      <x:c r="C91" s="59"/>
      <x:c r="D91" s="59"/>
      <x:c r="E91" s="59"/>
      <x:c r="F91" s="59"/>
      <x:c r="G91" s="59"/>
      <x:c r="H91" s="59"/>
      <x:c r="I91" s="59"/>
      <x:c r="J91" s="59"/>
      <x:c r="K91" s="59"/>
      <x:c r="L91" s="59"/>
      <x:c r="M91" s="59"/>
      <x:c r="N91" s="59"/>
      <x:c r="O91" s="59"/>
    </x:row>
    <x:row r="92">
      <x:c r="A92" s="59"/>
      <x:c r="B92" s="59"/>
      <x:c r="C92" s="59"/>
      <x:c r="D92" s="59"/>
      <x:c r="E92" s="59"/>
      <x:c r="F92" s="59"/>
      <x:c r="G92" s="59"/>
      <x:c r="H92" s="59"/>
      <x:c r="I92" s="59"/>
      <x:c r="J92" s="59"/>
      <x:c r="K92" s="59"/>
      <x:c r="L92" s="59"/>
      <x:c r="M92" s="59"/>
      <x:c r="N92" s="59"/>
      <x:c r="O92" s="59"/>
    </x:row>
    <x:row r="93">
      <x:c r="A93" s="59"/>
      <x:c r="B93" s="59"/>
      <x:c r="C93" s="59"/>
      <x:c r="D93" s="59"/>
      <x:c r="E93" s="59"/>
      <x:c r="F93" s="59"/>
      <x:c r="G93" s="59"/>
      <x:c r="H93" s="59"/>
      <x:c r="I93" s="59"/>
      <x:c r="J93" s="59"/>
      <x:c r="K93" s="59"/>
      <x:c r="L93" s="59"/>
      <x:c r="M93" s="59"/>
      <x:c r="N93" s="59"/>
      <x:c r="O93" s="59"/>
    </x:row>
    <x:row r="94">
      <x:c r="A94" s="59"/>
      <x:c r="B94" s="59"/>
      <x:c r="C94" s="59"/>
      <x:c r="D94" s="59"/>
      <x:c r="E94" s="59"/>
      <x:c r="F94" s="59"/>
      <x:c r="G94" s="59"/>
      <x:c r="H94" s="59"/>
      <x:c r="I94" s="59"/>
      <x:c r="J94" s="59"/>
      <x:c r="K94" s="59"/>
      <x:c r="L94" s="59"/>
      <x:c r="M94" s="59"/>
      <x:c r="N94" s="59"/>
      <x:c r="O94" s="59"/>
    </x:row>
    <x:row r="95">
      <x:c r="A95" s="59"/>
      <x:c r="B95" s="59"/>
      <x:c r="C95" s="59"/>
      <x:c r="D95" s="59"/>
      <x:c r="E95" s="59"/>
      <x:c r="F95" s="59"/>
      <x:c r="G95" s="59"/>
      <x:c r="H95" s="59"/>
      <x:c r="I95" s="59"/>
      <x:c r="J95" s="59"/>
      <x:c r="K95" s="59"/>
      <x:c r="L95" s="59"/>
      <x:c r="M95" s="59"/>
      <x:c r="N95" s="59"/>
      <x:c r="O95" s="59"/>
    </x:row>
    <x:row r="96">
      <x:c r="A96" s="59"/>
      <x:c r="B96" s="59"/>
      <x:c r="C96" s="59"/>
      <x:c r="D96" s="59"/>
      <x:c r="E96" s="59"/>
      <x:c r="F96" s="59"/>
      <x:c r="G96" s="59"/>
      <x:c r="H96" s="59"/>
      <x:c r="I96" s="59"/>
      <x:c r="J96" s="59"/>
      <x:c r="K96" s="59"/>
      <x:c r="L96" s="59"/>
      <x:c r="M96" s="59"/>
      <x:c r="N96" s="59"/>
      <x:c r="O96" s="59"/>
    </x:row>
    <x:row r="97">
      <x:c r="A97" s="59"/>
      <x:c r="B97" s="59"/>
      <x:c r="C97" s="59"/>
      <x:c r="D97" s="59"/>
      <x:c r="E97" s="59"/>
      <x:c r="F97" s="59"/>
      <x:c r="G97" s="59"/>
      <x:c r="H97" s="59"/>
      <x:c r="I97" s="59"/>
      <x:c r="J97" s="59"/>
      <x:c r="K97" s="59"/>
      <x:c r="L97" s="59"/>
      <x:c r="M97" s="59"/>
      <x:c r="N97" s="59"/>
      <x:c r="O97" s="59"/>
    </x:row>
    <x:row r="98">
      <x:c r="A98" s="59"/>
      <x:c r="B98" s="59"/>
      <x:c r="C98" s="59"/>
      <x:c r="D98" s="59"/>
      <x:c r="E98" s="59"/>
      <x:c r="F98" s="59"/>
      <x:c r="G98" s="59"/>
      <x:c r="H98" s="59"/>
      <x:c r="I98" s="59"/>
      <x:c r="J98" s="59"/>
      <x:c r="K98" s="59"/>
      <x:c r="L98" s="59"/>
      <x:c r="M98" s="59"/>
      <x:c r="N98" s="59"/>
      <x:c r="O98" s="59"/>
    </x:row>
    <x:row r="99">
      <x:c r="A99" s="59"/>
      <x:c r="B99" s="59"/>
      <x:c r="C99" s="59"/>
      <x:c r="D99" s="59"/>
      <x:c r="E99" s="59"/>
      <x:c r="F99" s="59"/>
      <x:c r="G99" s="59"/>
      <x:c r="H99" s="59"/>
      <x:c r="I99" s="59"/>
      <x:c r="J99" s="59"/>
      <x:c r="K99" s="59"/>
      <x:c r="L99" s="59"/>
      <x:c r="M99" s="59"/>
      <x:c r="N99" s="59"/>
      <x:c r="O99" s="59"/>
    </x:row>
    <x:row r="100">
      <x:c r="A100" s="59"/>
      <x:c r="B100" s="59"/>
      <x:c r="C100" s="59"/>
      <x:c r="D100" s="59"/>
      <x:c r="E100" s="59"/>
      <x:c r="F100" s="59"/>
      <x:c r="G100" s="59"/>
      <x:c r="H100" s="59"/>
      <x:c r="I100" s="59"/>
      <x:c r="J100" s="59"/>
      <x:c r="K100" s="59"/>
      <x:c r="L100" s="59"/>
      <x:c r="M100" s="59"/>
      <x:c r="N100" s="59"/>
      <x:c r="O100" s="59"/>
    </x:row>
    <x:row r="101">
      <x:c r="A101" s="59"/>
      <x:c r="B101" s="59"/>
      <x:c r="C101" s="59"/>
      <x:c r="D101" s="59"/>
      <x:c r="E101" s="59"/>
      <x:c r="F101" s="59"/>
      <x:c r="G101" s="59"/>
      <x:c r="H101" s="59"/>
      <x:c r="I101" s="59"/>
      <x:c r="J101" s="59"/>
      <x:c r="K101" s="59"/>
      <x:c r="L101" s="59"/>
      <x:c r="M101" s="59"/>
      <x:c r="N101" s="59"/>
      <x:c r="O101" s="59"/>
    </x:row>
    <x:row r="102">
      <x:c r="A102" s="59"/>
      <x:c r="B102" s="59"/>
      <x:c r="C102" s="59"/>
      <x:c r="D102" s="59"/>
      <x:c r="E102" s="59"/>
      <x:c r="F102" s="59"/>
      <x:c r="G102" s="59"/>
      <x:c r="H102" s="59"/>
      <x:c r="I102" s="59"/>
      <x:c r="J102" s="59"/>
      <x:c r="K102" s="59"/>
      <x:c r="L102" s="59"/>
      <x:c r="M102" s="59"/>
      <x:c r="N102" s="59"/>
      <x:c r="O102" s="59"/>
    </x:row>
    <x:row r="103">
      <x:c r="A103" s="59"/>
      <x:c r="B103" s="59"/>
      <x:c r="C103" s="59"/>
      <x:c r="D103" s="59"/>
      <x:c r="E103" s="59"/>
      <x:c r="F103" s="59"/>
      <x:c r="G103" s="59"/>
      <x:c r="H103" s="59"/>
      <x:c r="I103" s="59"/>
      <x:c r="J103" s="59"/>
      <x:c r="K103" s="59"/>
      <x:c r="L103" s="59"/>
      <x:c r="M103" s="59"/>
      <x:c r="N103" s="59"/>
      <x:c r="O103" s="59"/>
    </x:row>
    <x:row r="104">
      <x:c r="A104" s="59"/>
      <x:c r="B104" s="59"/>
      <x:c r="C104" s="59"/>
      <x:c r="D104" s="59"/>
      <x:c r="E104" s="59"/>
      <x:c r="F104" s="59"/>
      <x:c r="G104" s="59"/>
      <x:c r="H104" s="59"/>
      <x:c r="I104" s="59"/>
      <x:c r="J104" s="59"/>
      <x:c r="K104" s="59"/>
      <x:c r="L104" s="59"/>
      <x:c r="M104" s="59"/>
      <x:c r="N104" s="59"/>
      <x:c r="O104" s="59"/>
    </x:row>
    <x:row r="105">
      <x:c r="A105" s="59"/>
      <x:c r="B105" s="59"/>
      <x:c r="C105" s="59"/>
      <x:c r="D105" s="59"/>
      <x:c r="E105" s="59"/>
      <x:c r="F105" s="59"/>
      <x:c r="G105" s="59"/>
      <x:c r="H105" s="59"/>
      <x:c r="I105" s="59"/>
      <x:c r="J105" s="59"/>
      <x:c r="K105" s="59"/>
      <x:c r="L105" s="59"/>
      <x:c r="M105" s="59"/>
      <x:c r="N105" s="59"/>
      <x:c r="O105" s="59"/>
    </x:row>
    <x:row r="106">
      <x:c r="A106" s="59"/>
      <x:c r="B106" s="59"/>
      <x:c r="C106" s="59"/>
      <x:c r="D106" s="59"/>
      <x:c r="E106" s="59"/>
      <x:c r="F106" s="59"/>
      <x:c r="G106" s="59"/>
      <x:c r="H106" s="59"/>
      <x:c r="I106" s="59"/>
      <x:c r="J106" s="59"/>
      <x:c r="K106" s="59"/>
      <x:c r="L106" s="59"/>
      <x:c r="M106" s="59"/>
      <x:c r="N106" s="59"/>
      <x:c r="O106" s="59"/>
    </x:row>
    <x:row r="107">
      <x:c r="A107" s="59"/>
      <x:c r="B107" s="59"/>
      <x:c r="C107" s="59"/>
      <x:c r="D107" s="59"/>
      <x:c r="E107" s="59"/>
      <x:c r="F107" s="59"/>
      <x:c r="G107" s="59"/>
      <x:c r="H107" s="59"/>
      <x:c r="I107" s="59"/>
      <x:c r="J107" s="59"/>
      <x:c r="K107" s="59"/>
      <x:c r="L107" s="59"/>
      <x:c r="M107" s="59"/>
      <x:c r="N107" s="59"/>
      <x:c r="O107" s="59"/>
    </x:row>
    <x:row r="108">
      <x:c r="A108" s="59"/>
      <x:c r="B108" s="59"/>
      <x:c r="C108" s="59"/>
      <x:c r="D108" s="59"/>
      <x:c r="E108" s="59"/>
      <x:c r="F108" s="59"/>
      <x:c r="G108" s="59"/>
      <x:c r="H108" s="59"/>
      <x:c r="I108" s="59"/>
      <x:c r="J108" s="59"/>
      <x:c r="K108" s="59"/>
      <x:c r="L108" s="59"/>
      <x:c r="M108" s="59"/>
      <x:c r="N108" s="59"/>
      <x:c r="O108" s="59"/>
    </x:row>
    <x:row r="109">
      <x:c r="A109" s="59"/>
      <x:c r="B109" s="59"/>
      <x:c r="C109" s="59"/>
      <x:c r="D109" s="59"/>
      <x:c r="E109" s="59"/>
      <x:c r="F109" s="59"/>
      <x:c r="G109" s="59"/>
      <x:c r="H109" s="59"/>
      <x:c r="I109" s="59"/>
      <x:c r="J109" s="59"/>
      <x:c r="K109" s="59"/>
      <x:c r="L109" s="59"/>
      <x:c r="M109" s="59"/>
      <x:c r="N109" s="59"/>
      <x:c r="O109" s="59"/>
    </x:row>
    <x:row r="110">
      <x:c r="A110" s="59"/>
      <x:c r="B110" s="59"/>
      <x:c r="C110" s="59"/>
      <x:c r="D110" s="59"/>
      <x:c r="E110" s="59"/>
      <x:c r="F110" s="59"/>
      <x:c r="G110" s="59"/>
      <x:c r="H110" s="59"/>
      <x:c r="I110" s="59"/>
      <x:c r="J110" s="59"/>
      <x:c r="K110" s="59"/>
      <x:c r="L110" s="59"/>
      <x:c r="M110" s="59"/>
      <x:c r="N110" s="59"/>
      <x:c r="O110" s="59"/>
    </x:row>
    <x:row r="111">
      <x:c r="A111" s="59"/>
      <x:c r="B111" s="59"/>
      <x:c r="C111" s="59"/>
      <x:c r="D111" s="59"/>
      <x:c r="E111" s="59"/>
      <x:c r="F111" s="59"/>
      <x:c r="G111" s="59"/>
      <x:c r="H111" s="59"/>
      <x:c r="I111" s="59"/>
      <x:c r="J111" s="59"/>
      <x:c r="K111" s="59"/>
      <x:c r="L111" s="59"/>
      <x:c r="M111" s="59"/>
      <x:c r="N111" s="59"/>
      <x:c r="O111" s="59"/>
    </x:row>
    <x:row r="112">
      <x:c r="A112" s="59"/>
      <x:c r="B112" s="59"/>
      <x:c r="C112" s="59"/>
      <x:c r="D112" s="59"/>
      <x:c r="E112" s="59"/>
      <x:c r="F112" s="59"/>
      <x:c r="G112" s="59"/>
      <x:c r="H112" s="59"/>
      <x:c r="I112" s="59"/>
      <x:c r="J112" s="59"/>
      <x:c r="K112" s="59"/>
      <x:c r="L112" s="59"/>
      <x:c r="M112" s="59"/>
      <x:c r="N112" s="59"/>
      <x:c r="O112" s="59"/>
    </x:row>
    <x:row r="113">
      <x:c r="A113" s="59"/>
      <x:c r="B113" s="59"/>
      <x:c r="C113" s="59"/>
      <x:c r="D113" s="59"/>
      <x:c r="E113" s="59"/>
      <x:c r="F113" s="59"/>
      <x:c r="G113" s="59"/>
      <x:c r="H113" s="59"/>
      <x:c r="I113" s="59"/>
      <x:c r="J113" s="59"/>
      <x:c r="K113" s="59"/>
      <x:c r="L113" s="59"/>
      <x:c r="M113" s="59"/>
      <x:c r="N113" s="59"/>
      <x:c r="O113" s="59"/>
    </x:row>
    <x:row r="114">
      <x:c r="A114" s="59"/>
      <x:c r="B114" s="59"/>
      <x:c r="C114" s="59"/>
      <x:c r="D114" s="59"/>
      <x:c r="E114" s="59"/>
      <x:c r="F114" s="59"/>
      <x:c r="G114" s="59"/>
      <x:c r="H114" s="59"/>
      <x:c r="I114" s="59"/>
      <x:c r="J114" s="59"/>
      <x:c r="K114" s="59"/>
      <x:c r="L114" s="59"/>
      <x:c r="M114" s="59"/>
      <x:c r="N114" s="59"/>
      <x:c r="O114" s="59"/>
    </x:row>
    <x:row r="115">
      <x:c r="A115" s="59"/>
      <x:c r="B115" s="59"/>
      <x:c r="C115" s="59"/>
      <x:c r="D115" s="59"/>
      <x:c r="E115" s="59"/>
      <x:c r="F115" s="59"/>
      <x:c r="G115" s="59"/>
      <x:c r="H115" s="59"/>
      <x:c r="I115" s="59"/>
      <x:c r="J115" s="59"/>
      <x:c r="K115" s="59"/>
      <x:c r="L115" s="59"/>
      <x:c r="M115" s="59"/>
      <x:c r="N115" s="59"/>
      <x:c r="O115" s="59"/>
    </x:row>
    <x:row r="116">
      <x:c r="A116" s="59"/>
      <x:c r="B116" s="59"/>
      <x:c r="C116" s="59"/>
      <x:c r="D116" s="59"/>
      <x:c r="E116" s="59"/>
      <x:c r="F116" s="59"/>
      <x:c r="G116" s="59"/>
      <x:c r="H116" s="59"/>
      <x:c r="I116" s="59"/>
      <x:c r="J116" s="59"/>
      <x:c r="K116" s="59"/>
      <x:c r="L116" s="59"/>
      <x:c r="M116" s="59"/>
      <x:c r="N116" s="59"/>
      <x:c r="O116" s="59"/>
    </x:row>
    <x:row r="117">
      <x:c r="A117" s="59"/>
      <x:c r="B117" s="59"/>
      <x:c r="C117" s="59"/>
      <x:c r="D117" s="59"/>
      <x:c r="E117" s="59"/>
      <x:c r="F117" s="59"/>
      <x:c r="G117" s="59"/>
      <x:c r="H117" s="59"/>
      <x:c r="I117" s="59"/>
      <x:c r="J117" s="59"/>
      <x:c r="K117" s="59"/>
      <x:c r="L117" s="59"/>
      <x:c r="M117" s="59"/>
      <x:c r="N117" s="59"/>
      <x:c r="O117" s="59"/>
    </x:row>
    <x:row r="118">
      <x:c r="A118" s="59"/>
      <x:c r="B118" s="59"/>
      <x:c r="C118" s="59"/>
      <x:c r="D118" s="59"/>
      <x:c r="E118" s="59"/>
      <x:c r="F118" s="59"/>
      <x:c r="G118" s="59"/>
      <x:c r="H118" s="59"/>
      <x:c r="I118" s="59"/>
      <x:c r="J118" s="59"/>
      <x:c r="K118" s="59"/>
      <x:c r="L118" s="59"/>
      <x:c r="M118" s="59"/>
      <x:c r="N118" s="59"/>
      <x:c r="O118" s="59"/>
    </x:row>
    <x:row r="119">
      <x:c r="A119" s="59"/>
      <x:c r="B119" s="59"/>
      <x:c r="C119" s="59"/>
      <x:c r="D119" s="59"/>
      <x:c r="E119" s="59"/>
      <x:c r="F119" s="59"/>
      <x:c r="G119" s="59"/>
      <x:c r="H119" s="59"/>
      <x:c r="I119" s="59"/>
      <x:c r="J119" s="59"/>
      <x:c r="K119" s="59"/>
      <x:c r="L119" s="59"/>
      <x:c r="M119" s="59"/>
      <x:c r="N119" s="59"/>
      <x:c r="O119" s="59"/>
    </x:row>
    <x:row r="120">
      <x:c r="A120" s="59"/>
      <x:c r="B120" s="59"/>
      <x:c r="C120" s="59"/>
      <x:c r="D120" s="59"/>
      <x:c r="E120" s="59"/>
      <x:c r="F120" s="59"/>
      <x:c r="G120" s="59"/>
      <x:c r="H120" s="59"/>
      <x:c r="I120" s="59"/>
      <x:c r="J120" s="59"/>
      <x:c r="K120" s="59"/>
      <x:c r="L120" s="59"/>
      <x:c r="M120" s="59"/>
      <x:c r="N120" s="59"/>
      <x:c r="O120" s="59"/>
    </x:row>
    <x:row r="121">
      <x:c r="A121" s="59"/>
      <x:c r="B121" s="59"/>
      <x:c r="C121" s="59"/>
      <x:c r="D121" s="59"/>
      <x:c r="E121" s="59"/>
      <x:c r="F121" s="59"/>
      <x:c r="G121" s="59"/>
      <x:c r="H121" s="59"/>
      <x:c r="I121" s="59"/>
      <x:c r="J121" s="59"/>
      <x:c r="K121" s="59"/>
      <x:c r="L121" s="59"/>
      <x:c r="M121" s="59"/>
      <x:c r="N121" s="59"/>
      <x:c r="O121" s="59"/>
    </x:row>
    <x:row r="122">
      <x:c r="A122" s="59"/>
      <x:c r="B122" s="59"/>
      <x:c r="C122" s="59"/>
      <x:c r="D122" s="59"/>
      <x:c r="E122" s="59"/>
      <x:c r="F122" s="59"/>
      <x:c r="G122" s="59"/>
      <x:c r="H122" s="59"/>
      <x:c r="I122" s="59"/>
      <x:c r="J122" s="59"/>
      <x:c r="K122" s="59"/>
      <x:c r="L122" s="59"/>
      <x:c r="M122" s="59"/>
      <x:c r="N122" s="59"/>
      <x:c r="O122" s="59"/>
    </x:row>
    <x:row r="123">
      <x:c r="A123" s="59"/>
      <x:c r="B123" s="59"/>
      <x:c r="C123" s="59"/>
      <x:c r="D123" s="59"/>
      <x:c r="E123" s="59"/>
      <x:c r="F123" s="59"/>
      <x:c r="G123" s="59"/>
      <x:c r="H123" s="59"/>
      <x:c r="I123" s="59"/>
      <x:c r="J123" s="59"/>
      <x:c r="K123" s="59"/>
      <x:c r="L123" s="59"/>
      <x:c r="M123" s="59"/>
      <x:c r="N123" s="59"/>
      <x:c r="O123" s="59"/>
    </x:row>
    <x:row r="124">
      <x:c r="A124" s="59"/>
      <x:c r="B124" s="59"/>
      <x:c r="C124" s="59"/>
      <x:c r="D124" s="59"/>
      <x:c r="E124" s="59"/>
      <x:c r="F124" s="59"/>
      <x:c r="G124" s="59"/>
      <x:c r="H124" s="59"/>
      <x:c r="I124" s="59"/>
      <x:c r="J124" s="59"/>
      <x:c r="K124" s="59"/>
      <x:c r="L124" s="59"/>
      <x:c r="M124" s="59"/>
      <x:c r="N124" s="59"/>
      <x:c r="O124" s="59"/>
    </x:row>
    <x:row r="125">
      <x:c r="A125" s="59"/>
      <x:c r="B125" s="59"/>
      <x:c r="C125" s="59"/>
      <x:c r="D125" s="59"/>
      <x:c r="E125" s="59"/>
      <x:c r="F125" s="59"/>
      <x:c r="G125" s="59"/>
      <x:c r="H125" s="59"/>
      <x:c r="I125" s="59"/>
      <x:c r="J125" s="59"/>
      <x:c r="K125" s="59"/>
      <x:c r="L125" s="59"/>
      <x:c r="M125" s="59"/>
      <x:c r="N125" s="59"/>
      <x:c r="O125" s="59"/>
    </x:row>
    <x:row r="126">
      <x:c r="A126" s="59"/>
      <x:c r="B126" s="59"/>
      <x:c r="C126" s="59"/>
      <x:c r="D126" s="59"/>
      <x:c r="E126" s="59"/>
      <x:c r="F126" s="59"/>
      <x:c r="G126" s="59"/>
      <x:c r="H126" s="59"/>
      <x:c r="I126" s="59"/>
      <x:c r="J126" s="59"/>
      <x:c r="K126" s="59"/>
      <x:c r="L126" s="59"/>
      <x:c r="M126" s="59"/>
      <x:c r="N126" s="59"/>
      <x:c r="O126" s="59"/>
    </x:row>
    <x:row r="127">
      <x:c r="A127" s="59"/>
      <x:c r="B127" s="59"/>
      <x:c r="C127" s="59"/>
      <x:c r="D127" s="59"/>
      <x:c r="E127" s="59"/>
      <x:c r="F127" s="59"/>
      <x:c r="G127" s="59"/>
      <x:c r="H127" s="59"/>
      <x:c r="I127" s="59"/>
      <x:c r="J127" s="59"/>
      <x:c r="K127" s="59"/>
      <x:c r="L127" s="59"/>
      <x:c r="M127" s="59"/>
      <x:c r="N127" s="59"/>
      <x:c r="O127" s="59"/>
    </x:row>
    <x:row r="128">
      <x:c r="A128" s="59"/>
      <x:c r="B128" s="59"/>
      <x:c r="C128" s="59"/>
      <x:c r="D128" s="59"/>
      <x:c r="E128" s="59"/>
      <x:c r="F128" s="59"/>
      <x:c r="G128" s="59"/>
      <x:c r="H128" s="59"/>
      <x:c r="I128" s="59"/>
      <x:c r="J128" s="59"/>
      <x:c r="K128" s="59"/>
      <x:c r="L128" s="59"/>
      <x:c r="M128" s="59"/>
      <x:c r="N128" s="59"/>
      <x:c r="O128" s="59"/>
    </x:row>
    <x:row r="129">
      <x:c r="A129" s="59"/>
      <x:c r="B129" s="59"/>
      <x:c r="C129" s="59"/>
      <x:c r="D129" s="59"/>
      <x:c r="E129" s="59"/>
      <x:c r="F129" s="59"/>
      <x:c r="G129" s="59"/>
      <x:c r="H129" s="59"/>
      <x:c r="I129" s="59"/>
      <x:c r="J129" s="59"/>
      <x:c r="K129" s="59"/>
      <x:c r="L129" s="59"/>
      <x:c r="M129" s="59"/>
      <x:c r="N129" s="59"/>
      <x:c r="O129" s="59"/>
    </x:row>
    <x:row r="130">
      <x:c r="A130" s="59"/>
      <x:c r="B130" s="59"/>
      <x:c r="C130" s="59"/>
      <x:c r="D130" s="59"/>
      <x:c r="E130" s="59"/>
      <x:c r="F130" s="59"/>
      <x:c r="G130" s="59"/>
      <x:c r="H130" s="59"/>
      <x:c r="I130" s="59"/>
      <x:c r="J130" s="59"/>
      <x:c r="K130" s="59"/>
      <x:c r="L130" s="59"/>
      <x:c r="M130" s="59"/>
      <x:c r="N130" s="59"/>
      <x:c r="O130" s="59"/>
    </x:row>
    <x:row r="131">
      <x:c r="A131" s="59"/>
      <x:c r="B131" s="59"/>
      <x:c r="C131" s="59"/>
      <x:c r="D131" s="59"/>
      <x:c r="E131" s="59"/>
      <x:c r="F131" s="59"/>
      <x:c r="G131" s="59"/>
      <x:c r="H131" s="59"/>
      <x:c r="I131" s="59"/>
      <x:c r="J131" s="59"/>
      <x:c r="K131" s="59"/>
      <x:c r="L131" s="59"/>
      <x:c r="M131" s="59"/>
      <x:c r="N131" s="59"/>
      <x:c r="O131" s="59"/>
    </x:row>
    <x:row r="132">
      <x:c r="A132" s="59"/>
      <x:c r="B132" s="59"/>
      <x:c r="C132" s="59"/>
      <x:c r="D132" s="59"/>
      <x:c r="E132" s="59"/>
      <x:c r="F132" s="59"/>
      <x:c r="G132" s="59"/>
      <x:c r="H132" s="59"/>
      <x:c r="I132" s="59"/>
      <x:c r="J132" s="59"/>
      <x:c r="K132" s="59"/>
      <x:c r="L132" s="59"/>
      <x:c r="M132" s="59"/>
      <x:c r="N132" s="59"/>
      <x:c r="O132" s="59"/>
    </x:row>
    <x:row r="133">
      <x:c r="A133" s="59"/>
      <x:c r="B133" s="59"/>
      <x:c r="C133" s="59"/>
      <x:c r="D133" s="59"/>
      <x:c r="E133" s="59"/>
      <x:c r="F133" s="59"/>
      <x:c r="G133" s="59"/>
      <x:c r="H133" s="59"/>
      <x:c r="I133" s="59"/>
      <x:c r="J133" s="59"/>
      <x:c r="K133" s="59"/>
      <x:c r="L133" s="59"/>
      <x:c r="M133" s="59"/>
      <x:c r="N133" s="59"/>
      <x:c r="O133" s="59"/>
    </x:row>
    <x:row r="134">
      <x:c r="A134" s="59"/>
      <x:c r="B134" s="59"/>
      <x:c r="C134" s="59"/>
      <x:c r="D134" s="59"/>
      <x:c r="E134" s="59"/>
      <x:c r="F134" s="59"/>
      <x:c r="G134" s="59"/>
      <x:c r="H134" s="59"/>
      <x:c r="I134" s="59"/>
      <x:c r="J134" s="59"/>
      <x:c r="K134" s="59"/>
      <x:c r="L134" s="59"/>
      <x:c r="M134" s="59"/>
      <x:c r="N134" s="59"/>
      <x:c r="O134" s="59"/>
    </x:row>
    <x:row r="135">
      <x:c r="A135" s="59"/>
      <x:c r="B135" s="59"/>
      <x:c r="C135" s="59"/>
      <x:c r="D135" s="59"/>
      <x:c r="E135" s="59"/>
      <x:c r="F135" s="59"/>
      <x:c r="G135" s="59"/>
      <x:c r="H135" s="59"/>
      <x:c r="I135" s="59"/>
      <x:c r="J135" s="59"/>
      <x:c r="K135" s="59"/>
      <x:c r="L135" s="59"/>
      <x:c r="M135" s="59"/>
      <x:c r="N135" s="59"/>
      <x:c r="O135" s="59"/>
    </x:row>
    <x:row r="136">
      <x:c r="A136" s="59"/>
      <x:c r="B136" s="59"/>
      <x:c r="C136" s="59"/>
      <x:c r="D136" s="59"/>
      <x:c r="E136" s="59"/>
      <x:c r="F136" s="59"/>
      <x:c r="G136" s="59"/>
      <x:c r="H136" s="59"/>
      <x:c r="I136" s="59"/>
      <x:c r="J136" s="59"/>
      <x:c r="K136" s="59"/>
      <x:c r="L136" s="59"/>
      <x:c r="M136" s="59"/>
      <x:c r="N136" s="59"/>
      <x:c r="O136" s="59"/>
    </x:row>
    <x:row r="137">
      <x:c r="A137" s="59"/>
      <x:c r="B137" s="59"/>
      <x:c r="C137" s="59"/>
      <x:c r="D137" s="59"/>
      <x:c r="E137" s="59"/>
      <x:c r="F137" s="59"/>
      <x:c r="G137" s="59"/>
      <x:c r="H137" s="59"/>
      <x:c r="I137" s="59"/>
      <x:c r="J137" s="59"/>
      <x:c r="K137" s="59"/>
      <x:c r="L137" s="59"/>
      <x:c r="M137" s="59"/>
      <x:c r="N137" s="59"/>
      <x:c r="O137" s="59"/>
    </x:row>
    <x:row r="138">
      <x:c r="A138" s="59"/>
      <x:c r="B138" s="59"/>
      <x:c r="C138" s="59"/>
      <x:c r="D138" s="59"/>
      <x:c r="E138" s="59"/>
      <x:c r="F138" s="59"/>
      <x:c r="G138" s="59"/>
      <x:c r="H138" s="59"/>
      <x:c r="I138" s="59"/>
      <x:c r="J138" s="59"/>
      <x:c r="K138" s="59"/>
      <x:c r="L138" s="59"/>
      <x:c r="M138" s="59"/>
      <x:c r="N138" s="59"/>
      <x:c r="O138" s="59"/>
    </x:row>
    <x:row r="139">
      <x:c r="A139" s="59"/>
      <x:c r="B139" s="59"/>
      <x:c r="C139" s="59"/>
      <x:c r="D139" s="59"/>
      <x:c r="E139" s="59"/>
      <x:c r="F139" s="59"/>
      <x:c r="G139" s="59"/>
      <x:c r="H139" s="59"/>
      <x:c r="I139" s="59"/>
      <x:c r="J139" s="59"/>
      <x:c r="K139" s="59"/>
      <x:c r="L139" s="59"/>
      <x:c r="M139" s="59"/>
      <x:c r="N139" s="59"/>
      <x:c r="O139" s="59"/>
    </x:row>
    <x:row r="140">
      <x:c r="A140" s="59"/>
      <x:c r="B140" s="59"/>
      <x:c r="C140" s="59"/>
      <x:c r="D140" s="59"/>
      <x:c r="E140" s="59"/>
      <x:c r="F140" s="59"/>
      <x:c r="G140" s="59"/>
      <x:c r="H140" s="59"/>
      <x:c r="I140" s="59"/>
      <x:c r="J140" s="59"/>
      <x:c r="K140" s="59"/>
      <x:c r="L140" s="59"/>
      <x:c r="M140" s="59"/>
      <x:c r="N140" s="59"/>
      <x:c r="O140" s="59"/>
    </x:row>
    <x:row r="141">
      <x:c r="A141" s="59"/>
      <x:c r="B141" s="59"/>
      <x:c r="C141" s="59"/>
      <x:c r="D141" s="59"/>
      <x:c r="E141" s="59"/>
      <x:c r="F141" s="59"/>
      <x:c r="G141" s="59"/>
      <x:c r="H141" s="59"/>
      <x:c r="I141" s="59"/>
      <x:c r="J141" s="59"/>
      <x:c r="K141" s="59"/>
      <x:c r="L141" s="59"/>
      <x:c r="M141" s="59"/>
      <x:c r="N141" s="59"/>
      <x:c r="O141" s="59"/>
    </x:row>
    <x:row r="142">
      <x:c r="A142" s="59"/>
      <x:c r="B142" s="59"/>
      <x:c r="C142" s="59"/>
      <x:c r="D142" s="59"/>
      <x:c r="E142" s="59"/>
      <x:c r="F142" s="59"/>
      <x:c r="G142" s="59"/>
      <x:c r="H142" s="59"/>
      <x:c r="I142" s="59"/>
      <x:c r="J142" s="59"/>
      <x:c r="K142" s="59"/>
      <x:c r="L142" s="59"/>
      <x:c r="M142" s="59"/>
      <x:c r="N142" s="59"/>
      <x:c r="O142" s="59"/>
    </x:row>
    <x:row r="143">
      <x:c r="A143" s="59"/>
      <x:c r="B143" s="59"/>
      <x:c r="C143" s="59"/>
      <x:c r="D143" s="59"/>
      <x:c r="E143" s="59"/>
      <x:c r="F143" s="59"/>
      <x:c r="G143" s="59"/>
      <x:c r="H143" s="59"/>
      <x:c r="I143" s="59"/>
      <x:c r="J143" s="59"/>
      <x:c r="K143" s="59"/>
      <x:c r="L143" s="59"/>
      <x:c r="M143" s="59"/>
      <x:c r="N143" s="59"/>
      <x:c r="O143" s="59"/>
    </x:row>
    <x:row r="144">
      <x:c r="A144" s="59"/>
      <x:c r="B144" s="59"/>
      <x:c r="C144" s="59"/>
      <x:c r="D144" s="59"/>
      <x:c r="E144" s="59"/>
      <x:c r="F144" s="59"/>
      <x:c r="G144" s="59"/>
      <x:c r="H144" s="59"/>
      <x:c r="I144" s="59"/>
      <x:c r="J144" s="59"/>
      <x:c r="K144" s="59"/>
      <x:c r="L144" s="59"/>
      <x:c r="M144" s="59"/>
      <x:c r="N144" s="59"/>
      <x:c r="O144" s="59"/>
    </x:row>
    <x:row r="145">
      <x:c r="A145" s="59"/>
      <x:c r="B145" s="59"/>
      <x:c r="C145" s="59"/>
      <x:c r="D145" s="59"/>
      <x:c r="E145" s="59"/>
      <x:c r="F145" s="59"/>
      <x:c r="G145" s="59"/>
      <x:c r="H145" s="59"/>
      <x:c r="I145" s="59"/>
      <x:c r="J145" s="59"/>
      <x:c r="K145" s="59"/>
      <x:c r="L145" s="59"/>
      <x:c r="M145" s="59"/>
      <x:c r="N145" s="59"/>
      <x:c r="O145" s="59"/>
    </x:row>
    <x:row r="146">
      <x:c r="A146" s="59"/>
      <x:c r="B146" s="59"/>
      <x:c r="C146" s="59"/>
      <x:c r="D146" s="59"/>
      <x:c r="E146" s="59"/>
      <x:c r="F146" s="59"/>
      <x:c r="G146" s="59"/>
      <x:c r="H146" s="59"/>
      <x:c r="I146" s="59"/>
      <x:c r="J146" s="59"/>
      <x:c r="K146" s="59"/>
      <x:c r="L146" s="59"/>
      <x:c r="M146" s="59"/>
      <x:c r="N146" s="59"/>
      <x:c r="O146" s="59"/>
    </x:row>
    <x:row r="147">
      <x:c r="A147" s="59"/>
      <x:c r="B147" s="59"/>
      <x:c r="C147" s="59"/>
      <x:c r="D147" s="59"/>
      <x:c r="E147" s="59"/>
      <x:c r="F147" s="59"/>
      <x:c r="G147" s="59"/>
      <x:c r="H147" s="59"/>
      <x:c r="I147" s="59"/>
      <x:c r="J147" s="59"/>
      <x:c r="K147" s="59"/>
      <x:c r="L147" s="59"/>
      <x:c r="M147" s="59"/>
      <x:c r="N147" s="59"/>
      <x:c r="O147" s="59"/>
    </x:row>
    <x:row r="148">
      <x:c r="A148" s="59"/>
      <x:c r="B148" s="59"/>
      <x:c r="C148" s="59"/>
      <x:c r="D148" s="59"/>
      <x:c r="E148" s="59"/>
      <x:c r="F148" s="59"/>
      <x:c r="G148" s="59"/>
      <x:c r="H148" s="59"/>
      <x:c r="I148" s="59"/>
      <x:c r="J148" s="59"/>
      <x:c r="K148" s="59"/>
      <x:c r="L148" s="59"/>
      <x:c r="M148" s="59"/>
      <x:c r="N148" s="59"/>
      <x:c r="O148" s="59"/>
    </x:row>
    <x:row r="149">
      <x:c r="A149" s="59"/>
      <x:c r="B149" s="59"/>
      <x:c r="C149" s="59"/>
      <x:c r="D149" s="59"/>
      <x:c r="E149" s="59"/>
      <x:c r="F149" s="59"/>
      <x:c r="G149" s="59"/>
      <x:c r="H149" s="59"/>
      <x:c r="I149" s="59"/>
      <x:c r="J149" s="59"/>
      <x:c r="K149" s="59"/>
      <x:c r="L149" s="59"/>
      <x:c r="M149" s="59"/>
      <x:c r="N149" s="59"/>
      <x:c r="O149" s="59"/>
    </x:row>
    <x:row r="150">
      <x:c r="A150" s="59"/>
      <x:c r="B150" s="59"/>
      <x:c r="C150" s="59"/>
      <x:c r="D150" s="59"/>
      <x:c r="E150" s="59"/>
      <x:c r="F150" s="59"/>
      <x:c r="G150" s="59"/>
      <x:c r="H150" s="59"/>
      <x:c r="I150" s="59"/>
      <x:c r="J150" s="59"/>
      <x:c r="K150" s="59"/>
      <x:c r="L150" s="59"/>
      <x:c r="M150" s="59"/>
      <x:c r="N150" s="59"/>
      <x:c r="O150" s="59"/>
    </x:row>
    <x:row r="151">
      <x:c r="A151" s="59"/>
      <x:c r="B151" s="59"/>
      <x:c r="C151" s="59"/>
      <x:c r="D151" s="59"/>
      <x:c r="E151" s="59"/>
      <x:c r="F151" s="59"/>
      <x:c r="G151" s="59"/>
      <x:c r="H151" s="59"/>
      <x:c r="I151" s="59"/>
      <x:c r="J151" s="59"/>
      <x:c r="K151" s="59"/>
      <x:c r="L151" s="59"/>
      <x:c r="M151" s="59"/>
      <x:c r="N151" s="59"/>
      <x:c r="O151" s="59"/>
    </x:row>
    <x:row r="152">
      <x:c r="A152" s="59"/>
      <x:c r="B152" s="59"/>
      <x:c r="C152" s="59"/>
      <x:c r="D152" s="59"/>
      <x:c r="E152" s="59"/>
      <x:c r="F152" s="59"/>
      <x:c r="G152" s="59"/>
      <x:c r="H152" s="59"/>
      <x:c r="I152" s="59"/>
      <x:c r="J152" s="59"/>
      <x:c r="K152" s="59"/>
      <x:c r="L152" s="59"/>
      <x:c r="M152" s="59"/>
      <x:c r="N152" s="59"/>
      <x:c r="O152" s="59"/>
    </x:row>
    <x:row r="153">
      <x:c r="A153" s="59"/>
      <x:c r="B153" s="59"/>
      <x:c r="C153" s="59"/>
      <x:c r="D153" s="59"/>
      <x:c r="E153" s="59"/>
      <x:c r="F153" s="59"/>
      <x:c r="G153" s="59"/>
      <x:c r="H153" s="59"/>
      <x:c r="I153" s="59"/>
      <x:c r="J153" s="59"/>
      <x:c r="K153" s="59"/>
      <x:c r="L153" s="59"/>
      <x:c r="M153" s="59"/>
      <x:c r="N153" s="59"/>
      <x:c r="O153" s="59"/>
    </x:row>
    <x:row r="154">
      <x:c r="A154" s="59"/>
      <x:c r="B154" s="59"/>
      <x:c r="C154" s="59"/>
      <x:c r="D154" s="59"/>
      <x:c r="E154" s="59"/>
      <x:c r="F154" s="59"/>
      <x:c r="G154" s="59"/>
      <x:c r="H154" s="59"/>
      <x:c r="I154" s="59"/>
      <x:c r="J154" s="59"/>
      <x:c r="K154" s="59"/>
      <x:c r="L154" s="59"/>
      <x:c r="M154" s="59"/>
      <x:c r="N154" s="59"/>
      <x:c r="O154" s="59"/>
    </x:row>
    <x:row r="155">
      <x:c r="A155" s="59"/>
      <x:c r="B155" s="59"/>
      <x:c r="C155" s="59"/>
      <x:c r="D155" s="59"/>
      <x:c r="E155" s="59"/>
      <x:c r="F155" s="59"/>
      <x:c r="G155" s="59"/>
      <x:c r="H155" s="59"/>
      <x:c r="I155" s="59"/>
      <x:c r="J155" s="59"/>
      <x:c r="K155" s="59"/>
      <x:c r="L155" s="59"/>
      <x:c r="M155" s="59"/>
      <x:c r="N155" s="59"/>
      <x:c r="O155" s="59"/>
    </x:row>
    <x:row r="156">
      <x:c r="A156" s="59"/>
      <x:c r="B156" s="59"/>
      <x:c r="C156" s="59"/>
      <x:c r="D156" s="59"/>
      <x:c r="E156" s="59"/>
      <x:c r="F156" s="59"/>
      <x:c r="G156" s="59"/>
      <x:c r="H156" s="59"/>
      <x:c r="I156" s="59"/>
      <x:c r="J156" s="59"/>
      <x:c r="K156" s="59"/>
      <x:c r="L156" s="59"/>
      <x:c r="M156" s="59"/>
      <x:c r="N156" s="59"/>
      <x:c r="O156" s="59"/>
    </x:row>
    <x:row r="157">
      <x:c r="A157" s="59"/>
      <x:c r="B157" s="59"/>
      <x:c r="C157" s="59"/>
      <x:c r="D157" s="59"/>
      <x:c r="E157" s="59"/>
      <x:c r="F157" s="59"/>
      <x:c r="G157" s="59"/>
      <x:c r="H157" s="59"/>
      <x:c r="I157" s="59"/>
      <x:c r="J157" s="59"/>
      <x:c r="K157" s="59"/>
      <x:c r="L157" s="59"/>
      <x:c r="M157" s="59"/>
      <x:c r="N157" s="59"/>
      <x:c r="O157" s="59"/>
    </x:row>
    <x:row r="158">
      <x:c r="A158" s="59"/>
      <x:c r="B158" s="59"/>
      <x:c r="C158" s="59"/>
      <x:c r="D158" s="59"/>
      <x:c r="E158" s="59"/>
      <x:c r="F158" s="59"/>
      <x:c r="G158" s="59"/>
      <x:c r="H158" s="59"/>
      <x:c r="I158" s="59"/>
      <x:c r="J158" s="59"/>
      <x:c r="K158" s="59"/>
      <x:c r="L158" s="59"/>
      <x:c r="M158" s="59"/>
      <x:c r="N158" s="59"/>
      <x:c r="O158" s="59"/>
    </x:row>
    <x:row r="159">
      <x:c r="A159" s="59"/>
      <x:c r="B159" s="59"/>
      <x:c r="C159" s="59"/>
      <x:c r="D159" s="59"/>
      <x:c r="E159" s="59"/>
      <x:c r="F159" s="59"/>
      <x:c r="G159" s="59"/>
      <x:c r="H159" s="59"/>
      <x:c r="I159" s="59"/>
      <x:c r="J159" s="59"/>
      <x:c r="K159" s="59"/>
      <x:c r="L159" s="59"/>
      <x:c r="M159" s="59"/>
      <x:c r="N159" s="59"/>
      <x:c r="O159" s="59"/>
    </x:row>
    <x:row r="160">
      <x:c r="A160" s="59"/>
      <x:c r="B160" s="59"/>
      <x:c r="C160" s="59"/>
      <x:c r="D160" s="59"/>
      <x:c r="E160" s="59"/>
      <x:c r="F160" s="59"/>
      <x:c r="G160" s="59"/>
      <x:c r="H160" s="59"/>
      <x:c r="I160" s="59"/>
      <x:c r="J160" s="59"/>
      <x:c r="K160" s="59"/>
      <x:c r="L160" s="59"/>
      <x:c r="M160" s="59"/>
      <x:c r="N160" s="59"/>
      <x:c r="O160" s="59"/>
    </x:row>
    <x:row r="161">
      <x:c r="A161" s="59"/>
      <x:c r="B161" s="59"/>
      <x:c r="C161" s="59"/>
      <x:c r="D161" s="59"/>
      <x:c r="E161" s="59"/>
      <x:c r="F161" s="59"/>
      <x:c r="G161" s="59"/>
      <x:c r="H161" s="59"/>
      <x:c r="I161" s="59"/>
      <x:c r="J161" s="59"/>
      <x:c r="K161" s="59"/>
      <x:c r="L161" s="59"/>
      <x:c r="M161" s="59"/>
      <x:c r="N161" s="59"/>
      <x:c r="O161" s="59"/>
    </x:row>
    <x:row r="162">
      <x:c r="A162" s="59"/>
      <x:c r="B162" s="59"/>
      <x:c r="C162" s="59"/>
      <x:c r="D162" s="59"/>
      <x:c r="E162" s="59"/>
      <x:c r="F162" s="59"/>
      <x:c r="G162" s="59"/>
      <x:c r="H162" s="59"/>
      <x:c r="I162" s="59"/>
      <x:c r="J162" s="59"/>
      <x:c r="K162" s="59"/>
      <x:c r="L162" s="59"/>
      <x:c r="M162" s="59"/>
      <x:c r="N162" s="59"/>
      <x:c r="O162" s="59"/>
    </x:row>
    <x:row r="163">
      <x:c r="A163" s="59"/>
      <x:c r="B163" s="59"/>
      <x:c r="C163" s="59"/>
      <x:c r="D163" s="59"/>
      <x:c r="E163" s="59"/>
      <x:c r="F163" s="59"/>
      <x:c r="G163" s="59"/>
      <x:c r="H163" s="59"/>
      <x:c r="I163" s="59"/>
      <x:c r="J163" s="59"/>
      <x:c r="K163" s="59"/>
      <x:c r="L163" s="59"/>
      <x:c r="M163" s="59"/>
      <x:c r="N163" s="59"/>
      <x:c r="O163" s="59"/>
    </x:row>
    <x:row r="164">
      <x:c r="A164" s="59"/>
      <x:c r="B164" s="59"/>
      <x:c r="C164" s="59"/>
      <x:c r="D164" s="59"/>
      <x:c r="E164" s="59"/>
      <x:c r="F164" s="59"/>
      <x:c r="G164" s="59"/>
      <x:c r="H164" s="59"/>
      <x:c r="I164" s="59"/>
      <x:c r="J164" s="59"/>
      <x:c r="K164" s="59"/>
      <x:c r="L164" s="59"/>
      <x:c r="M164" s="59"/>
      <x:c r="N164" s="59"/>
      <x:c r="O164" s="59"/>
    </x:row>
    <x:row r="165">
      <x:c r="A165" s="59"/>
      <x:c r="B165" s="59"/>
      <x:c r="C165" s="59"/>
      <x:c r="D165" s="59"/>
      <x:c r="E165" s="59"/>
      <x:c r="F165" s="59"/>
      <x:c r="G165" s="59"/>
      <x:c r="H165" s="59"/>
      <x:c r="I165" s="59"/>
      <x:c r="J165" s="59"/>
      <x:c r="K165" s="59"/>
      <x:c r="L165" s="59"/>
      <x:c r="M165" s="59"/>
      <x:c r="N165" s="59"/>
      <x:c r="O165" s="59"/>
    </x:row>
    <x:row r="166">
      <x:c r="A166" s="59"/>
      <x:c r="B166" s="59"/>
      <x:c r="C166" s="59"/>
      <x:c r="D166" s="59"/>
      <x:c r="E166" s="59"/>
      <x:c r="F166" s="59"/>
      <x:c r="G166" s="59"/>
      <x:c r="H166" s="59"/>
      <x:c r="I166" s="59"/>
      <x:c r="J166" s="59"/>
      <x:c r="K166" s="59"/>
      <x:c r="L166" s="59"/>
      <x:c r="M166" s="59"/>
      <x:c r="N166" s="59"/>
      <x:c r="O166" s="59"/>
    </x:row>
    <x:row r="167">
      <x:c r="A167" s="59"/>
      <x:c r="B167" s="59"/>
      <x:c r="C167" s="59"/>
      <x:c r="D167" s="59"/>
      <x:c r="E167" s="59"/>
      <x:c r="F167" s="59"/>
      <x:c r="G167" s="59"/>
      <x:c r="H167" s="59"/>
      <x:c r="I167" s="59"/>
      <x:c r="J167" s="59"/>
      <x:c r="K167" s="59"/>
      <x:c r="L167" s="59"/>
      <x:c r="M167" s="59"/>
      <x:c r="N167" s="59"/>
      <x:c r="O167" s="59"/>
    </x:row>
    <x:row r="168">
      <x:c r="A168" s="59"/>
      <x:c r="B168" s="59"/>
      <x:c r="C168" s="59"/>
      <x:c r="D168" s="59"/>
      <x:c r="E168" s="59"/>
      <x:c r="F168" s="59"/>
      <x:c r="G168" s="59"/>
      <x:c r="H168" s="59"/>
      <x:c r="I168" s="59"/>
      <x:c r="J168" s="59"/>
      <x:c r="K168" s="59"/>
      <x:c r="L168" s="59"/>
      <x:c r="M168" s="59"/>
      <x:c r="N168" s="59"/>
      <x:c r="O168" s="59"/>
    </x:row>
    <x:row r="169">
      <x:c r="A169" s="59"/>
      <x:c r="B169" s="59"/>
      <x:c r="C169" s="59"/>
      <x:c r="D169" s="59"/>
      <x:c r="E169" s="59"/>
      <x:c r="F169" s="59"/>
      <x:c r="G169" s="59"/>
      <x:c r="H169" s="59"/>
      <x:c r="I169" s="59"/>
      <x:c r="J169" s="59"/>
      <x:c r="K169" s="59"/>
      <x:c r="L169" s="59"/>
      <x:c r="M169" s="59"/>
      <x:c r="N169" s="59"/>
      <x:c r="O169" s="59"/>
    </x:row>
    <x:row r="170">
      <x:c r="A170" s="59"/>
      <x:c r="B170" s="59"/>
      <x:c r="C170" s="59"/>
      <x:c r="D170" s="59"/>
      <x:c r="E170" s="59"/>
      <x:c r="F170" s="59"/>
      <x:c r="G170" s="59"/>
      <x:c r="H170" s="59"/>
      <x:c r="I170" s="59"/>
      <x:c r="J170" s="59"/>
      <x:c r="K170" s="59"/>
      <x:c r="L170" s="59"/>
      <x:c r="M170" s="59"/>
      <x:c r="N170" s="59"/>
      <x:c r="O170" s="59"/>
    </x:row>
    <x:row r="171">
      <x:c r="A171" s="59"/>
      <x:c r="B171" s="59"/>
      <x:c r="C171" s="59"/>
      <x:c r="D171" s="59"/>
      <x:c r="E171" s="59"/>
      <x:c r="F171" s="59"/>
      <x:c r="G171" s="59"/>
      <x:c r="H171" s="59"/>
      <x:c r="I171" s="59"/>
      <x:c r="J171" s="59"/>
      <x:c r="K171" s="59"/>
      <x:c r="L171" s="59"/>
      <x:c r="M171" s="59"/>
      <x:c r="N171" s="59"/>
      <x:c r="O171" s="59"/>
    </x:row>
    <x:row r="172">
      <x:c r="A172" s="59"/>
      <x:c r="B172" s="59"/>
      <x:c r="C172" s="59"/>
      <x:c r="D172" s="59"/>
      <x:c r="E172" s="59"/>
      <x:c r="F172" s="59"/>
      <x:c r="G172" s="59"/>
      <x:c r="H172" s="59"/>
      <x:c r="I172" s="59"/>
      <x:c r="J172" s="59"/>
      <x:c r="K172" s="59"/>
      <x:c r="L172" s="59"/>
      <x:c r="M172" s="59"/>
      <x:c r="N172" s="59"/>
      <x:c r="O172" s="59"/>
    </x:row>
    <x:row r="173">
      <x:c r="A173" s="59"/>
      <x:c r="B173" s="59"/>
      <x:c r="C173" s="59"/>
      <x:c r="D173" s="59"/>
      <x:c r="E173" s="59"/>
      <x:c r="F173" s="59"/>
      <x:c r="G173" s="59"/>
      <x:c r="H173" s="59"/>
      <x:c r="I173" s="59"/>
      <x:c r="J173" s="59"/>
      <x:c r="K173" s="59"/>
      <x:c r="L173" s="59"/>
      <x:c r="M173" s="59"/>
      <x:c r="N173" s="59"/>
      <x:c r="O173" s="59"/>
    </x:row>
    <x:row r="174">
      <x:c r="A174" s="59"/>
      <x:c r="B174" s="59"/>
      <x:c r="C174" s="59"/>
      <x:c r="D174" s="59"/>
      <x:c r="E174" s="59"/>
      <x:c r="F174" s="59"/>
      <x:c r="G174" s="59"/>
      <x:c r="H174" s="59"/>
      <x:c r="I174" s="59"/>
      <x:c r="J174" s="59"/>
      <x:c r="K174" s="59"/>
      <x:c r="L174" s="59"/>
      <x:c r="M174" s="59"/>
      <x:c r="N174" s="59"/>
      <x:c r="O174" s="59"/>
    </x:row>
    <x:row r="175">
      <x:c r="A175" s="59"/>
      <x:c r="B175" s="59"/>
      <x:c r="C175" s="59"/>
      <x:c r="D175" s="59"/>
      <x:c r="E175" s="59"/>
      <x:c r="F175" s="59"/>
      <x:c r="G175" s="59"/>
      <x:c r="H175" s="59"/>
      <x:c r="I175" s="59"/>
      <x:c r="J175" s="59"/>
      <x:c r="K175" s="59"/>
      <x:c r="L175" s="59"/>
      <x:c r="M175" s="59"/>
      <x:c r="N175" s="59"/>
      <x:c r="O175" s="59"/>
    </x:row>
    <x:row r="176">
      <x:c r="A176" s="59"/>
      <x:c r="B176" s="59"/>
      <x:c r="C176" s="59"/>
      <x:c r="D176" s="59"/>
      <x:c r="E176" s="59"/>
      <x:c r="F176" s="59"/>
      <x:c r="G176" s="59"/>
      <x:c r="H176" s="59"/>
      <x:c r="I176" s="59"/>
      <x:c r="J176" s="59"/>
      <x:c r="K176" s="59"/>
      <x:c r="L176" s="59"/>
      <x:c r="M176" s="59"/>
      <x:c r="N176" s="59"/>
      <x:c r="O176" s="59"/>
    </x:row>
    <x:row r="177">
      <x:c r="A177" s="59"/>
      <x:c r="B177" s="59"/>
      <x:c r="C177" s="59"/>
      <x:c r="D177" s="59"/>
      <x:c r="E177" s="59"/>
      <x:c r="F177" s="59"/>
      <x:c r="G177" s="59"/>
      <x:c r="H177" s="59"/>
      <x:c r="I177" s="59"/>
      <x:c r="J177" s="59"/>
      <x:c r="K177" s="59"/>
      <x:c r="L177" s="59"/>
      <x:c r="M177" s="59"/>
      <x:c r="N177" s="59"/>
      <x:c r="O177" s="59"/>
    </x:row>
    <x:row r="178">
      <x:c r="A178" s="59"/>
      <x:c r="B178" s="59"/>
      <x:c r="C178" s="59"/>
      <x:c r="D178" s="59"/>
      <x:c r="E178" s="59"/>
      <x:c r="F178" s="59"/>
      <x:c r="G178" s="59"/>
      <x:c r="H178" s="59"/>
      <x:c r="I178" s="59"/>
      <x:c r="J178" s="59"/>
      <x:c r="K178" s="59"/>
      <x:c r="L178" s="59"/>
      <x:c r="M178" s="59"/>
      <x:c r="N178" s="59"/>
      <x:c r="O178" s="59"/>
    </x:row>
    <x:row r="179">
      <x:c r="A179" s="59"/>
      <x:c r="B179" s="59"/>
      <x:c r="C179" s="59"/>
      <x:c r="D179" s="59"/>
      <x:c r="E179" s="59"/>
      <x:c r="F179" s="59"/>
      <x:c r="G179" s="59"/>
      <x:c r="H179" s="59"/>
      <x:c r="I179" s="59"/>
      <x:c r="J179" s="59"/>
      <x:c r="K179" s="59"/>
      <x:c r="L179" s="59"/>
      <x:c r="M179" s="59"/>
      <x:c r="N179" s="59"/>
      <x:c r="O179" s="59"/>
    </x:row>
    <x:row r="180">
      <x:c r="A180" s="59"/>
      <x:c r="B180" s="59"/>
      <x:c r="C180" s="59"/>
      <x:c r="D180" s="59"/>
      <x:c r="E180" s="59"/>
      <x:c r="F180" s="59"/>
      <x:c r="G180" s="59"/>
      <x:c r="H180" s="59"/>
      <x:c r="I180" s="59"/>
      <x:c r="J180" s="59"/>
      <x:c r="K180" s="59"/>
      <x:c r="L180" s="59"/>
      <x:c r="M180" s="59"/>
      <x:c r="N180" s="59"/>
      <x:c r="O180" s="59"/>
    </x:row>
    <x:row r="181">
      <x:c r="A181" s="59"/>
      <x:c r="B181" s="59"/>
      <x:c r="C181" s="59"/>
      <x:c r="D181" s="59"/>
      <x:c r="E181" s="59"/>
      <x:c r="F181" s="59"/>
      <x:c r="G181" s="59"/>
      <x:c r="H181" s="59"/>
      <x:c r="I181" s="59"/>
      <x:c r="J181" s="59"/>
      <x:c r="K181" s="59"/>
      <x:c r="L181" s="59"/>
      <x:c r="M181" s="59"/>
      <x:c r="N181" s="59"/>
      <x:c r="O181" s="59"/>
    </x:row>
    <x:row r="182">
      <x:c r="A182" s="59"/>
      <x:c r="B182" s="59"/>
      <x:c r="C182" s="59"/>
      <x:c r="D182" s="59"/>
      <x:c r="E182" s="59"/>
      <x:c r="F182" s="59"/>
      <x:c r="G182" s="59"/>
      <x:c r="H182" s="59"/>
      <x:c r="I182" s="59"/>
      <x:c r="J182" s="59"/>
      <x:c r="K182" s="59"/>
      <x:c r="L182" s="59"/>
      <x:c r="M182" s="59"/>
      <x:c r="N182" s="59"/>
      <x:c r="O182" s="59"/>
    </x:row>
    <x:row r="183">
      <x:c r="A183" s="59"/>
      <x:c r="B183" s="59"/>
      <x:c r="C183" s="59"/>
      <x:c r="D183" s="59"/>
      <x:c r="E183" s="59"/>
      <x:c r="F183" s="59"/>
      <x:c r="G183" s="59"/>
      <x:c r="H183" s="59"/>
      <x:c r="I183" s="59"/>
      <x:c r="J183" s="59"/>
      <x:c r="K183" s="59"/>
      <x:c r="L183" s="59"/>
      <x:c r="M183" s="59"/>
      <x:c r="N183" s="59"/>
      <x:c r="O183" s="59"/>
    </x:row>
    <x:row r="184">
      <x:c r="A184" s="59"/>
      <x:c r="B184" s="59"/>
      <x:c r="C184" s="59"/>
      <x:c r="D184" s="59"/>
      <x:c r="E184" s="59"/>
      <x:c r="F184" s="59"/>
      <x:c r="G184" s="59"/>
      <x:c r="H184" s="59"/>
      <x:c r="I184" s="59"/>
      <x:c r="J184" s="59"/>
      <x:c r="K184" s="59"/>
      <x:c r="L184" s="59"/>
      <x:c r="M184" s="59"/>
      <x:c r="N184" s="59"/>
      <x:c r="O184" s="59"/>
    </x:row>
    <x:row r="185">
      <x:c r="A185" s="59"/>
      <x:c r="B185" s="59"/>
      <x:c r="C185" s="59"/>
      <x:c r="D185" s="59"/>
      <x:c r="E185" s="59"/>
      <x:c r="F185" s="59"/>
      <x:c r="G185" s="59"/>
      <x:c r="H185" s="59"/>
      <x:c r="I185" s="59"/>
      <x:c r="J185" s="59"/>
      <x:c r="K185" s="59"/>
      <x:c r="L185" s="59"/>
      <x:c r="M185" s="59"/>
      <x:c r="N185" s="59"/>
      <x:c r="O185" s="59"/>
    </x:row>
    <x:row r="186">
      <x:c r="A186" s="59"/>
      <x:c r="B186" s="59"/>
      <x:c r="C186" s="59"/>
      <x:c r="D186" s="59"/>
      <x:c r="E186" s="59"/>
      <x:c r="F186" s="59"/>
      <x:c r="G186" s="59"/>
      <x:c r="H186" s="59"/>
      <x:c r="I186" s="59"/>
      <x:c r="J186" s="59"/>
      <x:c r="K186" s="59"/>
      <x:c r="L186" s="59"/>
      <x:c r="M186" s="59"/>
      <x:c r="N186" s="59"/>
      <x:c r="O186" s="59"/>
    </x:row>
    <x:row r="187">
      <x:c r="A187" s="59"/>
      <x:c r="B187" s="59"/>
      <x:c r="C187" s="59"/>
      <x:c r="D187" s="59"/>
      <x:c r="E187" s="59"/>
      <x:c r="F187" s="59"/>
      <x:c r="G187" s="59"/>
      <x:c r="H187" s="59"/>
      <x:c r="I187" s="59"/>
      <x:c r="J187" s="59"/>
      <x:c r="K187" s="59"/>
      <x:c r="L187" s="59"/>
      <x:c r="M187" s="59"/>
      <x:c r="N187" s="59"/>
      <x:c r="O187" s="59"/>
    </x:row>
    <x:row r="188">
      <x:c r="A188" s="59"/>
      <x:c r="B188" s="59"/>
      <x:c r="C188" s="59"/>
      <x:c r="D188" s="59"/>
      <x:c r="E188" s="59"/>
      <x:c r="F188" s="59"/>
      <x:c r="G188" s="59"/>
      <x:c r="H188" s="59"/>
      <x:c r="I188" s="59"/>
      <x:c r="J188" s="59"/>
      <x:c r="K188" s="59"/>
      <x:c r="L188" s="59"/>
      <x:c r="M188" s="59"/>
      <x:c r="N188" s="59"/>
      <x:c r="O188" s="59"/>
    </x:row>
    <x:row r="189">
      <x:c r="A189" s="59"/>
      <x:c r="B189" s="59"/>
      <x:c r="C189" s="59"/>
      <x:c r="D189" s="59"/>
      <x:c r="E189" s="59"/>
      <x:c r="F189" s="59"/>
      <x:c r="G189" s="59"/>
      <x:c r="H189" s="59"/>
      <x:c r="I189" s="59"/>
      <x:c r="J189" s="59"/>
      <x:c r="K189" s="59"/>
      <x:c r="L189" s="59"/>
      <x:c r="M189" s="59"/>
      <x:c r="N189" s="59"/>
      <x:c r="O189" s="59"/>
    </x:row>
    <x:row r="190">
      <x:c r="A190" s="59"/>
      <x:c r="B190" s="59"/>
      <x:c r="C190" s="59"/>
      <x:c r="D190" s="59"/>
      <x:c r="E190" s="59"/>
      <x:c r="F190" s="59"/>
      <x:c r="G190" s="59"/>
      <x:c r="H190" s="59"/>
      <x:c r="I190" s="59"/>
      <x:c r="J190" s="59"/>
      <x:c r="K190" s="59"/>
      <x:c r="L190" s="59"/>
      <x:c r="M190" s="59"/>
      <x:c r="N190" s="59"/>
      <x:c r="O190" s="59"/>
    </x:row>
    <x:row r="191">
      <x:c r="A191" s="59"/>
      <x:c r="B191" s="59"/>
      <x:c r="C191" s="59"/>
      <x:c r="D191" s="59"/>
      <x:c r="E191" s="59"/>
      <x:c r="F191" s="59"/>
      <x:c r="G191" s="59"/>
      <x:c r="H191" s="59"/>
      <x:c r="I191" s="59"/>
      <x:c r="J191" s="59"/>
      <x:c r="K191" s="59"/>
      <x:c r="L191" s="59"/>
      <x:c r="M191" s="59"/>
      <x:c r="N191" s="59"/>
      <x:c r="O191" s="59"/>
    </x:row>
    <x:row r="192">
      <x:c r="A192" s="59"/>
      <x:c r="B192" s="59"/>
      <x:c r="C192" s="59"/>
      <x:c r="D192" s="59"/>
      <x:c r="E192" s="59"/>
      <x:c r="F192" s="59"/>
      <x:c r="G192" s="59"/>
      <x:c r="H192" s="59"/>
      <x:c r="I192" s="59"/>
      <x:c r="J192" s="59"/>
      <x:c r="K192" s="59"/>
      <x:c r="L192" s="59"/>
      <x:c r="M192" s="59"/>
      <x:c r="N192" s="59"/>
      <x:c r="O192" s="59"/>
    </x:row>
    <x:row r="193">
      <x:c r="A193" s="59"/>
      <x:c r="B193" s="59"/>
      <x:c r="C193" s="59"/>
      <x:c r="D193" s="59"/>
      <x:c r="E193" s="59"/>
      <x:c r="F193" s="59"/>
      <x:c r="G193" s="59"/>
      <x:c r="H193" s="59"/>
      <x:c r="I193" s="59"/>
      <x:c r="J193" s="59"/>
      <x:c r="K193" s="59"/>
      <x:c r="L193" s="59"/>
      <x:c r="M193" s="59"/>
      <x:c r="N193" s="59"/>
      <x:c r="O193" s="59"/>
    </x:row>
    <x:row r="194">
      <x:c r="A194" s="59"/>
      <x:c r="B194" s="59"/>
      <x:c r="C194" s="59"/>
      <x:c r="D194" s="59"/>
      <x:c r="E194" s="59"/>
      <x:c r="F194" s="59"/>
      <x:c r="G194" s="59"/>
      <x:c r="H194" s="59"/>
      <x:c r="I194" s="59"/>
      <x:c r="J194" s="59"/>
      <x:c r="K194" s="59"/>
      <x:c r="L194" s="59"/>
      <x:c r="M194" s="59"/>
      <x:c r="N194" s="59"/>
      <x:c r="O194" s="59"/>
    </x:row>
    <x:row r="195">
      <x:c r="A195" s="59"/>
      <x:c r="B195" s="59"/>
      <x:c r="C195" s="59"/>
      <x:c r="D195" s="59"/>
      <x:c r="E195" s="59"/>
      <x:c r="F195" s="59"/>
      <x:c r="G195" s="59"/>
      <x:c r="H195" s="59"/>
      <x:c r="I195" s="59"/>
      <x:c r="J195" s="59"/>
      <x:c r="K195" s="59"/>
      <x:c r="L195" s="59"/>
      <x:c r="M195" s="59"/>
      <x:c r="N195" s="59"/>
      <x:c r="O195" s="59"/>
    </x:row>
    <x:row r="196">
      <x:c r="A196" s="59"/>
      <x:c r="B196" s="59"/>
      <x:c r="C196" s="59"/>
      <x:c r="D196" s="59"/>
      <x:c r="E196" s="59"/>
      <x:c r="F196" s="59"/>
      <x:c r="G196" s="59"/>
      <x:c r="H196" s="59"/>
      <x:c r="I196" s="59"/>
      <x:c r="J196" s="59"/>
      <x:c r="K196" s="59"/>
      <x:c r="L196" s="59"/>
      <x:c r="M196" s="59"/>
      <x:c r="N196" s="59"/>
      <x:c r="O196" s="59"/>
    </x:row>
    <x:row r="197">
      <x:c r="A197" s="59"/>
      <x:c r="B197" s="59"/>
      <x:c r="C197" s="59"/>
      <x:c r="D197" s="59"/>
      <x:c r="E197" s="59"/>
      <x:c r="F197" s="59"/>
      <x:c r="G197" s="59"/>
      <x:c r="H197" s="59"/>
      <x:c r="I197" s="59"/>
      <x:c r="J197" s="59"/>
      <x:c r="K197" s="59"/>
      <x:c r="L197" s="59"/>
      <x:c r="M197" s="59"/>
      <x:c r="N197" s="59"/>
      <x:c r="O197" s="59"/>
    </x:row>
    <x:row r="198">
      <x:c r="A198" s="59"/>
      <x:c r="B198" s="59"/>
      <x:c r="C198" s="59"/>
      <x:c r="D198" s="59"/>
      <x:c r="E198" s="59"/>
      <x:c r="F198" s="59"/>
      <x:c r="G198" s="59"/>
      <x:c r="H198" s="59"/>
      <x:c r="I198" s="59"/>
      <x:c r="J198" s="59"/>
      <x:c r="K198" s="59"/>
      <x:c r="L198" s="59"/>
      <x:c r="M198" s="59"/>
      <x:c r="N198" s="59"/>
      <x:c r="O198" s="59"/>
    </x:row>
    <x:row r="199">
      <x:c r="A199" s="59"/>
      <x:c r="B199" s="59"/>
      <x:c r="C199" s="59"/>
      <x:c r="D199" s="59"/>
      <x:c r="E199" s="59"/>
      <x:c r="F199" s="59"/>
      <x:c r="G199" s="59"/>
      <x:c r="H199" s="59"/>
      <x:c r="I199" s="59"/>
      <x:c r="J199" s="59"/>
      <x:c r="K199" s="59"/>
      <x:c r="L199" s="59"/>
      <x:c r="M199" s="59"/>
      <x:c r="N199" s="59"/>
      <x:c r="O199" s="59"/>
    </x:row>
    <x:row r="200">
      <x:c r="A200" s="59"/>
      <x:c r="B200" s="59"/>
      <x:c r="C200" s="59"/>
      <x:c r="D200" s="59"/>
      <x:c r="E200" s="59"/>
      <x:c r="F200" s="59"/>
      <x:c r="G200" s="59"/>
      <x:c r="H200" s="59"/>
      <x:c r="I200" s="59"/>
      <x:c r="J200" s="59"/>
      <x:c r="K200" s="59"/>
      <x:c r="L200" s="59"/>
      <x:c r="M200" s="59"/>
      <x:c r="N200" s="59"/>
      <x:c r="O200" s="59"/>
    </x:row>
  </x:sheetData>
  <x:mergeCells>
    <x:mergeCell ref="A1:J1"/>
    <x:mergeCell ref="A2:J2"/>
    <x:mergeCell ref="A3:J3"/>
  </x:mergeCells>
  <x:conditionalFormatting sqref="G6:G20">
    <x:cfRule type="expression" dxfId="13" priority="1">
      <x:formula>G6="Critical"</x:formula>
    </x:cfRule>
    <x:cfRule type="expression" dxfId="14" priority="2">
      <x:formula>G6="High"</x:formula>
    </x:cfRule>
    <x:cfRule type="expression" dxfId="15" priority="3">
      <x:formula>G6="Medium"</x:formula>
    </x:cfRule>
  </x:conditionalFormatting>
  <x:pageMargins left="0.7" right="0.7" top="0.75" bottom="0.75" header="0.3" footer="0.3"/>
  <x:tableParts count="1">
    <x:tablePart xmlns:r="http://schemas.openxmlformats.org/officeDocument/2006/relationships" r:id="Rb71934f02a244598"/>
  </x:tableParts>
</x:worksheet>
</file>

<file path=xl/worksheets/sheet7.xml><?xml version="1.0" encoding="utf-8"?>
<x:worksheet xmlns:x="http://schemas.openxmlformats.org/spreadsheetml/2006/main">
  <x:sheetFormatPr defaultRowHeight="15"/>
  <x:cols>
    <x:col min="1" max="1" width="28" hidden="0" customWidth="1"/>
    <x:col min="2" max="2" width="86" hidden="0" customWidth="1"/>
    <x:col min="3" max="3" width="64" hidden="0" customWidth="1"/>
    <x:col min="4" max="4" width="12" hidden="0" customWidth="1"/>
    <x:col min="5" max="5" width="12" hidden="0" customWidth="1"/>
    <x:col min="6" max="6" width="12" hidden="0" customWidth="1"/>
    <x:col min="7" max="7" width="12" hidden="0" customWidth="1"/>
    <x:col min="8" max="8" width="12" hidden="0" customWidth="1"/>
  </x:cols>
  <x:sheetData>
    <x:row r="1" ht="34" customHeight="1">
      <x:c r="A1" s="56" t="str">
        <x:v>Guidance, Assumptions, and References</x:v>
      </x:c>
      <x:c r="B1" s="56"/>
      <x:c r="C1" s="56"/>
      <x:c r="D1" s="56"/>
      <x:c r="E1" s="56"/>
      <x:c r="F1" s="56"/>
      <x:c r="G1" s="56"/>
      <x:c r="H1" s="56"/>
      <x:c r="I1" s="59"/>
      <x:c r="J1" s="59"/>
      <x:c r="K1" s="59"/>
      <x:c r="L1" s="59"/>
      <x:c r="M1" s="59"/>
      <x:c r="N1" s="59"/>
      <x:c r="O1" s="59"/>
    </x:row>
    <x:row r="2" ht="20" customHeight="1">
      <x:c r="A2" s="57" t="str">
        <x:v>Author: Yuval Sinay | Version 1.0 | 02.08.2026</x:v>
      </x:c>
      <x:c r="B2" s="57"/>
      <x:c r="C2" s="57"/>
      <x:c r="D2" s="57"/>
      <x:c r="E2" s="57"/>
      <x:c r="F2" s="57"/>
      <x:c r="G2" s="57"/>
      <x:c r="H2" s="57"/>
      <x:c r="I2" s="59"/>
      <x:c r="J2" s="59"/>
      <x:c r="K2" s="59"/>
      <x:c r="L2" s="59"/>
      <x:c r="M2" s="59"/>
      <x:c r="N2" s="59"/>
      <x:c r="O2" s="59"/>
    </x:row>
    <x:row r="3" ht="28" customHeight="1">
      <x:c r="A3" s="58" t="str">
        <x:v>Authoritative sources and practical notes supporting the workbook structure.</x:v>
      </x:c>
      <x:c r="B3" s="58"/>
      <x:c r="C3" s="58"/>
      <x:c r="D3" s="58"/>
      <x:c r="E3" s="58"/>
      <x:c r="F3" s="58"/>
      <x:c r="G3" s="58"/>
      <x:c r="H3" s="58"/>
      <x:c r="I3" s="59"/>
      <x:c r="J3" s="59"/>
      <x:c r="K3" s="59"/>
      <x:c r="L3" s="59"/>
      <x:c r="M3" s="59"/>
      <x:c r="N3" s="59"/>
      <x:c r="O3" s="59"/>
    </x:row>
    <x:row r="4">
      <x:c r="A4" s="59"/>
      <x:c r="B4" s="59"/>
      <x:c r="C4" s="59"/>
      <x:c r="D4" s="59"/>
      <x:c r="E4" s="59"/>
      <x:c r="F4" s="59"/>
      <x:c r="G4" s="59"/>
      <x:c r="H4" s="59"/>
      <x:c r="I4" s="59"/>
      <x:c r="J4" s="59"/>
      <x:c r="K4" s="59"/>
      <x:c r="L4" s="59"/>
      <x:c r="M4" s="59"/>
      <x:c r="N4" s="59"/>
      <x:c r="O4" s="59"/>
    </x:row>
    <x:row r="5" ht="24" customHeight="1">
      <x:c r="A5" s="61" t="str">
        <x:v>How to Use the Workbook</x:v>
      </x:c>
      <x:c r="B5" s="61"/>
      <x:c r="C5" s="61"/>
      <x:c r="D5" s="61"/>
      <x:c r="E5" s="61"/>
      <x:c r="F5" s="61"/>
      <x:c r="G5" s="61"/>
      <x:c r="H5" s="61"/>
      <x:c r="I5" s="59"/>
      <x:c r="J5" s="59"/>
      <x:c r="K5" s="59"/>
      <x:c r="L5" s="59"/>
      <x:c r="M5" s="59"/>
      <x:c r="N5" s="59"/>
      <x:c r="O5" s="59"/>
    </x:row>
    <x:row r="6" ht="32" customHeight="1">
      <x:c r="A6" s="62" t="str">
        <x:v>Topic</x:v>
      </x:c>
      <x:c r="B6" s="62" t="str">
        <x:v>Guidance</x:v>
      </x:c>
      <x:c r="C6" s="59"/>
      <x:c r="D6" s="59"/>
      <x:c r="E6" s="59"/>
      <x:c r="F6" s="59"/>
      <x:c r="G6" s="59"/>
      <x:c r="H6" s="59"/>
      <x:c r="I6" s="59"/>
      <x:c r="J6" s="59"/>
      <x:c r="K6" s="59"/>
      <x:c r="L6" s="59"/>
      <x:c r="M6" s="59"/>
      <x:c r="N6" s="59"/>
      <x:c r="O6" s="59"/>
    </x:row>
    <x:row r="7" ht="52" customHeight="1">
      <x:c r="A7" s="64" t="str">
        <x:v>Baseline</x:v>
      </x:c>
      <x:c r="B7" s="64" t="str">
        <x:v>Create separate baselines for production, startup, shutdown, maintenance, emergency operation, and known seasonal or batch patterns.</x:v>
      </x:c>
      <x:c r="C7" s="59"/>
      <x:c r="D7" s="59"/>
      <x:c r="E7" s="59"/>
      <x:c r="F7" s="59"/>
      <x:c r="G7" s="59"/>
      <x:c r="H7" s="59"/>
      <x:c r="I7" s="59"/>
      <x:c r="J7" s="59"/>
      <x:c r="K7" s="59"/>
      <x:c r="L7" s="59"/>
      <x:c r="M7" s="59"/>
      <x:c r="N7" s="59"/>
      <x:c r="O7" s="59"/>
    </x:row>
    <x:row r="8" ht="52" customHeight="1">
      <x:c r="A8" s="64" t="str">
        <x:v>Thresholds</x:v>
      </x:c>
      <x:c r="B8" s="64" t="str">
        <x:v>Validate every threshold with control engineering, process safety, network engineering, and the asset owner. Avoid importing enterprise IT thresholds without OT validation.</x:v>
      </x:c>
      <x:c r="C8" s="59"/>
      <x:c r="D8" s="59"/>
      <x:c r="E8" s="59"/>
      <x:c r="F8" s="59"/>
      <x:c r="G8" s="59"/>
      <x:c r="H8" s="59"/>
      <x:c r="I8" s="59"/>
      <x:c r="J8" s="59"/>
      <x:c r="K8" s="59"/>
      <x:c r="L8" s="59"/>
      <x:c r="M8" s="59"/>
      <x:c r="N8" s="59"/>
      <x:c r="O8" s="59"/>
    </x:row>
    <x:row r="9" ht="52" customHeight="1">
      <x:c r="A9" s="64" t="str">
        <x:v>Correlation</x:v>
      </x:c>
      <x:c r="B9" s="64" t="str">
        <x:v>Correlate cyber telemetry with controller state, process historian values, alarms, change tickets, operator logs, and physical observations.</x:v>
      </x:c>
      <x:c r="C9" s="59"/>
      <x:c r="D9" s="59"/>
      <x:c r="E9" s="59"/>
      <x:c r="F9" s="59"/>
      <x:c r="G9" s="59"/>
      <x:c r="H9" s="59"/>
      <x:c r="I9" s="59"/>
      <x:c r="J9" s="59"/>
      <x:c r="K9" s="59"/>
      <x:c r="L9" s="59"/>
      <x:c r="M9" s="59"/>
      <x:c r="N9" s="59"/>
      <x:c r="O9" s="59"/>
    </x:row>
    <x:row r="10" ht="52" customHeight="1">
      <x:c r="A10" s="64" t="str">
        <x:v>Monitoring Method</x:v>
      </x:c>
      <x:c r="B10" s="64" t="str">
        <x:v>Begin with passive collection through TAPs or carefully engineered SPAN ports. Test active queries or discovery in a representative environment before production use.</x:v>
      </x:c>
      <x:c r="C10" s="59"/>
      <x:c r="D10" s="59"/>
      <x:c r="E10" s="59"/>
      <x:c r="F10" s="59"/>
      <x:c r="G10" s="59"/>
      <x:c r="H10" s="59"/>
      <x:c r="I10" s="59"/>
      <x:c r="J10" s="59"/>
      <x:c r="K10" s="59"/>
      <x:c r="L10" s="59"/>
      <x:c r="M10" s="59"/>
      <x:c r="N10" s="59"/>
      <x:c r="O10" s="59"/>
    </x:row>
    <x:row r="11" ht="52" customHeight="1">
      <x:c r="A11" s="64" t="str">
        <x:v>Escalation</x:v>
      </x:c>
      <x:c r="B11" s="64" t="str">
        <x:v>A technically suspicious event is not automatically safe to block. Containment actions must consider process safety, availability, and recovery capability.</x:v>
      </x:c>
      <x:c r="C11" s="59"/>
      <x:c r="D11" s="59"/>
      <x:c r="E11" s="59"/>
      <x:c r="F11" s="59"/>
      <x:c r="G11" s="59"/>
      <x:c r="H11" s="59"/>
      <x:c r="I11" s="59"/>
      <x:c r="J11" s="59"/>
      <x:c r="K11" s="59"/>
      <x:c r="L11" s="59"/>
      <x:c r="M11" s="59"/>
      <x:c r="N11" s="59"/>
      <x:c r="O11" s="59"/>
    </x:row>
    <x:row r="12" ht="52" customHeight="1">
      <x:c r="A12" s="64" t="str">
        <x:v>Data Quality</x:v>
      </x:c>
      <x:c r="B12" s="64" t="str">
        <x:v>Track telemetry coverage, packet capture loss, log delays, time synchronization, and parser health because detection performance depends on the monitoring pipeline.</x:v>
      </x:c>
      <x:c r="C12" s="59"/>
      <x:c r="D12" s="59"/>
      <x:c r="E12" s="59"/>
      <x:c r="F12" s="59"/>
      <x:c r="G12" s="59"/>
      <x:c r="H12" s="59"/>
      <x:c r="I12" s="59"/>
      <x:c r="J12" s="59"/>
      <x:c r="K12" s="59"/>
      <x:c r="L12" s="59"/>
      <x:c r="M12" s="59"/>
      <x:c r="N12" s="59"/>
      <x:c r="O12" s="59"/>
    </x:row>
    <x:row r="13">
      <x:c r="A13" s="59"/>
      <x:c r="B13" s="59"/>
      <x:c r="C13" s="59"/>
      <x:c r="D13" s="59"/>
      <x:c r="E13" s="59"/>
      <x:c r="F13" s="59"/>
      <x:c r="G13" s="59"/>
      <x:c r="H13" s="59"/>
      <x:c r="I13" s="59"/>
      <x:c r="J13" s="59"/>
      <x:c r="K13" s="59"/>
      <x:c r="L13" s="59"/>
      <x:c r="M13" s="59"/>
      <x:c r="N13" s="59"/>
      <x:c r="O13" s="59"/>
    </x:row>
    <x:row r="14" ht="24" customHeight="1">
      <x:c r="A14" s="61" t="str">
        <x:v>Scoring Model Used in Daily Monitoring</x:v>
      </x:c>
      <x:c r="B14" s="61"/>
      <x:c r="C14" s="61"/>
      <x:c r="D14" s="61"/>
      <x:c r="E14" s="61"/>
      <x:c r="F14" s="61"/>
      <x:c r="G14" s="61"/>
      <x:c r="H14" s="61"/>
      <x:c r="I14" s="59"/>
      <x:c r="J14" s="59"/>
      <x:c r="K14" s="59"/>
      <x:c r="L14" s="59"/>
      <x:c r="M14" s="59"/>
      <x:c r="N14" s="59"/>
      <x:c r="O14" s="59"/>
    </x:row>
    <x:row r="15" ht="32" customHeight="1">
      <x:c r="A15" s="62" t="str">
        <x:v>Element</x:v>
      </x:c>
      <x:c r="B15" s="62" t="str">
        <x:v>Workbook Logic</x:v>
      </x:c>
      <x:c r="C15" s="59"/>
      <x:c r="D15" s="59"/>
      <x:c r="E15" s="59"/>
      <x:c r="F15" s="59"/>
      <x:c r="G15" s="59"/>
      <x:c r="H15" s="59"/>
      <x:c r="I15" s="59"/>
      <x:c r="J15" s="59"/>
      <x:c r="K15" s="59"/>
      <x:c r="L15" s="59"/>
      <x:c r="M15" s="59"/>
      <x:c r="N15" s="59"/>
      <x:c r="O15" s="59"/>
    </x:row>
    <x:row r="16" ht="48" customHeight="1">
      <x:c r="A16" s="64" t="str">
        <x:v>Risk Score</x:v>
      </x:c>
      <x:c r="B16" s="64" t="str">
        <x:v>Weighted combination of availability degradation, packet loss, latency above 20 ms, unknown assets, unauthorized writes, remote sessions, segmentation violations, stale tags, telemetry-health degradation, and critical alerts.</x:v>
      </x:c>
      <x:c r="C16" s="59"/>
      <x:c r="D16" s="59"/>
      <x:c r="E16" s="59"/>
      <x:c r="F16" s="59"/>
      <x:c r="G16" s="59"/>
      <x:c r="H16" s="59"/>
      <x:c r="I16" s="59"/>
      <x:c r="J16" s="59"/>
      <x:c r="K16" s="59"/>
      <x:c r="L16" s="59"/>
      <x:c r="M16" s="59"/>
      <x:c r="N16" s="59"/>
      <x:c r="O16" s="59"/>
    </x:row>
    <x:row r="17" ht="48" customHeight="1">
      <x:c r="A17" s="64" t="str">
        <x:v>Status Thresholds</x:v>
      </x:c>
      <x:c r="B17" s="64" t="str">
        <x:v>Normal: &lt;20; Moderate: 20-39.99; High: 40-69.99; Critical: &gt;=70.</x:v>
      </x:c>
      <x:c r="C17" s="59"/>
      <x:c r="D17" s="59"/>
      <x:c r="E17" s="59"/>
      <x:c r="F17" s="59"/>
      <x:c r="G17" s="59"/>
      <x:c r="H17" s="59"/>
      <x:c r="I17" s="59"/>
      <x:c r="J17" s="59"/>
      <x:c r="K17" s="59"/>
      <x:c r="L17" s="59"/>
      <x:c r="M17" s="59"/>
      <x:c r="N17" s="59"/>
      <x:c r="O17" s="59"/>
    </x:row>
    <x:row r="18" ht="48" customHeight="1">
      <x:c r="A18" s="64" t="str">
        <x:v>Interpretation</x:v>
      </x:c>
      <x:c r="B18" s="64" t="str">
        <x:v>The score is illustrative and must be calibrated for site criticality, process state, asset role, safety impact, and existing safeguards.</x:v>
      </x:c>
      <x:c r="C18" s="59"/>
      <x:c r="D18" s="59"/>
      <x:c r="E18" s="59"/>
      <x:c r="F18" s="59"/>
      <x:c r="G18" s="59"/>
      <x:c r="H18" s="59"/>
      <x:c r="I18" s="59"/>
      <x:c r="J18" s="59"/>
      <x:c r="K18" s="59"/>
      <x:c r="L18" s="59"/>
      <x:c r="M18" s="59"/>
      <x:c r="N18" s="59"/>
      <x:c r="O18" s="59"/>
    </x:row>
    <x:row r="19" ht="48" customHeight="1">
      <x:c r="A19" s="64" t="str">
        <x:v>Formula Location</x:v>
      </x:c>
      <x:c r="B19" s="64" t="str">
        <x:v>Daily Monitoring column L. Status classification is in column M.</x:v>
      </x:c>
      <x:c r="C19" s="59"/>
      <x:c r="D19" s="59"/>
      <x:c r="E19" s="59"/>
      <x:c r="F19" s="59"/>
      <x:c r="G19" s="59"/>
      <x:c r="H19" s="59"/>
      <x:c r="I19" s="59"/>
      <x:c r="J19" s="59"/>
      <x:c r="K19" s="59"/>
      <x:c r="L19" s="59"/>
      <x:c r="M19" s="59"/>
      <x:c r="N19" s="59"/>
      <x:c r="O19" s="59"/>
    </x:row>
    <x:row r="20">
      <x:c r="A20" s="59"/>
      <x:c r="B20" s="59"/>
      <x:c r="C20" s="59"/>
      <x:c r="D20" s="59"/>
      <x:c r="E20" s="59"/>
      <x:c r="F20" s="59"/>
      <x:c r="G20" s="59"/>
      <x:c r="H20" s="59"/>
      <x:c r="I20" s="59"/>
      <x:c r="J20" s="59"/>
      <x:c r="K20" s="59"/>
      <x:c r="L20" s="59"/>
      <x:c r="M20" s="59"/>
      <x:c r="N20" s="59"/>
      <x:c r="O20" s="59"/>
    </x:row>
    <x:row r="21" ht="24" customHeight="1">
      <x:c r="A21" s="61" t="str">
        <x:v>References - APA 7</x:v>
      </x:c>
      <x:c r="B21" s="61"/>
      <x:c r="C21" s="61"/>
      <x:c r="D21" s="61"/>
      <x:c r="E21" s="61"/>
      <x:c r="F21" s="61"/>
      <x:c r="G21" s="61"/>
      <x:c r="H21" s="61"/>
      <x:c r="I21" s="59"/>
      <x:c r="J21" s="59"/>
      <x:c r="K21" s="59"/>
      <x:c r="L21" s="59"/>
      <x:c r="M21" s="59"/>
      <x:c r="N21" s="59"/>
      <x:c r="O21" s="59"/>
    </x:row>
    <x:row r="22" ht="32" customHeight="1">
      <x:c r="A22" s="62" t="str">
        <x:v>Source</x:v>
      </x:c>
      <x:c r="B22" s="62" t="str">
        <x:v>APA 7 Reference</x:v>
      </x:c>
      <x:c r="C22" s="62" t="str">
        <x:v>URL</x:v>
      </x:c>
      <x:c r="D22" s="59"/>
      <x:c r="E22" s="59"/>
      <x:c r="F22" s="59"/>
      <x:c r="G22" s="59"/>
      <x:c r="H22" s="59"/>
      <x:c r="I22" s="59"/>
      <x:c r="J22" s="59"/>
      <x:c r="K22" s="59"/>
      <x:c r="L22" s="59"/>
      <x:c r="M22" s="59"/>
      <x:c r="N22" s="59"/>
      <x:c r="O22" s="59"/>
    </x:row>
    <x:row r="23" ht="78" customHeight="1">
      <x:c r="A23" s="83" t="str">
        <x:v>NIST SP 800-82 Rev. 3</x:v>
      </x:c>
      <x:c r="B23" s="83" t="str">
        <x:v>Stouffer, K., Pease, M., Tang, C., Zimmerman, T., Pillitteri, V., Lightman, S., Hahn, A., Saravia, S., Sherule, A., &amp; Thompson, M. (2023). Guide to operational technology (OT) security (NIST Special Publication 800-82 Rev. 3). National Institute of Standards and Technology. https://doi.org/10.6028/NIST.SP.800-82r3</x:v>
      </x:c>
      <x:c r="C23" s="83" t="str">
        <x:v>https://csrc.nist.gov/pubs/sp/800/82/r3/final</x:v>
      </x:c>
      <x:c r="D23" s="59"/>
      <x:c r="E23" s="59"/>
      <x:c r="F23" s="59"/>
      <x:c r="G23" s="59"/>
      <x:c r="H23" s="59"/>
      <x:c r="I23" s="59"/>
      <x:c r="J23" s="59"/>
      <x:c r="K23" s="59"/>
      <x:c r="L23" s="59"/>
      <x:c r="M23" s="59"/>
      <x:c r="N23" s="59"/>
      <x:c r="O23" s="59"/>
    </x:row>
    <x:row r="24" ht="78" customHeight="1">
      <x:c r="A24" s="83" t="str">
        <x:v>MITRE ATT&amp;CK for ICS</x:v>
      </x:c>
      <x:c r="B24" s="83" t="str">
        <x:v>MITRE. (2026). MITRE ATT&amp;CK for ICS: Matrix. Retrieved August 2, 2026, from https://attack.mitre.org/matrices/ics/</x:v>
      </x:c>
      <x:c r="C24" s="83" t="str">
        <x:v>https://attack.mitre.org/matrices/ics/</x:v>
      </x:c>
      <x:c r="D24" s="59"/>
      <x:c r="E24" s="59"/>
      <x:c r="F24" s="59"/>
      <x:c r="G24" s="59"/>
      <x:c r="H24" s="59"/>
      <x:c r="I24" s="59"/>
      <x:c r="J24" s="59"/>
      <x:c r="K24" s="59"/>
      <x:c r="L24" s="59"/>
      <x:c r="M24" s="59"/>
      <x:c r="N24" s="59"/>
      <x:c r="O24" s="59"/>
    </x:row>
    <x:row r="25" ht="78" customHeight="1">
      <x:c r="A25" s="83" t="str">
        <x:v>ISA/IEC 62443</x:v>
      </x:c>
      <x:c r="B25" s="83" t="str">
        <x:v>International Society of Automation. (2026). ISA/IEC 62443 series of standards. Retrieved August 2, 2026, from https://www.isa.org/standards-and-publications/isa-standards/isa-iec-62443-series-of-standards</x:v>
      </x:c>
      <x:c r="C25" s="83" t="str">
        <x:v>https://www.isa.org/standards-and-publications/isa-standards/isa-iec-62443-series-of-standards</x:v>
      </x:c>
      <x:c r="D25" s="59"/>
      <x:c r="E25" s="59"/>
      <x:c r="F25" s="59"/>
      <x:c r="G25" s="59"/>
      <x:c r="H25" s="59"/>
      <x:c r="I25" s="59"/>
      <x:c r="J25" s="59"/>
      <x:c r="K25" s="59"/>
      <x:c r="L25" s="59"/>
      <x:c r="M25" s="59"/>
      <x:c r="N25" s="59"/>
      <x:c r="O25" s="59"/>
    </x:row>
    <x:row r="26" ht="78" customHeight="1">
      <x:c r="A26" s="83" t="str">
        <x:v>NIST OT Security Publications</x:v>
      </x:c>
      <x:c r="B26" s="83" t="str">
        <x:v>National Institute of Standards and Technology. (2026). Operational technology security publications. Retrieved August 2, 2026, from https://csrc.nist.gov/Projects/operational-technology-security/publications</x:v>
      </x:c>
      <x:c r="C26" s="83" t="str">
        <x:v>https://csrc.nist.gov/Projects/operational-technology-security/publications</x:v>
      </x:c>
      <x:c r="D26" s="59"/>
      <x:c r="E26" s="59"/>
      <x:c r="F26" s="59"/>
      <x:c r="G26" s="59"/>
      <x:c r="H26" s="59"/>
      <x:c r="I26" s="59"/>
      <x:c r="J26" s="59"/>
      <x:c r="K26" s="59"/>
      <x:c r="L26" s="59"/>
      <x:c r="M26" s="59"/>
      <x:c r="N26" s="59"/>
      <x:c r="O26" s="59"/>
    </x:row>
    <x:row r="27">
      <x:c r="A27" s="59"/>
      <x:c r="B27" s="59"/>
      <x:c r="C27" s="59"/>
      <x:c r="D27" s="59"/>
      <x:c r="E27" s="59"/>
      <x:c r="F27" s="59"/>
      <x:c r="G27" s="59"/>
      <x:c r="H27" s="59"/>
      <x:c r="I27" s="59"/>
      <x:c r="J27" s="59"/>
      <x:c r="K27" s="59"/>
      <x:c r="L27" s="59"/>
      <x:c r="M27" s="59"/>
      <x:c r="N27" s="59"/>
      <x:c r="O27" s="59"/>
    </x:row>
    <x:row r="28">
      <x:c r="A28" s="65" t="str">
        <x:v>Disclaimer: This workbook is a professional planning and monitoring aid. It does not replace site-specific safety procedures, engineering judgment, vendor requirements, regulatory obligations, or formal risk assessment.</x:v>
      </x:c>
      <x:c r="B28" s="65"/>
      <x:c r="C28" s="65"/>
      <x:c r="D28" s="65"/>
      <x:c r="E28" s="65"/>
      <x:c r="F28" s="65"/>
      <x:c r="G28" s="65"/>
      <x:c r="H28" s="65"/>
      <x:c r="I28" s="59"/>
      <x:c r="J28" s="59"/>
      <x:c r="K28" s="59"/>
      <x:c r="L28" s="59"/>
      <x:c r="M28" s="59"/>
      <x:c r="N28" s="59"/>
      <x:c r="O28" s="59"/>
    </x:row>
    <x:row r="29">
      <x:c r="A29" s="65"/>
      <x:c r="B29" s="65"/>
      <x:c r="C29" s="65"/>
      <x:c r="D29" s="65"/>
      <x:c r="E29" s="65"/>
      <x:c r="F29" s="65"/>
      <x:c r="G29" s="65"/>
      <x:c r="H29" s="65"/>
      <x:c r="I29" s="59"/>
      <x:c r="J29" s="59"/>
      <x:c r="K29" s="59"/>
      <x:c r="L29" s="59"/>
      <x:c r="M29" s="59"/>
      <x:c r="N29" s="59"/>
      <x:c r="O29" s="59"/>
    </x:row>
    <x:row r="30">
      <x:c r="A30" s="65"/>
      <x:c r="B30" s="65"/>
      <x:c r="C30" s="65"/>
      <x:c r="D30" s="65"/>
      <x:c r="E30" s="65"/>
      <x:c r="F30" s="65"/>
      <x:c r="G30" s="65"/>
      <x:c r="H30" s="65"/>
      <x:c r="I30" s="59"/>
      <x:c r="J30" s="59"/>
      <x:c r="K30" s="59"/>
      <x:c r="L30" s="59"/>
      <x:c r="M30" s="59"/>
      <x:c r="N30" s="59"/>
      <x:c r="O30" s="59"/>
    </x:row>
    <x:row r="31">
      <x:c r="A31" s="59"/>
      <x:c r="B31" s="59"/>
      <x:c r="C31" s="59"/>
      <x:c r="D31" s="59"/>
      <x:c r="E31" s="59"/>
      <x:c r="F31" s="59"/>
      <x:c r="G31" s="59"/>
      <x:c r="H31" s="59"/>
      <x:c r="I31" s="59"/>
      <x:c r="J31" s="59"/>
      <x:c r="K31" s="59"/>
      <x:c r="L31" s="59"/>
      <x:c r="M31" s="59"/>
      <x:c r="N31" s="59"/>
      <x:c r="O31" s="59"/>
    </x:row>
    <x:row r="32">
      <x:c r="A32" s="59"/>
      <x:c r="B32" s="59"/>
      <x:c r="C32" s="59"/>
      <x:c r="D32" s="59"/>
      <x:c r="E32" s="59"/>
      <x:c r="F32" s="59"/>
      <x:c r="G32" s="59"/>
      <x:c r="H32" s="59"/>
      <x:c r="I32" s="59"/>
      <x:c r="J32" s="59"/>
      <x:c r="K32" s="59"/>
      <x:c r="L32" s="59"/>
      <x:c r="M32" s="59"/>
      <x:c r="N32" s="59"/>
      <x:c r="O32" s="59"/>
    </x:row>
    <x:row r="33">
      <x:c r="A33" s="59"/>
      <x:c r="B33" s="59"/>
      <x:c r="C33" s="59"/>
      <x:c r="D33" s="59"/>
      <x:c r="E33" s="59"/>
      <x:c r="F33" s="59"/>
      <x:c r="G33" s="59"/>
      <x:c r="H33" s="59"/>
      <x:c r="I33" s="59"/>
      <x:c r="J33" s="59"/>
      <x:c r="K33" s="59"/>
      <x:c r="L33" s="59"/>
      <x:c r="M33" s="59"/>
      <x:c r="N33" s="59"/>
      <x:c r="O33" s="59"/>
    </x:row>
    <x:row r="34">
      <x:c r="A34" s="59"/>
      <x:c r="B34" s="59"/>
      <x:c r="C34" s="59"/>
      <x:c r="D34" s="59"/>
      <x:c r="E34" s="59"/>
      <x:c r="F34" s="59"/>
      <x:c r="G34" s="59"/>
      <x:c r="H34" s="59"/>
      <x:c r="I34" s="59"/>
      <x:c r="J34" s="59"/>
      <x:c r="K34" s="59"/>
      <x:c r="L34" s="59"/>
      <x:c r="M34" s="59"/>
      <x:c r="N34" s="59"/>
      <x:c r="O34" s="59"/>
    </x:row>
    <x:row r="35">
      <x:c r="A35" s="59"/>
      <x:c r="B35" s="59"/>
      <x:c r="C35" s="59"/>
      <x:c r="D35" s="59"/>
      <x:c r="E35" s="59"/>
      <x:c r="F35" s="59"/>
      <x:c r="G35" s="59"/>
      <x:c r="H35" s="59"/>
      <x:c r="I35" s="59"/>
      <x:c r="J35" s="59"/>
      <x:c r="K35" s="59"/>
      <x:c r="L35" s="59"/>
      <x:c r="M35" s="59"/>
      <x:c r="N35" s="59"/>
      <x:c r="O35" s="59"/>
    </x:row>
    <x:row r="36">
      <x:c r="A36" s="59"/>
      <x:c r="B36" s="59"/>
      <x:c r="C36" s="59"/>
      <x:c r="D36" s="59"/>
      <x:c r="E36" s="59"/>
      <x:c r="F36" s="59"/>
      <x:c r="G36" s="59"/>
      <x:c r="H36" s="59"/>
      <x:c r="I36" s="59"/>
      <x:c r="J36" s="59"/>
      <x:c r="K36" s="59"/>
      <x:c r="L36" s="59"/>
      <x:c r="M36" s="59"/>
      <x:c r="N36" s="59"/>
      <x:c r="O36" s="59"/>
    </x:row>
    <x:row r="37">
      <x:c r="A37" s="59"/>
      <x:c r="B37" s="59"/>
      <x:c r="C37" s="59"/>
      <x:c r="D37" s="59"/>
      <x:c r="E37" s="59"/>
      <x:c r="F37" s="59"/>
      <x:c r="G37" s="59"/>
      <x:c r="H37" s="59"/>
      <x:c r="I37" s="59"/>
      <x:c r="J37" s="59"/>
      <x:c r="K37" s="59"/>
      <x:c r="L37" s="59"/>
      <x:c r="M37" s="59"/>
      <x:c r="N37" s="59"/>
      <x:c r="O37" s="59"/>
    </x:row>
    <x:row r="38">
      <x:c r="A38" s="59"/>
      <x:c r="B38" s="59"/>
      <x:c r="C38" s="59"/>
      <x:c r="D38" s="59"/>
      <x:c r="E38" s="59"/>
      <x:c r="F38" s="59"/>
      <x:c r="G38" s="59"/>
      <x:c r="H38" s="59"/>
      <x:c r="I38" s="59"/>
      <x:c r="J38" s="59"/>
      <x:c r="K38" s="59"/>
      <x:c r="L38" s="59"/>
      <x:c r="M38" s="59"/>
      <x:c r="N38" s="59"/>
      <x:c r="O38" s="59"/>
    </x:row>
    <x:row r="39">
      <x:c r="A39" s="59"/>
      <x:c r="B39" s="59"/>
      <x:c r="C39" s="59"/>
      <x:c r="D39" s="59"/>
      <x:c r="E39" s="59"/>
      <x:c r="F39" s="59"/>
      <x:c r="G39" s="59"/>
      <x:c r="H39" s="59"/>
      <x:c r="I39" s="59"/>
      <x:c r="J39" s="59"/>
      <x:c r="K39" s="59"/>
      <x:c r="L39" s="59"/>
      <x:c r="M39" s="59"/>
      <x:c r="N39" s="59"/>
      <x:c r="O39" s="59"/>
    </x:row>
    <x:row r="40">
      <x:c r="A40" s="59"/>
      <x:c r="B40" s="59"/>
      <x:c r="C40" s="59"/>
      <x:c r="D40" s="59"/>
      <x:c r="E40" s="59"/>
      <x:c r="F40" s="59"/>
      <x:c r="G40" s="59"/>
      <x:c r="H40" s="59"/>
      <x:c r="I40" s="59"/>
      <x:c r="J40" s="59"/>
      <x:c r="K40" s="59"/>
      <x:c r="L40" s="59"/>
      <x:c r="M40" s="59"/>
      <x:c r="N40" s="59"/>
      <x:c r="O40" s="59"/>
    </x:row>
    <x:row r="41">
      <x:c r="A41" s="59"/>
      <x:c r="B41" s="59"/>
      <x:c r="C41" s="59"/>
      <x:c r="D41" s="59"/>
      <x:c r="E41" s="59"/>
      <x:c r="F41" s="59"/>
      <x:c r="G41" s="59"/>
      <x:c r="H41" s="59"/>
      <x:c r="I41" s="59"/>
      <x:c r="J41" s="59"/>
      <x:c r="K41" s="59"/>
      <x:c r="L41" s="59"/>
      <x:c r="M41" s="59"/>
      <x:c r="N41" s="59"/>
      <x:c r="O41" s="59"/>
    </x:row>
    <x:row r="42">
      <x:c r="A42" s="59"/>
      <x:c r="B42" s="59"/>
      <x:c r="C42" s="59"/>
      <x:c r="D42" s="59"/>
      <x:c r="E42" s="59"/>
      <x:c r="F42" s="59"/>
      <x:c r="G42" s="59"/>
      <x:c r="H42" s="59"/>
      <x:c r="I42" s="59"/>
      <x:c r="J42" s="59"/>
      <x:c r="K42" s="59"/>
      <x:c r="L42" s="59"/>
      <x:c r="M42" s="59"/>
      <x:c r="N42" s="59"/>
      <x:c r="O42" s="59"/>
    </x:row>
    <x:row r="43">
      <x:c r="A43" s="59"/>
      <x:c r="B43" s="59"/>
      <x:c r="C43" s="59"/>
      <x:c r="D43" s="59"/>
      <x:c r="E43" s="59"/>
      <x:c r="F43" s="59"/>
      <x:c r="G43" s="59"/>
      <x:c r="H43" s="59"/>
      <x:c r="I43" s="59"/>
      <x:c r="J43" s="59"/>
      <x:c r="K43" s="59"/>
      <x:c r="L43" s="59"/>
      <x:c r="M43" s="59"/>
      <x:c r="N43" s="59"/>
      <x:c r="O43" s="59"/>
    </x:row>
    <x:row r="44">
      <x:c r="A44" s="59"/>
      <x:c r="B44" s="59"/>
      <x:c r="C44" s="59"/>
      <x:c r="D44" s="59"/>
      <x:c r="E44" s="59"/>
      <x:c r="F44" s="59"/>
      <x:c r="G44" s="59"/>
      <x:c r="H44" s="59"/>
      <x:c r="I44" s="59"/>
      <x:c r="J44" s="59"/>
      <x:c r="K44" s="59"/>
      <x:c r="L44" s="59"/>
      <x:c r="M44" s="59"/>
      <x:c r="N44" s="59"/>
      <x:c r="O44" s="59"/>
    </x:row>
    <x:row r="45">
      <x:c r="A45" s="59"/>
      <x:c r="B45" s="59"/>
      <x:c r="C45" s="59"/>
      <x:c r="D45" s="59"/>
      <x:c r="E45" s="59"/>
      <x:c r="F45" s="59"/>
      <x:c r="G45" s="59"/>
      <x:c r="H45" s="59"/>
      <x:c r="I45" s="59"/>
      <x:c r="J45" s="59"/>
      <x:c r="K45" s="59"/>
      <x:c r="L45" s="59"/>
      <x:c r="M45" s="59"/>
      <x:c r="N45" s="59"/>
      <x:c r="O45" s="59"/>
    </x:row>
    <x:row r="46">
      <x:c r="A46" s="59"/>
      <x:c r="B46" s="59"/>
      <x:c r="C46" s="59"/>
      <x:c r="D46" s="59"/>
      <x:c r="E46" s="59"/>
      <x:c r="F46" s="59"/>
      <x:c r="G46" s="59"/>
      <x:c r="H46" s="59"/>
      <x:c r="I46" s="59"/>
      <x:c r="J46" s="59"/>
      <x:c r="K46" s="59"/>
      <x:c r="L46" s="59"/>
      <x:c r="M46" s="59"/>
      <x:c r="N46" s="59"/>
      <x:c r="O46" s="59"/>
    </x:row>
    <x:row r="47">
      <x:c r="A47" s="59"/>
      <x:c r="B47" s="59"/>
      <x:c r="C47" s="59"/>
      <x:c r="D47" s="59"/>
      <x:c r="E47" s="59"/>
      <x:c r="F47" s="59"/>
      <x:c r="G47" s="59"/>
      <x:c r="H47" s="59"/>
      <x:c r="I47" s="59"/>
      <x:c r="J47" s="59"/>
      <x:c r="K47" s="59"/>
      <x:c r="L47" s="59"/>
      <x:c r="M47" s="59"/>
      <x:c r="N47" s="59"/>
      <x:c r="O47" s="59"/>
    </x:row>
    <x:row r="48">
      <x:c r="A48" s="59"/>
      <x:c r="B48" s="59"/>
      <x:c r="C48" s="59"/>
      <x:c r="D48" s="59"/>
      <x:c r="E48" s="59"/>
      <x:c r="F48" s="59"/>
      <x:c r="G48" s="59"/>
      <x:c r="H48" s="59"/>
      <x:c r="I48" s="59"/>
      <x:c r="J48" s="59"/>
      <x:c r="K48" s="59"/>
      <x:c r="L48" s="59"/>
      <x:c r="M48" s="59"/>
      <x:c r="N48" s="59"/>
      <x:c r="O48" s="59"/>
    </x:row>
    <x:row r="49">
      <x:c r="A49" s="59"/>
      <x:c r="B49" s="59"/>
      <x:c r="C49" s="59"/>
      <x:c r="D49" s="59"/>
      <x:c r="E49" s="59"/>
      <x:c r="F49" s="59"/>
      <x:c r="G49" s="59"/>
      <x:c r="H49" s="59"/>
      <x:c r="I49" s="59"/>
      <x:c r="J49" s="59"/>
      <x:c r="K49" s="59"/>
      <x:c r="L49" s="59"/>
      <x:c r="M49" s="59"/>
      <x:c r="N49" s="59"/>
      <x:c r="O49" s="59"/>
    </x:row>
    <x:row r="50">
      <x:c r="A50" s="59"/>
      <x:c r="B50" s="59"/>
      <x:c r="C50" s="59"/>
      <x:c r="D50" s="59"/>
      <x:c r="E50" s="59"/>
      <x:c r="F50" s="59"/>
      <x:c r="G50" s="59"/>
      <x:c r="H50" s="59"/>
      <x:c r="I50" s="59"/>
      <x:c r="J50" s="59"/>
      <x:c r="K50" s="59"/>
      <x:c r="L50" s="59"/>
      <x:c r="M50" s="59"/>
      <x:c r="N50" s="59"/>
      <x:c r="O50" s="59"/>
    </x:row>
    <x:row r="51">
      <x:c r="A51" s="59"/>
      <x:c r="B51" s="59"/>
      <x:c r="C51" s="59"/>
      <x:c r="D51" s="59"/>
      <x:c r="E51" s="59"/>
      <x:c r="F51" s="59"/>
      <x:c r="G51" s="59"/>
      <x:c r="H51" s="59"/>
      <x:c r="I51" s="59"/>
      <x:c r="J51" s="59"/>
      <x:c r="K51" s="59"/>
      <x:c r="L51" s="59"/>
      <x:c r="M51" s="59"/>
      <x:c r="N51" s="59"/>
      <x:c r="O51" s="59"/>
    </x:row>
    <x:row r="52">
      <x:c r="A52" s="59"/>
      <x:c r="B52" s="59"/>
      <x:c r="C52" s="59"/>
      <x:c r="D52" s="59"/>
      <x:c r="E52" s="59"/>
      <x:c r="F52" s="59"/>
      <x:c r="G52" s="59"/>
      <x:c r="H52" s="59"/>
      <x:c r="I52" s="59"/>
      <x:c r="J52" s="59"/>
      <x:c r="K52" s="59"/>
      <x:c r="L52" s="59"/>
      <x:c r="M52" s="59"/>
      <x:c r="N52" s="59"/>
      <x:c r="O52" s="59"/>
    </x:row>
    <x:row r="53">
      <x:c r="A53" s="59"/>
      <x:c r="B53" s="59"/>
      <x:c r="C53" s="59"/>
      <x:c r="D53" s="59"/>
      <x:c r="E53" s="59"/>
      <x:c r="F53" s="59"/>
      <x:c r="G53" s="59"/>
      <x:c r="H53" s="59"/>
      <x:c r="I53" s="59"/>
      <x:c r="J53" s="59"/>
      <x:c r="K53" s="59"/>
      <x:c r="L53" s="59"/>
      <x:c r="M53" s="59"/>
      <x:c r="N53" s="59"/>
      <x:c r="O53" s="59"/>
    </x:row>
    <x:row r="54">
      <x:c r="A54" s="59"/>
      <x:c r="B54" s="59"/>
      <x:c r="C54" s="59"/>
      <x:c r="D54" s="59"/>
      <x:c r="E54" s="59"/>
      <x:c r="F54" s="59"/>
      <x:c r="G54" s="59"/>
      <x:c r="H54" s="59"/>
      <x:c r="I54" s="59"/>
      <x:c r="J54" s="59"/>
      <x:c r="K54" s="59"/>
      <x:c r="L54" s="59"/>
      <x:c r="M54" s="59"/>
      <x:c r="N54" s="59"/>
      <x:c r="O54" s="59"/>
    </x:row>
    <x:row r="55">
      <x:c r="A55" s="59"/>
      <x:c r="B55" s="59"/>
      <x:c r="C55" s="59"/>
      <x:c r="D55" s="59"/>
      <x:c r="E55" s="59"/>
      <x:c r="F55" s="59"/>
      <x:c r="G55" s="59"/>
      <x:c r="H55" s="59"/>
      <x:c r="I55" s="59"/>
      <x:c r="J55" s="59"/>
      <x:c r="K55" s="59"/>
      <x:c r="L55" s="59"/>
      <x:c r="M55" s="59"/>
      <x:c r="N55" s="59"/>
      <x:c r="O55" s="59"/>
    </x:row>
    <x:row r="56">
      <x:c r="A56" s="59"/>
      <x:c r="B56" s="59"/>
      <x:c r="C56" s="59"/>
      <x:c r="D56" s="59"/>
      <x:c r="E56" s="59"/>
      <x:c r="F56" s="59"/>
      <x:c r="G56" s="59"/>
      <x:c r="H56" s="59"/>
      <x:c r="I56" s="59"/>
      <x:c r="J56" s="59"/>
      <x:c r="K56" s="59"/>
      <x:c r="L56" s="59"/>
      <x:c r="M56" s="59"/>
      <x:c r="N56" s="59"/>
      <x:c r="O56" s="59"/>
    </x:row>
    <x:row r="57">
      <x:c r="A57" s="59"/>
      <x:c r="B57" s="59"/>
      <x:c r="C57" s="59"/>
      <x:c r="D57" s="59"/>
      <x:c r="E57" s="59"/>
      <x:c r="F57" s="59"/>
      <x:c r="G57" s="59"/>
      <x:c r="H57" s="59"/>
      <x:c r="I57" s="59"/>
      <x:c r="J57" s="59"/>
      <x:c r="K57" s="59"/>
      <x:c r="L57" s="59"/>
      <x:c r="M57" s="59"/>
      <x:c r="N57" s="59"/>
      <x:c r="O57" s="59"/>
    </x:row>
    <x:row r="58">
      <x:c r="A58" s="59"/>
      <x:c r="B58" s="59"/>
      <x:c r="C58" s="59"/>
      <x:c r="D58" s="59"/>
      <x:c r="E58" s="59"/>
      <x:c r="F58" s="59"/>
      <x:c r="G58" s="59"/>
      <x:c r="H58" s="59"/>
      <x:c r="I58" s="59"/>
      <x:c r="J58" s="59"/>
      <x:c r="K58" s="59"/>
      <x:c r="L58" s="59"/>
      <x:c r="M58" s="59"/>
      <x:c r="N58" s="59"/>
      <x:c r="O58" s="59"/>
    </x:row>
    <x:row r="59">
      <x:c r="A59" s="59"/>
      <x:c r="B59" s="59"/>
      <x:c r="C59" s="59"/>
      <x:c r="D59" s="59"/>
      <x:c r="E59" s="59"/>
      <x:c r="F59" s="59"/>
      <x:c r="G59" s="59"/>
      <x:c r="H59" s="59"/>
      <x:c r="I59" s="59"/>
      <x:c r="J59" s="59"/>
      <x:c r="K59" s="59"/>
      <x:c r="L59" s="59"/>
      <x:c r="M59" s="59"/>
      <x:c r="N59" s="59"/>
      <x:c r="O59" s="59"/>
    </x:row>
    <x:row r="60">
      <x:c r="A60" s="59"/>
      <x:c r="B60" s="59"/>
      <x:c r="C60" s="59"/>
      <x:c r="D60" s="59"/>
      <x:c r="E60" s="59"/>
      <x:c r="F60" s="59"/>
      <x:c r="G60" s="59"/>
      <x:c r="H60" s="59"/>
      <x:c r="I60" s="59"/>
      <x:c r="J60" s="59"/>
      <x:c r="K60" s="59"/>
      <x:c r="L60" s="59"/>
      <x:c r="M60" s="59"/>
      <x:c r="N60" s="59"/>
      <x:c r="O60" s="59"/>
    </x:row>
    <x:row r="61">
      <x:c r="A61" s="59"/>
      <x:c r="B61" s="59"/>
      <x:c r="C61" s="59"/>
      <x:c r="D61" s="59"/>
      <x:c r="E61" s="59"/>
      <x:c r="F61" s="59"/>
      <x:c r="G61" s="59"/>
      <x:c r="H61" s="59"/>
      <x:c r="I61" s="59"/>
      <x:c r="J61" s="59"/>
      <x:c r="K61" s="59"/>
      <x:c r="L61" s="59"/>
      <x:c r="M61" s="59"/>
      <x:c r="N61" s="59"/>
      <x:c r="O61" s="59"/>
    </x:row>
    <x:row r="62">
      <x:c r="A62" s="59"/>
      <x:c r="B62" s="59"/>
      <x:c r="C62" s="59"/>
      <x:c r="D62" s="59"/>
      <x:c r="E62" s="59"/>
      <x:c r="F62" s="59"/>
      <x:c r="G62" s="59"/>
      <x:c r="H62" s="59"/>
      <x:c r="I62" s="59"/>
      <x:c r="J62" s="59"/>
      <x:c r="K62" s="59"/>
      <x:c r="L62" s="59"/>
      <x:c r="M62" s="59"/>
      <x:c r="N62" s="59"/>
      <x:c r="O62" s="59"/>
    </x:row>
    <x:row r="63">
      <x:c r="A63" s="59"/>
      <x:c r="B63" s="59"/>
      <x:c r="C63" s="59"/>
      <x:c r="D63" s="59"/>
      <x:c r="E63" s="59"/>
      <x:c r="F63" s="59"/>
      <x:c r="G63" s="59"/>
      <x:c r="H63" s="59"/>
      <x:c r="I63" s="59"/>
      <x:c r="J63" s="59"/>
      <x:c r="K63" s="59"/>
      <x:c r="L63" s="59"/>
      <x:c r="M63" s="59"/>
      <x:c r="N63" s="59"/>
      <x:c r="O63" s="59"/>
    </x:row>
    <x:row r="64">
      <x:c r="A64" s="59"/>
      <x:c r="B64" s="59"/>
      <x:c r="C64" s="59"/>
      <x:c r="D64" s="59"/>
      <x:c r="E64" s="59"/>
      <x:c r="F64" s="59"/>
      <x:c r="G64" s="59"/>
      <x:c r="H64" s="59"/>
      <x:c r="I64" s="59"/>
      <x:c r="J64" s="59"/>
      <x:c r="K64" s="59"/>
      <x:c r="L64" s="59"/>
      <x:c r="M64" s="59"/>
      <x:c r="N64" s="59"/>
      <x:c r="O64" s="59"/>
    </x:row>
    <x:row r="65">
      <x:c r="A65" s="59"/>
      <x:c r="B65" s="59"/>
      <x:c r="C65" s="59"/>
      <x:c r="D65" s="59"/>
      <x:c r="E65" s="59"/>
      <x:c r="F65" s="59"/>
      <x:c r="G65" s="59"/>
      <x:c r="H65" s="59"/>
      <x:c r="I65" s="59"/>
      <x:c r="J65" s="59"/>
      <x:c r="K65" s="59"/>
      <x:c r="L65" s="59"/>
      <x:c r="M65" s="59"/>
      <x:c r="N65" s="59"/>
      <x:c r="O65" s="59"/>
    </x:row>
    <x:row r="66">
      <x:c r="A66" s="59"/>
      <x:c r="B66" s="59"/>
      <x:c r="C66" s="59"/>
      <x:c r="D66" s="59"/>
      <x:c r="E66" s="59"/>
      <x:c r="F66" s="59"/>
      <x:c r="G66" s="59"/>
      <x:c r="H66" s="59"/>
      <x:c r="I66" s="59"/>
      <x:c r="J66" s="59"/>
      <x:c r="K66" s="59"/>
      <x:c r="L66" s="59"/>
      <x:c r="M66" s="59"/>
      <x:c r="N66" s="59"/>
      <x:c r="O66" s="59"/>
    </x:row>
    <x:row r="67">
      <x:c r="A67" s="59"/>
      <x:c r="B67" s="59"/>
      <x:c r="C67" s="59"/>
      <x:c r="D67" s="59"/>
      <x:c r="E67" s="59"/>
      <x:c r="F67" s="59"/>
      <x:c r="G67" s="59"/>
      <x:c r="H67" s="59"/>
      <x:c r="I67" s="59"/>
      <x:c r="J67" s="59"/>
      <x:c r="K67" s="59"/>
      <x:c r="L67" s="59"/>
      <x:c r="M67" s="59"/>
      <x:c r="N67" s="59"/>
      <x:c r="O67" s="59"/>
    </x:row>
    <x:row r="68">
      <x:c r="A68" s="59"/>
      <x:c r="B68" s="59"/>
      <x:c r="C68" s="59"/>
      <x:c r="D68" s="59"/>
      <x:c r="E68" s="59"/>
      <x:c r="F68" s="59"/>
      <x:c r="G68" s="59"/>
      <x:c r="H68" s="59"/>
      <x:c r="I68" s="59"/>
      <x:c r="J68" s="59"/>
      <x:c r="K68" s="59"/>
      <x:c r="L68" s="59"/>
      <x:c r="M68" s="59"/>
      <x:c r="N68" s="59"/>
      <x:c r="O68" s="59"/>
    </x:row>
    <x:row r="69">
      <x:c r="A69" s="59"/>
      <x:c r="B69" s="59"/>
      <x:c r="C69" s="59"/>
      <x:c r="D69" s="59"/>
      <x:c r="E69" s="59"/>
      <x:c r="F69" s="59"/>
      <x:c r="G69" s="59"/>
      <x:c r="H69" s="59"/>
      <x:c r="I69" s="59"/>
      <x:c r="J69" s="59"/>
      <x:c r="K69" s="59"/>
      <x:c r="L69" s="59"/>
      <x:c r="M69" s="59"/>
      <x:c r="N69" s="59"/>
      <x:c r="O69" s="59"/>
    </x:row>
    <x:row r="70">
      <x:c r="A70" s="59"/>
      <x:c r="B70" s="59"/>
      <x:c r="C70" s="59"/>
      <x:c r="D70" s="59"/>
      <x:c r="E70" s="59"/>
      <x:c r="F70" s="59"/>
      <x:c r="G70" s="59"/>
      <x:c r="H70" s="59"/>
      <x:c r="I70" s="59"/>
      <x:c r="J70" s="59"/>
      <x:c r="K70" s="59"/>
      <x:c r="L70" s="59"/>
      <x:c r="M70" s="59"/>
      <x:c r="N70" s="59"/>
      <x:c r="O70" s="59"/>
    </x:row>
    <x:row r="71">
      <x:c r="A71" s="59"/>
      <x:c r="B71" s="59"/>
      <x:c r="C71" s="59"/>
      <x:c r="D71" s="59"/>
      <x:c r="E71" s="59"/>
      <x:c r="F71" s="59"/>
      <x:c r="G71" s="59"/>
      <x:c r="H71" s="59"/>
      <x:c r="I71" s="59"/>
      <x:c r="J71" s="59"/>
      <x:c r="K71" s="59"/>
      <x:c r="L71" s="59"/>
      <x:c r="M71" s="59"/>
      <x:c r="N71" s="59"/>
      <x:c r="O71" s="59"/>
    </x:row>
    <x:row r="72">
      <x:c r="A72" s="59"/>
      <x:c r="B72" s="59"/>
      <x:c r="C72" s="59"/>
      <x:c r="D72" s="59"/>
      <x:c r="E72" s="59"/>
      <x:c r="F72" s="59"/>
      <x:c r="G72" s="59"/>
      <x:c r="H72" s="59"/>
      <x:c r="I72" s="59"/>
      <x:c r="J72" s="59"/>
      <x:c r="K72" s="59"/>
      <x:c r="L72" s="59"/>
      <x:c r="M72" s="59"/>
      <x:c r="N72" s="59"/>
      <x:c r="O72" s="59"/>
    </x:row>
    <x:row r="73">
      <x:c r="A73" s="59"/>
      <x:c r="B73" s="59"/>
      <x:c r="C73" s="59"/>
      <x:c r="D73" s="59"/>
      <x:c r="E73" s="59"/>
      <x:c r="F73" s="59"/>
      <x:c r="G73" s="59"/>
      <x:c r="H73" s="59"/>
      <x:c r="I73" s="59"/>
      <x:c r="J73" s="59"/>
      <x:c r="K73" s="59"/>
      <x:c r="L73" s="59"/>
      <x:c r="M73" s="59"/>
      <x:c r="N73" s="59"/>
      <x:c r="O73" s="59"/>
    </x:row>
    <x:row r="74">
      <x:c r="A74" s="59"/>
      <x:c r="B74" s="59"/>
      <x:c r="C74" s="59"/>
      <x:c r="D74" s="59"/>
      <x:c r="E74" s="59"/>
      <x:c r="F74" s="59"/>
      <x:c r="G74" s="59"/>
      <x:c r="H74" s="59"/>
      <x:c r="I74" s="59"/>
      <x:c r="J74" s="59"/>
      <x:c r="K74" s="59"/>
      <x:c r="L74" s="59"/>
      <x:c r="M74" s="59"/>
      <x:c r="N74" s="59"/>
      <x:c r="O74" s="59"/>
    </x:row>
    <x:row r="75">
      <x:c r="A75" s="59"/>
      <x:c r="B75" s="59"/>
      <x:c r="C75" s="59"/>
      <x:c r="D75" s="59"/>
      <x:c r="E75" s="59"/>
      <x:c r="F75" s="59"/>
      <x:c r="G75" s="59"/>
      <x:c r="H75" s="59"/>
      <x:c r="I75" s="59"/>
      <x:c r="J75" s="59"/>
      <x:c r="K75" s="59"/>
      <x:c r="L75" s="59"/>
      <x:c r="M75" s="59"/>
      <x:c r="N75" s="59"/>
      <x:c r="O75" s="59"/>
    </x:row>
    <x:row r="76">
      <x:c r="A76" s="59"/>
      <x:c r="B76" s="59"/>
      <x:c r="C76" s="59"/>
      <x:c r="D76" s="59"/>
      <x:c r="E76" s="59"/>
      <x:c r="F76" s="59"/>
      <x:c r="G76" s="59"/>
      <x:c r="H76" s="59"/>
      <x:c r="I76" s="59"/>
      <x:c r="J76" s="59"/>
      <x:c r="K76" s="59"/>
      <x:c r="L76" s="59"/>
      <x:c r="M76" s="59"/>
      <x:c r="N76" s="59"/>
      <x:c r="O76" s="59"/>
    </x:row>
    <x:row r="77">
      <x:c r="A77" s="59"/>
      <x:c r="B77" s="59"/>
      <x:c r="C77" s="59"/>
      <x:c r="D77" s="59"/>
      <x:c r="E77" s="59"/>
      <x:c r="F77" s="59"/>
      <x:c r="G77" s="59"/>
      <x:c r="H77" s="59"/>
      <x:c r="I77" s="59"/>
      <x:c r="J77" s="59"/>
      <x:c r="K77" s="59"/>
      <x:c r="L77" s="59"/>
      <x:c r="M77" s="59"/>
      <x:c r="N77" s="59"/>
      <x:c r="O77" s="59"/>
    </x:row>
    <x:row r="78">
      <x:c r="A78" s="59"/>
      <x:c r="B78" s="59"/>
      <x:c r="C78" s="59"/>
      <x:c r="D78" s="59"/>
      <x:c r="E78" s="59"/>
      <x:c r="F78" s="59"/>
      <x:c r="G78" s="59"/>
      <x:c r="H78" s="59"/>
      <x:c r="I78" s="59"/>
      <x:c r="J78" s="59"/>
      <x:c r="K78" s="59"/>
      <x:c r="L78" s="59"/>
      <x:c r="M78" s="59"/>
      <x:c r="N78" s="59"/>
      <x:c r="O78" s="59"/>
    </x:row>
    <x:row r="79">
      <x:c r="A79" s="59"/>
      <x:c r="B79" s="59"/>
      <x:c r="C79" s="59"/>
      <x:c r="D79" s="59"/>
      <x:c r="E79" s="59"/>
      <x:c r="F79" s="59"/>
      <x:c r="G79" s="59"/>
      <x:c r="H79" s="59"/>
      <x:c r="I79" s="59"/>
      <x:c r="J79" s="59"/>
      <x:c r="K79" s="59"/>
      <x:c r="L79" s="59"/>
      <x:c r="M79" s="59"/>
      <x:c r="N79" s="59"/>
      <x:c r="O79" s="59"/>
    </x:row>
    <x:row r="80">
      <x:c r="A80" s="59"/>
      <x:c r="B80" s="59"/>
      <x:c r="C80" s="59"/>
      <x:c r="D80" s="59"/>
      <x:c r="E80" s="59"/>
      <x:c r="F80" s="59"/>
      <x:c r="G80" s="59"/>
      <x:c r="H80" s="59"/>
      <x:c r="I80" s="59"/>
      <x:c r="J80" s="59"/>
      <x:c r="K80" s="59"/>
      <x:c r="L80" s="59"/>
      <x:c r="M80" s="59"/>
      <x:c r="N80" s="59"/>
      <x:c r="O80" s="59"/>
    </x:row>
    <x:row r="81">
      <x:c r="A81" s="59"/>
      <x:c r="B81" s="59"/>
      <x:c r="C81" s="59"/>
      <x:c r="D81" s="59"/>
      <x:c r="E81" s="59"/>
      <x:c r="F81" s="59"/>
      <x:c r="G81" s="59"/>
      <x:c r="H81" s="59"/>
      <x:c r="I81" s="59"/>
      <x:c r="J81" s="59"/>
      <x:c r="K81" s="59"/>
      <x:c r="L81" s="59"/>
      <x:c r="M81" s="59"/>
      <x:c r="N81" s="59"/>
      <x:c r="O81" s="59"/>
    </x:row>
    <x:row r="82">
      <x:c r="A82" s="59"/>
      <x:c r="B82" s="59"/>
      <x:c r="C82" s="59"/>
      <x:c r="D82" s="59"/>
      <x:c r="E82" s="59"/>
      <x:c r="F82" s="59"/>
      <x:c r="G82" s="59"/>
      <x:c r="H82" s="59"/>
      <x:c r="I82" s="59"/>
      <x:c r="J82" s="59"/>
      <x:c r="K82" s="59"/>
      <x:c r="L82" s="59"/>
      <x:c r="M82" s="59"/>
      <x:c r="N82" s="59"/>
      <x:c r="O82" s="59"/>
    </x:row>
    <x:row r="83">
      <x:c r="A83" s="59"/>
      <x:c r="B83" s="59"/>
      <x:c r="C83" s="59"/>
      <x:c r="D83" s="59"/>
      <x:c r="E83" s="59"/>
      <x:c r="F83" s="59"/>
      <x:c r="G83" s="59"/>
      <x:c r="H83" s="59"/>
      <x:c r="I83" s="59"/>
      <x:c r="J83" s="59"/>
      <x:c r="K83" s="59"/>
      <x:c r="L83" s="59"/>
      <x:c r="M83" s="59"/>
      <x:c r="N83" s="59"/>
      <x:c r="O83" s="59"/>
    </x:row>
    <x:row r="84">
      <x:c r="A84" s="59"/>
      <x:c r="B84" s="59"/>
      <x:c r="C84" s="59"/>
      <x:c r="D84" s="59"/>
      <x:c r="E84" s="59"/>
      <x:c r="F84" s="59"/>
      <x:c r="G84" s="59"/>
      <x:c r="H84" s="59"/>
      <x:c r="I84" s="59"/>
      <x:c r="J84" s="59"/>
      <x:c r="K84" s="59"/>
      <x:c r="L84" s="59"/>
      <x:c r="M84" s="59"/>
      <x:c r="N84" s="59"/>
      <x:c r="O84" s="59"/>
    </x:row>
    <x:row r="85">
      <x:c r="A85" s="59"/>
      <x:c r="B85" s="59"/>
      <x:c r="C85" s="59"/>
      <x:c r="D85" s="59"/>
      <x:c r="E85" s="59"/>
      <x:c r="F85" s="59"/>
      <x:c r="G85" s="59"/>
      <x:c r="H85" s="59"/>
      <x:c r="I85" s="59"/>
      <x:c r="J85" s="59"/>
      <x:c r="K85" s="59"/>
      <x:c r="L85" s="59"/>
      <x:c r="M85" s="59"/>
      <x:c r="N85" s="59"/>
      <x:c r="O85" s="59"/>
    </x:row>
    <x:row r="86">
      <x:c r="A86" s="59"/>
      <x:c r="B86" s="59"/>
      <x:c r="C86" s="59"/>
      <x:c r="D86" s="59"/>
      <x:c r="E86" s="59"/>
      <x:c r="F86" s="59"/>
      <x:c r="G86" s="59"/>
      <x:c r="H86" s="59"/>
      <x:c r="I86" s="59"/>
      <x:c r="J86" s="59"/>
      <x:c r="K86" s="59"/>
      <x:c r="L86" s="59"/>
      <x:c r="M86" s="59"/>
      <x:c r="N86" s="59"/>
      <x:c r="O86" s="59"/>
    </x:row>
    <x:row r="87">
      <x:c r="A87" s="59"/>
      <x:c r="B87" s="59"/>
      <x:c r="C87" s="59"/>
      <x:c r="D87" s="59"/>
      <x:c r="E87" s="59"/>
      <x:c r="F87" s="59"/>
      <x:c r="G87" s="59"/>
      <x:c r="H87" s="59"/>
      <x:c r="I87" s="59"/>
      <x:c r="J87" s="59"/>
      <x:c r="K87" s="59"/>
      <x:c r="L87" s="59"/>
      <x:c r="M87" s="59"/>
      <x:c r="N87" s="59"/>
      <x:c r="O87" s="59"/>
    </x:row>
    <x:row r="88">
      <x:c r="A88" s="59"/>
      <x:c r="B88" s="59"/>
      <x:c r="C88" s="59"/>
      <x:c r="D88" s="59"/>
      <x:c r="E88" s="59"/>
      <x:c r="F88" s="59"/>
      <x:c r="G88" s="59"/>
      <x:c r="H88" s="59"/>
      <x:c r="I88" s="59"/>
      <x:c r="J88" s="59"/>
      <x:c r="K88" s="59"/>
      <x:c r="L88" s="59"/>
      <x:c r="M88" s="59"/>
      <x:c r="N88" s="59"/>
      <x:c r="O88" s="59"/>
    </x:row>
    <x:row r="89">
      <x:c r="A89" s="59"/>
      <x:c r="B89" s="59"/>
      <x:c r="C89" s="59"/>
      <x:c r="D89" s="59"/>
      <x:c r="E89" s="59"/>
      <x:c r="F89" s="59"/>
      <x:c r="G89" s="59"/>
      <x:c r="H89" s="59"/>
      <x:c r="I89" s="59"/>
      <x:c r="J89" s="59"/>
      <x:c r="K89" s="59"/>
      <x:c r="L89" s="59"/>
      <x:c r="M89" s="59"/>
      <x:c r="N89" s="59"/>
      <x:c r="O89" s="59"/>
    </x:row>
    <x:row r="90">
      <x:c r="A90" s="59"/>
      <x:c r="B90" s="59"/>
      <x:c r="C90" s="59"/>
      <x:c r="D90" s="59"/>
      <x:c r="E90" s="59"/>
      <x:c r="F90" s="59"/>
      <x:c r="G90" s="59"/>
      <x:c r="H90" s="59"/>
      <x:c r="I90" s="59"/>
      <x:c r="J90" s="59"/>
      <x:c r="K90" s="59"/>
      <x:c r="L90" s="59"/>
      <x:c r="M90" s="59"/>
      <x:c r="N90" s="59"/>
      <x:c r="O90" s="59"/>
    </x:row>
    <x:row r="91">
      <x:c r="A91" s="59"/>
      <x:c r="B91" s="59"/>
      <x:c r="C91" s="59"/>
      <x:c r="D91" s="59"/>
      <x:c r="E91" s="59"/>
      <x:c r="F91" s="59"/>
      <x:c r="G91" s="59"/>
      <x:c r="H91" s="59"/>
      <x:c r="I91" s="59"/>
      <x:c r="J91" s="59"/>
      <x:c r="K91" s="59"/>
      <x:c r="L91" s="59"/>
      <x:c r="M91" s="59"/>
      <x:c r="N91" s="59"/>
      <x:c r="O91" s="59"/>
    </x:row>
    <x:row r="92">
      <x:c r="A92" s="59"/>
      <x:c r="B92" s="59"/>
      <x:c r="C92" s="59"/>
      <x:c r="D92" s="59"/>
      <x:c r="E92" s="59"/>
      <x:c r="F92" s="59"/>
      <x:c r="G92" s="59"/>
      <x:c r="H92" s="59"/>
      <x:c r="I92" s="59"/>
      <x:c r="J92" s="59"/>
      <x:c r="K92" s="59"/>
      <x:c r="L92" s="59"/>
      <x:c r="M92" s="59"/>
      <x:c r="N92" s="59"/>
      <x:c r="O92" s="59"/>
    </x:row>
    <x:row r="93">
      <x:c r="A93" s="59"/>
      <x:c r="B93" s="59"/>
      <x:c r="C93" s="59"/>
      <x:c r="D93" s="59"/>
      <x:c r="E93" s="59"/>
      <x:c r="F93" s="59"/>
      <x:c r="G93" s="59"/>
      <x:c r="H93" s="59"/>
      <x:c r="I93" s="59"/>
      <x:c r="J93" s="59"/>
      <x:c r="K93" s="59"/>
      <x:c r="L93" s="59"/>
      <x:c r="M93" s="59"/>
      <x:c r="N93" s="59"/>
      <x:c r="O93" s="59"/>
    </x:row>
    <x:row r="94">
      <x:c r="A94" s="59"/>
      <x:c r="B94" s="59"/>
      <x:c r="C94" s="59"/>
      <x:c r="D94" s="59"/>
      <x:c r="E94" s="59"/>
      <x:c r="F94" s="59"/>
      <x:c r="G94" s="59"/>
      <x:c r="H94" s="59"/>
      <x:c r="I94" s="59"/>
      <x:c r="J94" s="59"/>
      <x:c r="K94" s="59"/>
      <x:c r="L94" s="59"/>
      <x:c r="M94" s="59"/>
      <x:c r="N94" s="59"/>
      <x:c r="O94" s="59"/>
    </x:row>
    <x:row r="95">
      <x:c r="A95" s="59"/>
      <x:c r="B95" s="59"/>
      <x:c r="C95" s="59"/>
      <x:c r="D95" s="59"/>
      <x:c r="E95" s="59"/>
      <x:c r="F95" s="59"/>
      <x:c r="G95" s="59"/>
      <x:c r="H95" s="59"/>
      <x:c r="I95" s="59"/>
      <x:c r="J95" s="59"/>
      <x:c r="K95" s="59"/>
      <x:c r="L95" s="59"/>
      <x:c r="M95" s="59"/>
      <x:c r="N95" s="59"/>
      <x:c r="O95" s="59"/>
    </x:row>
    <x:row r="96">
      <x:c r="A96" s="59"/>
      <x:c r="B96" s="59"/>
      <x:c r="C96" s="59"/>
      <x:c r="D96" s="59"/>
      <x:c r="E96" s="59"/>
      <x:c r="F96" s="59"/>
      <x:c r="G96" s="59"/>
      <x:c r="H96" s="59"/>
      <x:c r="I96" s="59"/>
      <x:c r="J96" s="59"/>
      <x:c r="K96" s="59"/>
      <x:c r="L96" s="59"/>
      <x:c r="M96" s="59"/>
      <x:c r="N96" s="59"/>
      <x:c r="O96" s="59"/>
    </x:row>
    <x:row r="97">
      <x:c r="A97" s="59"/>
      <x:c r="B97" s="59"/>
      <x:c r="C97" s="59"/>
      <x:c r="D97" s="59"/>
      <x:c r="E97" s="59"/>
      <x:c r="F97" s="59"/>
      <x:c r="G97" s="59"/>
      <x:c r="H97" s="59"/>
      <x:c r="I97" s="59"/>
      <x:c r="J97" s="59"/>
      <x:c r="K97" s="59"/>
      <x:c r="L97" s="59"/>
      <x:c r="M97" s="59"/>
      <x:c r="N97" s="59"/>
      <x:c r="O97" s="59"/>
    </x:row>
    <x:row r="98">
      <x:c r="A98" s="59"/>
      <x:c r="B98" s="59"/>
      <x:c r="C98" s="59"/>
      <x:c r="D98" s="59"/>
      <x:c r="E98" s="59"/>
      <x:c r="F98" s="59"/>
      <x:c r="G98" s="59"/>
      <x:c r="H98" s="59"/>
      <x:c r="I98" s="59"/>
      <x:c r="J98" s="59"/>
      <x:c r="K98" s="59"/>
      <x:c r="L98" s="59"/>
      <x:c r="M98" s="59"/>
      <x:c r="N98" s="59"/>
      <x:c r="O98" s="59"/>
    </x:row>
    <x:row r="99">
      <x:c r="A99" s="59"/>
      <x:c r="B99" s="59"/>
      <x:c r="C99" s="59"/>
      <x:c r="D99" s="59"/>
      <x:c r="E99" s="59"/>
      <x:c r="F99" s="59"/>
      <x:c r="G99" s="59"/>
      <x:c r="H99" s="59"/>
      <x:c r="I99" s="59"/>
      <x:c r="J99" s="59"/>
      <x:c r="K99" s="59"/>
      <x:c r="L99" s="59"/>
      <x:c r="M99" s="59"/>
      <x:c r="N99" s="59"/>
      <x:c r="O99" s="59"/>
    </x:row>
    <x:row r="100">
      <x:c r="A100" s="59"/>
      <x:c r="B100" s="59"/>
      <x:c r="C100" s="59"/>
      <x:c r="D100" s="59"/>
      <x:c r="E100" s="59"/>
      <x:c r="F100" s="59"/>
      <x:c r="G100" s="59"/>
      <x:c r="H100" s="59"/>
      <x:c r="I100" s="59"/>
      <x:c r="J100" s="59"/>
      <x:c r="K100" s="59"/>
      <x:c r="L100" s="59"/>
      <x:c r="M100" s="59"/>
      <x:c r="N100" s="59"/>
      <x:c r="O100" s="59"/>
    </x:row>
    <x:row r="101">
      <x:c r="A101" s="59"/>
      <x:c r="B101" s="59"/>
      <x:c r="C101" s="59"/>
      <x:c r="D101" s="59"/>
      <x:c r="E101" s="59"/>
      <x:c r="F101" s="59"/>
      <x:c r="G101" s="59"/>
      <x:c r="H101" s="59"/>
      <x:c r="I101" s="59"/>
      <x:c r="J101" s="59"/>
      <x:c r="K101" s="59"/>
      <x:c r="L101" s="59"/>
      <x:c r="M101" s="59"/>
      <x:c r="N101" s="59"/>
      <x:c r="O101" s="59"/>
    </x:row>
    <x:row r="102">
      <x:c r="A102" s="59"/>
      <x:c r="B102" s="59"/>
      <x:c r="C102" s="59"/>
      <x:c r="D102" s="59"/>
      <x:c r="E102" s="59"/>
      <x:c r="F102" s="59"/>
      <x:c r="G102" s="59"/>
      <x:c r="H102" s="59"/>
      <x:c r="I102" s="59"/>
      <x:c r="J102" s="59"/>
      <x:c r="K102" s="59"/>
      <x:c r="L102" s="59"/>
      <x:c r="M102" s="59"/>
      <x:c r="N102" s="59"/>
      <x:c r="O102" s="59"/>
    </x:row>
    <x:row r="103">
      <x:c r="A103" s="59"/>
      <x:c r="B103" s="59"/>
      <x:c r="C103" s="59"/>
      <x:c r="D103" s="59"/>
      <x:c r="E103" s="59"/>
      <x:c r="F103" s="59"/>
      <x:c r="G103" s="59"/>
      <x:c r="H103" s="59"/>
      <x:c r="I103" s="59"/>
      <x:c r="J103" s="59"/>
      <x:c r="K103" s="59"/>
      <x:c r="L103" s="59"/>
      <x:c r="M103" s="59"/>
      <x:c r="N103" s="59"/>
      <x:c r="O103" s="59"/>
    </x:row>
    <x:row r="104">
      <x:c r="A104" s="59"/>
      <x:c r="B104" s="59"/>
      <x:c r="C104" s="59"/>
      <x:c r="D104" s="59"/>
      <x:c r="E104" s="59"/>
      <x:c r="F104" s="59"/>
      <x:c r="G104" s="59"/>
      <x:c r="H104" s="59"/>
      <x:c r="I104" s="59"/>
      <x:c r="J104" s="59"/>
      <x:c r="K104" s="59"/>
      <x:c r="L104" s="59"/>
      <x:c r="M104" s="59"/>
      <x:c r="N104" s="59"/>
      <x:c r="O104" s="59"/>
    </x:row>
    <x:row r="105">
      <x:c r="A105" s="59"/>
      <x:c r="B105" s="59"/>
      <x:c r="C105" s="59"/>
      <x:c r="D105" s="59"/>
      <x:c r="E105" s="59"/>
      <x:c r="F105" s="59"/>
      <x:c r="G105" s="59"/>
      <x:c r="H105" s="59"/>
      <x:c r="I105" s="59"/>
      <x:c r="J105" s="59"/>
      <x:c r="K105" s="59"/>
      <x:c r="L105" s="59"/>
      <x:c r="M105" s="59"/>
      <x:c r="N105" s="59"/>
      <x:c r="O105" s="59"/>
    </x:row>
    <x:row r="106">
      <x:c r="A106" s="59"/>
      <x:c r="B106" s="59"/>
      <x:c r="C106" s="59"/>
      <x:c r="D106" s="59"/>
      <x:c r="E106" s="59"/>
      <x:c r="F106" s="59"/>
      <x:c r="G106" s="59"/>
      <x:c r="H106" s="59"/>
      <x:c r="I106" s="59"/>
      <x:c r="J106" s="59"/>
      <x:c r="K106" s="59"/>
      <x:c r="L106" s="59"/>
      <x:c r="M106" s="59"/>
      <x:c r="N106" s="59"/>
      <x:c r="O106" s="59"/>
    </x:row>
    <x:row r="107">
      <x:c r="A107" s="59"/>
      <x:c r="B107" s="59"/>
      <x:c r="C107" s="59"/>
      <x:c r="D107" s="59"/>
      <x:c r="E107" s="59"/>
      <x:c r="F107" s="59"/>
      <x:c r="G107" s="59"/>
      <x:c r="H107" s="59"/>
      <x:c r="I107" s="59"/>
      <x:c r="J107" s="59"/>
      <x:c r="K107" s="59"/>
      <x:c r="L107" s="59"/>
      <x:c r="M107" s="59"/>
      <x:c r="N107" s="59"/>
      <x:c r="O107" s="59"/>
    </x:row>
    <x:row r="108">
      <x:c r="A108" s="59"/>
      <x:c r="B108" s="59"/>
      <x:c r="C108" s="59"/>
      <x:c r="D108" s="59"/>
      <x:c r="E108" s="59"/>
      <x:c r="F108" s="59"/>
      <x:c r="G108" s="59"/>
      <x:c r="H108" s="59"/>
      <x:c r="I108" s="59"/>
      <x:c r="J108" s="59"/>
      <x:c r="K108" s="59"/>
      <x:c r="L108" s="59"/>
      <x:c r="M108" s="59"/>
      <x:c r="N108" s="59"/>
      <x:c r="O108" s="59"/>
    </x:row>
    <x:row r="109">
      <x:c r="A109" s="59"/>
      <x:c r="B109" s="59"/>
      <x:c r="C109" s="59"/>
      <x:c r="D109" s="59"/>
      <x:c r="E109" s="59"/>
      <x:c r="F109" s="59"/>
      <x:c r="G109" s="59"/>
      <x:c r="H109" s="59"/>
      <x:c r="I109" s="59"/>
      <x:c r="J109" s="59"/>
      <x:c r="K109" s="59"/>
      <x:c r="L109" s="59"/>
      <x:c r="M109" s="59"/>
      <x:c r="N109" s="59"/>
      <x:c r="O109" s="59"/>
    </x:row>
    <x:row r="110">
      <x:c r="A110" s="59"/>
      <x:c r="B110" s="59"/>
      <x:c r="C110" s="59"/>
      <x:c r="D110" s="59"/>
      <x:c r="E110" s="59"/>
      <x:c r="F110" s="59"/>
      <x:c r="G110" s="59"/>
      <x:c r="H110" s="59"/>
      <x:c r="I110" s="59"/>
      <x:c r="J110" s="59"/>
      <x:c r="K110" s="59"/>
      <x:c r="L110" s="59"/>
      <x:c r="M110" s="59"/>
      <x:c r="N110" s="59"/>
      <x:c r="O110" s="59"/>
    </x:row>
    <x:row r="111">
      <x:c r="A111" s="59"/>
      <x:c r="B111" s="59"/>
      <x:c r="C111" s="59"/>
      <x:c r="D111" s="59"/>
      <x:c r="E111" s="59"/>
      <x:c r="F111" s="59"/>
      <x:c r="G111" s="59"/>
      <x:c r="H111" s="59"/>
      <x:c r="I111" s="59"/>
      <x:c r="J111" s="59"/>
      <x:c r="K111" s="59"/>
      <x:c r="L111" s="59"/>
      <x:c r="M111" s="59"/>
      <x:c r="N111" s="59"/>
      <x:c r="O111" s="59"/>
    </x:row>
    <x:row r="112">
      <x:c r="A112" s="59"/>
      <x:c r="B112" s="59"/>
      <x:c r="C112" s="59"/>
      <x:c r="D112" s="59"/>
      <x:c r="E112" s="59"/>
      <x:c r="F112" s="59"/>
      <x:c r="G112" s="59"/>
      <x:c r="H112" s="59"/>
      <x:c r="I112" s="59"/>
      <x:c r="J112" s="59"/>
      <x:c r="K112" s="59"/>
      <x:c r="L112" s="59"/>
      <x:c r="M112" s="59"/>
      <x:c r="N112" s="59"/>
      <x:c r="O112" s="59"/>
    </x:row>
    <x:row r="113">
      <x:c r="A113" s="59"/>
      <x:c r="B113" s="59"/>
      <x:c r="C113" s="59"/>
      <x:c r="D113" s="59"/>
      <x:c r="E113" s="59"/>
      <x:c r="F113" s="59"/>
      <x:c r="G113" s="59"/>
      <x:c r="H113" s="59"/>
      <x:c r="I113" s="59"/>
      <x:c r="J113" s="59"/>
      <x:c r="K113" s="59"/>
      <x:c r="L113" s="59"/>
      <x:c r="M113" s="59"/>
      <x:c r="N113" s="59"/>
      <x:c r="O113" s="59"/>
    </x:row>
    <x:row r="114">
      <x:c r="A114" s="59"/>
      <x:c r="B114" s="59"/>
      <x:c r="C114" s="59"/>
      <x:c r="D114" s="59"/>
      <x:c r="E114" s="59"/>
      <x:c r="F114" s="59"/>
      <x:c r="G114" s="59"/>
      <x:c r="H114" s="59"/>
      <x:c r="I114" s="59"/>
      <x:c r="J114" s="59"/>
      <x:c r="K114" s="59"/>
      <x:c r="L114" s="59"/>
      <x:c r="M114" s="59"/>
      <x:c r="N114" s="59"/>
      <x:c r="O114" s="59"/>
    </x:row>
    <x:row r="115">
      <x:c r="A115" s="59"/>
      <x:c r="B115" s="59"/>
      <x:c r="C115" s="59"/>
      <x:c r="D115" s="59"/>
      <x:c r="E115" s="59"/>
      <x:c r="F115" s="59"/>
      <x:c r="G115" s="59"/>
      <x:c r="H115" s="59"/>
      <x:c r="I115" s="59"/>
      <x:c r="J115" s="59"/>
      <x:c r="K115" s="59"/>
      <x:c r="L115" s="59"/>
      <x:c r="M115" s="59"/>
      <x:c r="N115" s="59"/>
      <x:c r="O115" s="59"/>
    </x:row>
    <x:row r="116">
      <x:c r="A116" s="59"/>
      <x:c r="B116" s="59"/>
      <x:c r="C116" s="59"/>
      <x:c r="D116" s="59"/>
      <x:c r="E116" s="59"/>
      <x:c r="F116" s="59"/>
      <x:c r="G116" s="59"/>
      <x:c r="H116" s="59"/>
      <x:c r="I116" s="59"/>
      <x:c r="J116" s="59"/>
      <x:c r="K116" s="59"/>
      <x:c r="L116" s="59"/>
      <x:c r="M116" s="59"/>
      <x:c r="N116" s="59"/>
      <x:c r="O116" s="59"/>
    </x:row>
    <x:row r="117">
      <x:c r="A117" s="59"/>
      <x:c r="B117" s="59"/>
      <x:c r="C117" s="59"/>
      <x:c r="D117" s="59"/>
      <x:c r="E117" s="59"/>
      <x:c r="F117" s="59"/>
      <x:c r="G117" s="59"/>
      <x:c r="H117" s="59"/>
      <x:c r="I117" s="59"/>
      <x:c r="J117" s="59"/>
      <x:c r="K117" s="59"/>
      <x:c r="L117" s="59"/>
      <x:c r="M117" s="59"/>
      <x:c r="N117" s="59"/>
      <x:c r="O117" s="59"/>
    </x:row>
    <x:row r="118">
      <x:c r="A118" s="59"/>
      <x:c r="B118" s="59"/>
      <x:c r="C118" s="59"/>
      <x:c r="D118" s="59"/>
      <x:c r="E118" s="59"/>
      <x:c r="F118" s="59"/>
      <x:c r="G118" s="59"/>
      <x:c r="H118" s="59"/>
      <x:c r="I118" s="59"/>
      <x:c r="J118" s="59"/>
      <x:c r="K118" s="59"/>
      <x:c r="L118" s="59"/>
      <x:c r="M118" s="59"/>
      <x:c r="N118" s="59"/>
      <x:c r="O118" s="59"/>
    </x:row>
    <x:row r="119">
      <x:c r="A119" s="59"/>
      <x:c r="B119" s="59"/>
      <x:c r="C119" s="59"/>
      <x:c r="D119" s="59"/>
      <x:c r="E119" s="59"/>
      <x:c r="F119" s="59"/>
      <x:c r="G119" s="59"/>
      <x:c r="H119" s="59"/>
      <x:c r="I119" s="59"/>
      <x:c r="J119" s="59"/>
      <x:c r="K119" s="59"/>
      <x:c r="L119" s="59"/>
      <x:c r="M119" s="59"/>
      <x:c r="N119" s="59"/>
      <x:c r="O119" s="59"/>
    </x:row>
    <x:row r="120">
      <x:c r="A120" s="59"/>
      <x:c r="B120" s="59"/>
      <x:c r="C120" s="59"/>
      <x:c r="D120" s="59"/>
      <x:c r="E120" s="59"/>
      <x:c r="F120" s="59"/>
      <x:c r="G120" s="59"/>
      <x:c r="H120" s="59"/>
      <x:c r="I120" s="59"/>
      <x:c r="J120" s="59"/>
      <x:c r="K120" s="59"/>
      <x:c r="L120" s="59"/>
      <x:c r="M120" s="59"/>
      <x:c r="N120" s="59"/>
      <x:c r="O120" s="59"/>
    </x:row>
    <x:row r="121">
      <x:c r="A121" s="59"/>
      <x:c r="B121" s="59"/>
      <x:c r="C121" s="59"/>
      <x:c r="D121" s="59"/>
      <x:c r="E121" s="59"/>
      <x:c r="F121" s="59"/>
      <x:c r="G121" s="59"/>
      <x:c r="H121" s="59"/>
      <x:c r="I121" s="59"/>
      <x:c r="J121" s="59"/>
      <x:c r="K121" s="59"/>
      <x:c r="L121" s="59"/>
      <x:c r="M121" s="59"/>
      <x:c r="N121" s="59"/>
      <x:c r="O121" s="59"/>
    </x:row>
    <x:row r="122">
      <x:c r="A122" s="59"/>
      <x:c r="B122" s="59"/>
      <x:c r="C122" s="59"/>
      <x:c r="D122" s="59"/>
      <x:c r="E122" s="59"/>
      <x:c r="F122" s="59"/>
      <x:c r="G122" s="59"/>
      <x:c r="H122" s="59"/>
      <x:c r="I122" s="59"/>
      <x:c r="J122" s="59"/>
      <x:c r="K122" s="59"/>
      <x:c r="L122" s="59"/>
      <x:c r="M122" s="59"/>
      <x:c r="N122" s="59"/>
      <x:c r="O122" s="59"/>
    </x:row>
    <x:row r="123">
      <x:c r="A123" s="59"/>
      <x:c r="B123" s="59"/>
      <x:c r="C123" s="59"/>
      <x:c r="D123" s="59"/>
      <x:c r="E123" s="59"/>
      <x:c r="F123" s="59"/>
      <x:c r="G123" s="59"/>
      <x:c r="H123" s="59"/>
      <x:c r="I123" s="59"/>
      <x:c r="J123" s="59"/>
      <x:c r="K123" s="59"/>
      <x:c r="L123" s="59"/>
      <x:c r="M123" s="59"/>
      <x:c r="N123" s="59"/>
      <x:c r="O123" s="59"/>
    </x:row>
    <x:row r="124">
      <x:c r="A124" s="59"/>
      <x:c r="B124" s="59"/>
      <x:c r="C124" s="59"/>
      <x:c r="D124" s="59"/>
      <x:c r="E124" s="59"/>
      <x:c r="F124" s="59"/>
      <x:c r="G124" s="59"/>
      <x:c r="H124" s="59"/>
      <x:c r="I124" s="59"/>
      <x:c r="J124" s="59"/>
      <x:c r="K124" s="59"/>
      <x:c r="L124" s="59"/>
      <x:c r="M124" s="59"/>
      <x:c r="N124" s="59"/>
      <x:c r="O124" s="59"/>
    </x:row>
    <x:row r="125">
      <x:c r="A125" s="59"/>
      <x:c r="B125" s="59"/>
      <x:c r="C125" s="59"/>
      <x:c r="D125" s="59"/>
      <x:c r="E125" s="59"/>
      <x:c r="F125" s="59"/>
      <x:c r="G125" s="59"/>
      <x:c r="H125" s="59"/>
      <x:c r="I125" s="59"/>
      <x:c r="J125" s="59"/>
      <x:c r="K125" s="59"/>
      <x:c r="L125" s="59"/>
      <x:c r="M125" s="59"/>
      <x:c r="N125" s="59"/>
      <x:c r="O125" s="59"/>
    </x:row>
    <x:row r="126">
      <x:c r="A126" s="59"/>
      <x:c r="B126" s="59"/>
      <x:c r="C126" s="59"/>
      <x:c r="D126" s="59"/>
      <x:c r="E126" s="59"/>
      <x:c r="F126" s="59"/>
      <x:c r="G126" s="59"/>
      <x:c r="H126" s="59"/>
      <x:c r="I126" s="59"/>
      <x:c r="J126" s="59"/>
      <x:c r="K126" s="59"/>
      <x:c r="L126" s="59"/>
      <x:c r="M126" s="59"/>
      <x:c r="N126" s="59"/>
      <x:c r="O126" s="59"/>
    </x:row>
    <x:row r="127">
      <x:c r="A127" s="59"/>
      <x:c r="B127" s="59"/>
      <x:c r="C127" s="59"/>
      <x:c r="D127" s="59"/>
      <x:c r="E127" s="59"/>
      <x:c r="F127" s="59"/>
      <x:c r="G127" s="59"/>
      <x:c r="H127" s="59"/>
      <x:c r="I127" s="59"/>
      <x:c r="J127" s="59"/>
      <x:c r="K127" s="59"/>
      <x:c r="L127" s="59"/>
      <x:c r="M127" s="59"/>
      <x:c r="N127" s="59"/>
      <x:c r="O127" s="59"/>
    </x:row>
    <x:row r="128">
      <x:c r="A128" s="59"/>
      <x:c r="B128" s="59"/>
      <x:c r="C128" s="59"/>
      <x:c r="D128" s="59"/>
      <x:c r="E128" s="59"/>
      <x:c r="F128" s="59"/>
      <x:c r="G128" s="59"/>
      <x:c r="H128" s="59"/>
      <x:c r="I128" s="59"/>
      <x:c r="J128" s="59"/>
      <x:c r="K128" s="59"/>
      <x:c r="L128" s="59"/>
      <x:c r="M128" s="59"/>
      <x:c r="N128" s="59"/>
      <x:c r="O128" s="59"/>
    </x:row>
    <x:row r="129">
      <x:c r="A129" s="59"/>
      <x:c r="B129" s="59"/>
      <x:c r="C129" s="59"/>
      <x:c r="D129" s="59"/>
      <x:c r="E129" s="59"/>
      <x:c r="F129" s="59"/>
      <x:c r="G129" s="59"/>
      <x:c r="H129" s="59"/>
      <x:c r="I129" s="59"/>
      <x:c r="J129" s="59"/>
      <x:c r="K129" s="59"/>
      <x:c r="L129" s="59"/>
      <x:c r="M129" s="59"/>
      <x:c r="N129" s="59"/>
      <x:c r="O129" s="59"/>
    </x:row>
    <x:row r="130">
      <x:c r="A130" s="59"/>
      <x:c r="B130" s="59"/>
      <x:c r="C130" s="59"/>
      <x:c r="D130" s="59"/>
      <x:c r="E130" s="59"/>
      <x:c r="F130" s="59"/>
      <x:c r="G130" s="59"/>
      <x:c r="H130" s="59"/>
      <x:c r="I130" s="59"/>
      <x:c r="J130" s="59"/>
      <x:c r="K130" s="59"/>
      <x:c r="L130" s="59"/>
      <x:c r="M130" s="59"/>
      <x:c r="N130" s="59"/>
      <x:c r="O130" s="59"/>
    </x:row>
    <x:row r="131">
      <x:c r="A131" s="59"/>
      <x:c r="B131" s="59"/>
      <x:c r="C131" s="59"/>
      <x:c r="D131" s="59"/>
      <x:c r="E131" s="59"/>
      <x:c r="F131" s="59"/>
      <x:c r="G131" s="59"/>
      <x:c r="H131" s="59"/>
      <x:c r="I131" s="59"/>
      <x:c r="J131" s="59"/>
      <x:c r="K131" s="59"/>
      <x:c r="L131" s="59"/>
      <x:c r="M131" s="59"/>
      <x:c r="N131" s="59"/>
      <x:c r="O131" s="59"/>
    </x:row>
    <x:row r="132">
      <x:c r="A132" s="59"/>
      <x:c r="B132" s="59"/>
      <x:c r="C132" s="59"/>
      <x:c r="D132" s="59"/>
      <x:c r="E132" s="59"/>
      <x:c r="F132" s="59"/>
      <x:c r="G132" s="59"/>
      <x:c r="H132" s="59"/>
      <x:c r="I132" s="59"/>
      <x:c r="J132" s="59"/>
      <x:c r="K132" s="59"/>
      <x:c r="L132" s="59"/>
      <x:c r="M132" s="59"/>
      <x:c r="N132" s="59"/>
      <x:c r="O132" s="59"/>
    </x:row>
    <x:row r="133">
      <x:c r="A133" s="59"/>
      <x:c r="B133" s="59"/>
      <x:c r="C133" s="59"/>
      <x:c r="D133" s="59"/>
      <x:c r="E133" s="59"/>
      <x:c r="F133" s="59"/>
      <x:c r="G133" s="59"/>
      <x:c r="H133" s="59"/>
      <x:c r="I133" s="59"/>
      <x:c r="J133" s="59"/>
      <x:c r="K133" s="59"/>
      <x:c r="L133" s="59"/>
      <x:c r="M133" s="59"/>
      <x:c r="N133" s="59"/>
      <x:c r="O133" s="59"/>
    </x:row>
    <x:row r="134">
      <x:c r="A134" s="59"/>
      <x:c r="B134" s="59"/>
      <x:c r="C134" s="59"/>
      <x:c r="D134" s="59"/>
      <x:c r="E134" s="59"/>
      <x:c r="F134" s="59"/>
      <x:c r="G134" s="59"/>
      <x:c r="H134" s="59"/>
      <x:c r="I134" s="59"/>
      <x:c r="J134" s="59"/>
      <x:c r="K134" s="59"/>
      <x:c r="L134" s="59"/>
      <x:c r="M134" s="59"/>
      <x:c r="N134" s="59"/>
      <x:c r="O134" s="59"/>
    </x:row>
    <x:row r="135">
      <x:c r="A135" s="59"/>
      <x:c r="B135" s="59"/>
      <x:c r="C135" s="59"/>
      <x:c r="D135" s="59"/>
      <x:c r="E135" s="59"/>
      <x:c r="F135" s="59"/>
      <x:c r="G135" s="59"/>
      <x:c r="H135" s="59"/>
      <x:c r="I135" s="59"/>
      <x:c r="J135" s="59"/>
      <x:c r="K135" s="59"/>
      <x:c r="L135" s="59"/>
      <x:c r="M135" s="59"/>
      <x:c r="N135" s="59"/>
      <x:c r="O135" s="59"/>
    </x:row>
    <x:row r="136">
      <x:c r="A136" s="59"/>
      <x:c r="B136" s="59"/>
      <x:c r="C136" s="59"/>
      <x:c r="D136" s="59"/>
      <x:c r="E136" s="59"/>
      <x:c r="F136" s="59"/>
      <x:c r="G136" s="59"/>
      <x:c r="H136" s="59"/>
      <x:c r="I136" s="59"/>
      <x:c r="J136" s="59"/>
      <x:c r="K136" s="59"/>
      <x:c r="L136" s="59"/>
      <x:c r="M136" s="59"/>
      <x:c r="N136" s="59"/>
      <x:c r="O136" s="59"/>
    </x:row>
    <x:row r="137">
      <x:c r="A137" s="59"/>
      <x:c r="B137" s="59"/>
      <x:c r="C137" s="59"/>
      <x:c r="D137" s="59"/>
      <x:c r="E137" s="59"/>
      <x:c r="F137" s="59"/>
      <x:c r="G137" s="59"/>
      <x:c r="H137" s="59"/>
      <x:c r="I137" s="59"/>
      <x:c r="J137" s="59"/>
      <x:c r="K137" s="59"/>
      <x:c r="L137" s="59"/>
      <x:c r="M137" s="59"/>
      <x:c r="N137" s="59"/>
      <x:c r="O137" s="59"/>
    </x:row>
    <x:row r="138">
      <x:c r="A138" s="59"/>
      <x:c r="B138" s="59"/>
      <x:c r="C138" s="59"/>
      <x:c r="D138" s="59"/>
      <x:c r="E138" s="59"/>
      <x:c r="F138" s="59"/>
      <x:c r="G138" s="59"/>
      <x:c r="H138" s="59"/>
      <x:c r="I138" s="59"/>
      <x:c r="J138" s="59"/>
      <x:c r="K138" s="59"/>
      <x:c r="L138" s="59"/>
      <x:c r="M138" s="59"/>
      <x:c r="N138" s="59"/>
      <x:c r="O138" s="59"/>
    </x:row>
    <x:row r="139">
      <x:c r="A139" s="59"/>
      <x:c r="B139" s="59"/>
      <x:c r="C139" s="59"/>
      <x:c r="D139" s="59"/>
      <x:c r="E139" s="59"/>
      <x:c r="F139" s="59"/>
      <x:c r="G139" s="59"/>
      <x:c r="H139" s="59"/>
      <x:c r="I139" s="59"/>
      <x:c r="J139" s="59"/>
      <x:c r="K139" s="59"/>
      <x:c r="L139" s="59"/>
      <x:c r="M139" s="59"/>
      <x:c r="N139" s="59"/>
      <x:c r="O139" s="59"/>
    </x:row>
    <x:row r="140">
      <x:c r="A140" s="59"/>
      <x:c r="B140" s="59"/>
      <x:c r="C140" s="59"/>
      <x:c r="D140" s="59"/>
      <x:c r="E140" s="59"/>
      <x:c r="F140" s="59"/>
      <x:c r="G140" s="59"/>
      <x:c r="H140" s="59"/>
      <x:c r="I140" s="59"/>
      <x:c r="J140" s="59"/>
      <x:c r="K140" s="59"/>
      <x:c r="L140" s="59"/>
      <x:c r="M140" s="59"/>
      <x:c r="N140" s="59"/>
      <x:c r="O140" s="59"/>
    </x:row>
    <x:row r="141">
      <x:c r="A141" s="59"/>
      <x:c r="B141" s="59"/>
      <x:c r="C141" s="59"/>
      <x:c r="D141" s="59"/>
      <x:c r="E141" s="59"/>
      <x:c r="F141" s="59"/>
      <x:c r="G141" s="59"/>
      <x:c r="H141" s="59"/>
      <x:c r="I141" s="59"/>
      <x:c r="J141" s="59"/>
      <x:c r="K141" s="59"/>
      <x:c r="L141" s="59"/>
      <x:c r="M141" s="59"/>
      <x:c r="N141" s="59"/>
      <x:c r="O141" s="59"/>
    </x:row>
    <x:row r="142">
      <x:c r="A142" s="59"/>
      <x:c r="B142" s="59"/>
      <x:c r="C142" s="59"/>
      <x:c r="D142" s="59"/>
      <x:c r="E142" s="59"/>
      <x:c r="F142" s="59"/>
      <x:c r="G142" s="59"/>
      <x:c r="H142" s="59"/>
      <x:c r="I142" s="59"/>
      <x:c r="J142" s="59"/>
      <x:c r="K142" s="59"/>
      <x:c r="L142" s="59"/>
      <x:c r="M142" s="59"/>
      <x:c r="N142" s="59"/>
      <x:c r="O142" s="59"/>
    </x:row>
    <x:row r="143">
      <x:c r="A143" s="59"/>
      <x:c r="B143" s="59"/>
      <x:c r="C143" s="59"/>
      <x:c r="D143" s="59"/>
      <x:c r="E143" s="59"/>
      <x:c r="F143" s="59"/>
      <x:c r="G143" s="59"/>
      <x:c r="H143" s="59"/>
      <x:c r="I143" s="59"/>
      <x:c r="J143" s="59"/>
      <x:c r="K143" s="59"/>
      <x:c r="L143" s="59"/>
      <x:c r="M143" s="59"/>
      <x:c r="N143" s="59"/>
      <x:c r="O143" s="59"/>
    </x:row>
    <x:row r="144">
      <x:c r="A144" s="59"/>
      <x:c r="B144" s="59"/>
      <x:c r="C144" s="59"/>
      <x:c r="D144" s="59"/>
      <x:c r="E144" s="59"/>
      <x:c r="F144" s="59"/>
      <x:c r="G144" s="59"/>
      <x:c r="H144" s="59"/>
      <x:c r="I144" s="59"/>
      <x:c r="J144" s="59"/>
      <x:c r="K144" s="59"/>
      <x:c r="L144" s="59"/>
      <x:c r="M144" s="59"/>
      <x:c r="N144" s="59"/>
      <x:c r="O144" s="59"/>
    </x:row>
    <x:row r="145">
      <x:c r="A145" s="59"/>
      <x:c r="B145" s="59"/>
      <x:c r="C145" s="59"/>
      <x:c r="D145" s="59"/>
      <x:c r="E145" s="59"/>
      <x:c r="F145" s="59"/>
      <x:c r="G145" s="59"/>
      <x:c r="H145" s="59"/>
      <x:c r="I145" s="59"/>
      <x:c r="J145" s="59"/>
      <x:c r="K145" s="59"/>
      <x:c r="L145" s="59"/>
      <x:c r="M145" s="59"/>
      <x:c r="N145" s="59"/>
      <x:c r="O145" s="59"/>
    </x:row>
    <x:row r="146">
      <x:c r="A146" s="59"/>
      <x:c r="B146" s="59"/>
      <x:c r="C146" s="59"/>
      <x:c r="D146" s="59"/>
      <x:c r="E146" s="59"/>
      <x:c r="F146" s="59"/>
      <x:c r="G146" s="59"/>
      <x:c r="H146" s="59"/>
      <x:c r="I146" s="59"/>
      <x:c r="J146" s="59"/>
      <x:c r="K146" s="59"/>
      <x:c r="L146" s="59"/>
      <x:c r="M146" s="59"/>
      <x:c r="N146" s="59"/>
      <x:c r="O146" s="59"/>
    </x:row>
    <x:row r="147">
      <x:c r="A147" s="59"/>
      <x:c r="B147" s="59"/>
      <x:c r="C147" s="59"/>
      <x:c r="D147" s="59"/>
      <x:c r="E147" s="59"/>
      <x:c r="F147" s="59"/>
      <x:c r="G147" s="59"/>
      <x:c r="H147" s="59"/>
      <x:c r="I147" s="59"/>
      <x:c r="J147" s="59"/>
      <x:c r="K147" s="59"/>
      <x:c r="L147" s="59"/>
      <x:c r="M147" s="59"/>
      <x:c r="N147" s="59"/>
      <x:c r="O147" s="59"/>
    </x:row>
    <x:row r="148">
      <x:c r="A148" s="59"/>
      <x:c r="B148" s="59"/>
      <x:c r="C148" s="59"/>
      <x:c r="D148" s="59"/>
      <x:c r="E148" s="59"/>
      <x:c r="F148" s="59"/>
      <x:c r="G148" s="59"/>
      <x:c r="H148" s="59"/>
      <x:c r="I148" s="59"/>
      <x:c r="J148" s="59"/>
      <x:c r="K148" s="59"/>
      <x:c r="L148" s="59"/>
      <x:c r="M148" s="59"/>
      <x:c r="N148" s="59"/>
      <x:c r="O148" s="59"/>
    </x:row>
    <x:row r="149">
      <x:c r="A149" s="59"/>
      <x:c r="B149" s="59"/>
      <x:c r="C149" s="59"/>
      <x:c r="D149" s="59"/>
      <x:c r="E149" s="59"/>
      <x:c r="F149" s="59"/>
      <x:c r="G149" s="59"/>
      <x:c r="H149" s="59"/>
      <x:c r="I149" s="59"/>
      <x:c r="J149" s="59"/>
      <x:c r="K149" s="59"/>
      <x:c r="L149" s="59"/>
      <x:c r="M149" s="59"/>
      <x:c r="N149" s="59"/>
      <x:c r="O149" s="59"/>
    </x:row>
    <x:row r="150">
      <x:c r="A150" s="59"/>
      <x:c r="B150" s="59"/>
      <x:c r="C150" s="59"/>
      <x:c r="D150" s="59"/>
      <x:c r="E150" s="59"/>
      <x:c r="F150" s="59"/>
      <x:c r="G150" s="59"/>
      <x:c r="H150" s="59"/>
      <x:c r="I150" s="59"/>
      <x:c r="J150" s="59"/>
      <x:c r="K150" s="59"/>
      <x:c r="L150" s="59"/>
      <x:c r="M150" s="59"/>
      <x:c r="N150" s="59"/>
      <x:c r="O150" s="59"/>
    </x:row>
    <x:row r="151">
      <x:c r="A151" s="59"/>
      <x:c r="B151" s="59"/>
      <x:c r="C151" s="59"/>
      <x:c r="D151" s="59"/>
      <x:c r="E151" s="59"/>
      <x:c r="F151" s="59"/>
      <x:c r="G151" s="59"/>
      <x:c r="H151" s="59"/>
      <x:c r="I151" s="59"/>
      <x:c r="J151" s="59"/>
      <x:c r="K151" s="59"/>
      <x:c r="L151" s="59"/>
      <x:c r="M151" s="59"/>
      <x:c r="N151" s="59"/>
      <x:c r="O151" s="59"/>
    </x:row>
    <x:row r="152">
      <x:c r="A152" s="59"/>
      <x:c r="B152" s="59"/>
      <x:c r="C152" s="59"/>
      <x:c r="D152" s="59"/>
      <x:c r="E152" s="59"/>
      <x:c r="F152" s="59"/>
      <x:c r="G152" s="59"/>
      <x:c r="H152" s="59"/>
      <x:c r="I152" s="59"/>
      <x:c r="J152" s="59"/>
      <x:c r="K152" s="59"/>
      <x:c r="L152" s="59"/>
      <x:c r="M152" s="59"/>
      <x:c r="N152" s="59"/>
      <x:c r="O152" s="59"/>
    </x:row>
    <x:row r="153">
      <x:c r="A153" s="59"/>
      <x:c r="B153" s="59"/>
      <x:c r="C153" s="59"/>
      <x:c r="D153" s="59"/>
      <x:c r="E153" s="59"/>
      <x:c r="F153" s="59"/>
      <x:c r="G153" s="59"/>
      <x:c r="H153" s="59"/>
      <x:c r="I153" s="59"/>
      <x:c r="J153" s="59"/>
      <x:c r="K153" s="59"/>
      <x:c r="L153" s="59"/>
      <x:c r="M153" s="59"/>
      <x:c r="N153" s="59"/>
      <x:c r="O153" s="59"/>
    </x:row>
    <x:row r="154">
      <x:c r="A154" s="59"/>
      <x:c r="B154" s="59"/>
      <x:c r="C154" s="59"/>
      <x:c r="D154" s="59"/>
      <x:c r="E154" s="59"/>
      <x:c r="F154" s="59"/>
      <x:c r="G154" s="59"/>
      <x:c r="H154" s="59"/>
      <x:c r="I154" s="59"/>
      <x:c r="J154" s="59"/>
      <x:c r="K154" s="59"/>
      <x:c r="L154" s="59"/>
      <x:c r="M154" s="59"/>
      <x:c r="N154" s="59"/>
      <x:c r="O154" s="59"/>
    </x:row>
    <x:row r="155">
      <x:c r="A155" s="59"/>
      <x:c r="B155" s="59"/>
      <x:c r="C155" s="59"/>
      <x:c r="D155" s="59"/>
      <x:c r="E155" s="59"/>
      <x:c r="F155" s="59"/>
      <x:c r="G155" s="59"/>
      <x:c r="H155" s="59"/>
      <x:c r="I155" s="59"/>
      <x:c r="J155" s="59"/>
      <x:c r="K155" s="59"/>
      <x:c r="L155" s="59"/>
      <x:c r="M155" s="59"/>
      <x:c r="N155" s="59"/>
      <x:c r="O155" s="59"/>
    </x:row>
    <x:row r="156">
      <x:c r="A156" s="59"/>
      <x:c r="B156" s="59"/>
      <x:c r="C156" s="59"/>
      <x:c r="D156" s="59"/>
      <x:c r="E156" s="59"/>
      <x:c r="F156" s="59"/>
      <x:c r="G156" s="59"/>
      <x:c r="H156" s="59"/>
      <x:c r="I156" s="59"/>
      <x:c r="J156" s="59"/>
      <x:c r="K156" s="59"/>
      <x:c r="L156" s="59"/>
      <x:c r="M156" s="59"/>
      <x:c r="N156" s="59"/>
      <x:c r="O156" s="59"/>
    </x:row>
    <x:row r="157">
      <x:c r="A157" s="59"/>
      <x:c r="B157" s="59"/>
      <x:c r="C157" s="59"/>
      <x:c r="D157" s="59"/>
      <x:c r="E157" s="59"/>
      <x:c r="F157" s="59"/>
      <x:c r="G157" s="59"/>
      <x:c r="H157" s="59"/>
      <x:c r="I157" s="59"/>
      <x:c r="J157" s="59"/>
      <x:c r="K157" s="59"/>
      <x:c r="L157" s="59"/>
      <x:c r="M157" s="59"/>
      <x:c r="N157" s="59"/>
      <x:c r="O157" s="59"/>
    </x:row>
    <x:row r="158">
      <x:c r="A158" s="59"/>
      <x:c r="B158" s="59"/>
      <x:c r="C158" s="59"/>
      <x:c r="D158" s="59"/>
      <x:c r="E158" s="59"/>
      <x:c r="F158" s="59"/>
      <x:c r="G158" s="59"/>
      <x:c r="H158" s="59"/>
      <x:c r="I158" s="59"/>
      <x:c r="J158" s="59"/>
      <x:c r="K158" s="59"/>
      <x:c r="L158" s="59"/>
      <x:c r="M158" s="59"/>
      <x:c r="N158" s="59"/>
      <x:c r="O158" s="59"/>
    </x:row>
    <x:row r="159">
      <x:c r="A159" s="59"/>
      <x:c r="B159" s="59"/>
      <x:c r="C159" s="59"/>
      <x:c r="D159" s="59"/>
      <x:c r="E159" s="59"/>
      <x:c r="F159" s="59"/>
      <x:c r="G159" s="59"/>
      <x:c r="H159" s="59"/>
      <x:c r="I159" s="59"/>
      <x:c r="J159" s="59"/>
      <x:c r="K159" s="59"/>
      <x:c r="L159" s="59"/>
      <x:c r="M159" s="59"/>
      <x:c r="N159" s="59"/>
      <x:c r="O159" s="59"/>
    </x:row>
    <x:row r="160">
      <x:c r="A160" s="59"/>
      <x:c r="B160" s="59"/>
      <x:c r="C160" s="59"/>
      <x:c r="D160" s="59"/>
      <x:c r="E160" s="59"/>
      <x:c r="F160" s="59"/>
      <x:c r="G160" s="59"/>
      <x:c r="H160" s="59"/>
      <x:c r="I160" s="59"/>
      <x:c r="J160" s="59"/>
      <x:c r="K160" s="59"/>
      <x:c r="L160" s="59"/>
      <x:c r="M160" s="59"/>
      <x:c r="N160" s="59"/>
      <x:c r="O160" s="59"/>
    </x:row>
    <x:row r="161">
      <x:c r="A161" s="59"/>
      <x:c r="B161" s="59"/>
      <x:c r="C161" s="59"/>
      <x:c r="D161" s="59"/>
      <x:c r="E161" s="59"/>
      <x:c r="F161" s="59"/>
      <x:c r="G161" s="59"/>
      <x:c r="H161" s="59"/>
      <x:c r="I161" s="59"/>
      <x:c r="J161" s="59"/>
      <x:c r="K161" s="59"/>
      <x:c r="L161" s="59"/>
      <x:c r="M161" s="59"/>
      <x:c r="N161" s="59"/>
      <x:c r="O161" s="59"/>
    </x:row>
    <x:row r="162">
      <x:c r="A162" s="59"/>
      <x:c r="B162" s="59"/>
      <x:c r="C162" s="59"/>
      <x:c r="D162" s="59"/>
      <x:c r="E162" s="59"/>
      <x:c r="F162" s="59"/>
      <x:c r="G162" s="59"/>
      <x:c r="H162" s="59"/>
      <x:c r="I162" s="59"/>
      <x:c r="J162" s="59"/>
      <x:c r="K162" s="59"/>
      <x:c r="L162" s="59"/>
      <x:c r="M162" s="59"/>
      <x:c r="N162" s="59"/>
      <x:c r="O162" s="59"/>
    </x:row>
    <x:row r="163">
      <x:c r="A163" s="59"/>
      <x:c r="B163" s="59"/>
      <x:c r="C163" s="59"/>
      <x:c r="D163" s="59"/>
      <x:c r="E163" s="59"/>
      <x:c r="F163" s="59"/>
      <x:c r="G163" s="59"/>
      <x:c r="H163" s="59"/>
      <x:c r="I163" s="59"/>
      <x:c r="J163" s="59"/>
      <x:c r="K163" s="59"/>
      <x:c r="L163" s="59"/>
      <x:c r="M163" s="59"/>
      <x:c r="N163" s="59"/>
      <x:c r="O163" s="59"/>
    </x:row>
    <x:row r="164">
      <x:c r="A164" s="59"/>
      <x:c r="B164" s="59"/>
      <x:c r="C164" s="59"/>
      <x:c r="D164" s="59"/>
      <x:c r="E164" s="59"/>
      <x:c r="F164" s="59"/>
      <x:c r="G164" s="59"/>
      <x:c r="H164" s="59"/>
      <x:c r="I164" s="59"/>
      <x:c r="J164" s="59"/>
      <x:c r="K164" s="59"/>
      <x:c r="L164" s="59"/>
      <x:c r="M164" s="59"/>
      <x:c r="N164" s="59"/>
      <x:c r="O164" s="59"/>
    </x:row>
    <x:row r="165">
      <x:c r="A165" s="59"/>
      <x:c r="B165" s="59"/>
      <x:c r="C165" s="59"/>
      <x:c r="D165" s="59"/>
      <x:c r="E165" s="59"/>
      <x:c r="F165" s="59"/>
      <x:c r="G165" s="59"/>
      <x:c r="H165" s="59"/>
      <x:c r="I165" s="59"/>
      <x:c r="J165" s="59"/>
      <x:c r="K165" s="59"/>
      <x:c r="L165" s="59"/>
      <x:c r="M165" s="59"/>
      <x:c r="N165" s="59"/>
      <x:c r="O165" s="59"/>
    </x:row>
    <x:row r="166">
      <x:c r="A166" s="59"/>
      <x:c r="B166" s="59"/>
      <x:c r="C166" s="59"/>
      <x:c r="D166" s="59"/>
      <x:c r="E166" s="59"/>
      <x:c r="F166" s="59"/>
      <x:c r="G166" s="59"/>
      <x:c r="H166" s="59"/>
      <x:c r="I166" s="59"/>
      <x:c r="J166" s="59"/>
      <x:c r="K166" s="59"/>
      <x:c r="L166" s="59"/>
      <x:c r="M166" s="59"/>
      <x:c r="N166" s="59"/>
      <x:c r="O166" s="59"/>
    </x:row>
    <x:row r="167">
      <x:c r="A167" s="59"/>
      <x:c r="B167" s="59"/>
      <x:c r="C167" s="59"/>
      <x:c r="D167" s="59"/>
      <x:c r="E167" s="59"/>
      <x:c r="F167" s="59"/>
      <x:c r="G167" s="59"/>
      <x:c r="H167" s="59"/>
      <x:c r="I167" s="59"/>
      <x:c r="J167" s="59"/>
      <x:c r="K167" s="59"/>
      <x:c r="L167" s="59"/>
      <x:c r="M167" s="59"/>
      <x:c r="N167" s="59"/>
      <x:c r="O167" s="59"/>
    </x:row>
    <x:row r="168">
      <x:c r="A168" s="59"/>
      <x:c r="B168" s="59"/>
      <x:c r="C168" s="59"/>
      <x:c r="D168" s="59"/>
      <x:c r="E168" s="59"/>
      <x:c r="F168" s="59"/>
      <x:c r="G168" s="59"/>
      <x:c r="H168" s="59"/>
      <x:c r="I168" s="59"/>
      <x:c r="J168" s="59"/>
      <x:c r="K168" s="59"/>
      <x:c r="L168" s="59"/>
      <x:c r="M168" s="59"/>
      <x:c r="N168" s="59"/>
      <x:c r="O168" s="59"/>
    </x:row>
    <x:row r="169">
      <x:c r="A169" s="59"/>
      <x:c r="B169" s="59"/>
      <x:c r="C169" s="59"/>
      <x:c r="D169" s="59"/>
      <x:c r="E169" s="59"/>
      <x:c r="F169" s="59"/>
      <x:c r="G169" s="59"/>
      <x:c r="H169" s="59"/>
      <x:c r="I169" s="59"/>
      <x:c r="J169" s="59"/>
      <x:c r="K169" s="59"/>
      <x:c r="L169" s="59"/>
      <x:c r="M169" s="59"/>
      <x:c r="N169" s="59"/>
      <x:c r="O169" s="59"/>
    </x:row>
    <x:row r="170">
      <x:c r="A170" s="59"/>
      <x:c r="B170" s="59"/>
      <x:c r="C170" s="59"/>
      <x:c r="D170" s="59"/>
      <x:c r="E170" s="59"/>
      <x:c r="F170" s="59"/>
      <x:c r="G170" s="59"/>
      <x:c r="H170" s="59"/>
      <x:c r="I170" s="59"/>
      <x:c r="J170" s="59"/>
      <x:c r="K170" s="59"/>
      <x:c r="L170" s="59"/>
      <x:c r="M170" s="59"/>
      <x:c r="N170" s="59"/>
      <x:c r="O170" s="59"/>
    </x:row>
    <x:row r="171">
      <x:c r="A171" s="59"/>
      <x:c r="B171" s="59"/>
      <x:c r="C171" s="59"/>
      <x:c r="D171" s="59"/>
      <x:c r="E171" s="59"/>
      <x:c r="F171" s="59"/>
      <x:c r="G171" s="59"/>
      <x:c r="H171" s="59"/>
      <x:c r="I171" s="59"/>
      <x:c r="J171" s="59"/>
      <x:c r="K171" s="59"/>
      <x:c r="L171" s="59"/>
      <x:c r="M171" s="59"/>
      <x:c r="N171" s="59"/>
      <x:c r="O171" s="59"/>
    </x:row>
    <x:row r="172">
      <x:c r="A172" s="59"/>
      <x:c r="B172" s="59"/>
      <x:c r="C172" s="59"/>
      <x:c r="D172" s="59"/>
      <x:c r="E172" s="59"/>
      <x:c r="F172" s="59"/>
      <x:c r="G172" s="59"/>
      <x:c r="H172" s="59"/>
      <x:c r="I172" s="59"/>
      <x:c r="J172" s="59"/>
      <x:c r="K172" s="59"/>
      <x:c r="L172" s="59"/>
      <x:c r="M172" s="59"/>
      <x:c r="N172" s="59"/>
      <x:c r="O172" s="59"/>
    </x:row>
    <x:row r="173">
      <x:c r="A173" s="59"/>
      <x:c r="B173" s="59"/>
      <x:c r="C173" s="59"/>
      <x:c r="D173" s="59"/>
      <x:c r="E173" s="59"/>
      <x:c r="F173" s="59"/>
      <x:c r="G173" s="59"/>
      <x:c r="H173" s="59"/>
      <x:c r="I173" s="59"/>
      <x:c r="J173" s="59"/>
      <x:c r="K173" s="59"/>
      <x:c r="L173" s="59"/>
      <x:c r="M173" s="59"/>
      <x:c r="N173" s="59"/>
      <x:c r="O173" s="59"/>
    </x:row>
    <x:row r="174">
      <x:c r="A174" s="59"/>
      <x:c r="B174" s="59"/>
      <x:c r="C174" s="59"/>
      <x:c r="D174" s="59"/>
      <x:c r="E174" s="59"/>
      <x:c r="F174" s="59"/>
      <x:c r="G174" s="59"/>
      <x:c r="H174" s="59"/>
      <x:c r="I174" s="59"/>
      <x:c r="J174" s="59"/>
      <x:c r="K174" s="59"/>
      <x:c r="L174" s="59"/>
      <x:c r="M174" s="59"/>
      <x:c r="N174" s="59"/>
      <x:c r="O174" s="59"/>
    </x:row>
    <x:row r="175">
      <x:c r="A175" s="59"/>
      <x:c r="B175" s="59"/>
      <x:c r="C175" s="59"/>
      <x:c r="D175" s="59"/>
      <x:c r="E175" s="59"/>
      <x:c r="F175" s="59"/>
      <x:c r="G175" s="59"/>
      <x:c r="H175" s="59"/>
      <x:c r="I175" s="59"/>
      <x:c r="J175" s="59"/>
      <x:c r="K175" s="59"/>
      <x:c r="L175" s="59"/>
      <x:c r="M175" s="59"/>
      <x:c r="N175" s="59"/>
      <x:c r="O175" s="59"/>
    </x:row>
    <x:row r="176">
      <x:c r="A176" s="59"/>
      <x:c r="B176" s="59"/>
      <x:c r="C176" s="59"/>
      <x:c r="D176" s="59"/>
      <x:c r="E176" s="59"/>
      <x:c r="F176" s="59"/>
      <x:c r="G176" s="59"/>
      <x:c r="H176" s="59"/>
      <x:c r="I176" s="59"/>
      <x:c r="J176" s="59"/>
      <x:c r="K176" s="59"/>
      <x:c r="L176" s="59"/>
      <x:c r="M176" s="59"/>
      <x:c r="N176" s="59"/>
      <x:c r="O176" s="59"/>
    </x:row>
    <x:row r="177">
      <x:c r="A177" s="59"/>
      <x:c r="B177" s="59"/>
      <x:c r="C177" s="59"/>
      <x:c r="D177" s="59"/>
      <x:c r="E177" s="59"/>
      <x:c r="F177" s="59"/>
      <x:c r="G177" s="59"/>
      <x:c r="H177" s="59"/>
      <x:c r="I177" s="59"/>
      <x:c r="J177" s="59"/>
      <x:c r="K177" s="59"/>
      <x:c r="L177" s="59"/>
      <x:c r="M177" s="59"/>
      <x:c r="N177" s="59"/>
      <x:c r="O177" s="59"/>
    </x:row>
    <x:row r="178">
      <x:c r="A178" s="59"/>
      <x:c r="B178" s="59"/>
      <x:c r="C178" s="59"/>
      <x:c r="D178" s="59"/>
      <x:c r="E178" s="59"/>
      <x:c r="F178" s="59"/>
      <x:c r="G178" s="59"/>
      <x:c r="H178" s="59"/>
      <x:c r="I178" s="59"/>
      <x:c r="J178" s="59"/>
      <x:c r="K178" s="59"/>
      <x:c r="L178" s="59"/>
      <x:c r="M178" s="59"/>
      <x:c r="N178" s="59"/>
      <x:c r="O178" s="59"/>
    </x:row>
    <x:row r="179">
      <x:c r="A179" s="59"/>
      <x:c r="B179" s="59"/>
      <x:c r="C179" s="59"/>
      <x:c r="D179" s="59"/>
      <x:c r="E179" s="59"/>
      <x:c r="F179" s="59"/>
      <x:c r="G179" s="59"/>
      <x:c r="H179" s="59"/>
      <x:c r="I179" s="59"/>
      <x:c r="J179" s="59"/>
      <x:c r="K179" s="59"/>
      <x:c r="L179" s="59"/>
      <x:c r="M179" s="59"/>
      <x:c r="N179" s="59"/>
      <x:c r="O179" s="59"/>
    </x:row>
    <x:row r="180">
      <x:c r="A180" s="59"/>
      <x:c r="B180" s="59"/>
      <x:c r="C180" s="59"/>
      <x:c r="D180" s="59"/>
      <x:c r="E180" s="59"/>
      <x:c r="F180" s="59"/>
      <x:c r="G180" s="59"/>
      <x:c r="H180" s="59"/>
      <x:c r="I180" s="59"/>
      <x:c r="J180" s="59"/>
      <x:c r="K180" s="59"/>
      <x:c r="L180" s="59"/>
      <x:c r="M180" s="59"/>
      <x:c r="N180" s="59"/>
      <x:c r="O180" s="59"/>
    </x:row>
    <x:row r="181">
      <x:c r="A181" s="59"/>
      <x:c r="B181" s="59"/>
      <x:c r="C181" s="59"/>
      <x:c r="D181" s="59"/>
      <x:c r="E181" s="59"/>
      <x:c r="F181" s="59"/>
      <x:c r="G181" s="59"/>
      <x:c r="H181" s="59"/>
      <x:c r="I181" s="59"/>
      <x:c r="J181" s="59"/>
      <x:c r="K181" s="59"/>
      <x:c r="L181" s="59"/>
      <x:c r="M181" s="59"/>
      <x:c r="N181" s="59"/>
      <x:c r="O181" s="59"/>
    </x:row>
    <x:row r="182">
      <x:c r="A182" s="59"/>
      <x:c r="B182" s="59"/>
      <x:c r="C182" s="59"/>
      <x:c r="D182" s="59"/>
      <x:c r="E182" s="59"/>
      <x:c r="F182" s="59"/>
      <x:c r="G182" s="59"/>
      <x:c r="H182" s="59"/>
      <x:c r="I182" s="59"/>
      <x:c r="J182" s="59"/>
      <x:c r="K182" s="59"/>
      <x:c r="L182" s="59"/>
      <x:c r="M182" s="59"/>
      <x:c r="N182" s="59"/>
      <x:c r="O182" s="59"/>
    </x:row>
    <x:row r="183">
      <x:c r="A183" s="59"/>
      <x:c r="B183" s="59"/>
      <x:c r="C183" s="59"/>
      <x:c r="D183" s="59"/>
      <x:c r="E183" s="59"/>
      <x:c r="F183" s="59"/>
      <x:c r="G183" s="59"/>
      <x:c r="H183" s="59"/>
      <x:c r="I183" s="59"/>
      <x:c r="J183" s="59"/>
      <x:c r="K183" s="59"/>
      <x:c r="L183" s="59"/>
      <x:c r="M183" s="59"/>
      <x:c r="N183" s="59"/>
      <x:c r="O183" s="59"/>
    </x:row>
    <x:row r="184">
      <x:c r="A184" s="59"/>
      <x:c r="B184" s="59"/>
      <x:c r="C184" s="59"/>
      <x:c r="D184" s="59"/>
      <x:c r="E184" s="59"/>
      <x:c r="F184" s="59"/>
      <x:c r="G184" s="59"/>
      <x:c r="H184" s="59"/>
      <x:c r="I184" s="59"/>
      <x:c r="J184" s="59"/>
      <x:c r="K184" s="59"/>
      <x:c r="L184" s="59"/>
      <x:c r="M184" s="59"/>
      <x:c r="N184" s="59"/>
      <x:c r="O184" s="59"/>
    </x:row>
    <x:row r="185">
      <x:c r="A185" s="59"/>
      <x:c r="B185" s="59"/>
      <x:c r="C185" s="59"/>
      <x:c r="D185" s="59"/>
      <x:c r="E185" s="59"/>
      <x:c r="F185" s="59"/>
      <x:c r="G185" s="59"/>
      <x:c r="H185" s="59"/>
      <x:c r="I185" s="59"/>
      <x:c r="J185" s="59"/>
      <x:c r="K185" s="59"/>
      <x:c r="L185" s="59"/>
      <x:c r="M185" s="59"/>
      <x:c r="N185" s="59"/>
      <x:c r="O185" s="59"/>
    </x:row>
    <x:row r="186">
      <x:c r="A186" s="59"/>
      <x:c r="B186" s="59"/>
      <x:c r="C186" s="59"/>
      <x:c r="D186" s="59"/>
      <x:c r="E186" s="59"/>
      <x:c r="F186" s="59"/>
      <x:c r="G186" s="59"/>
      <x:c r="H186" s="59"/>
      <x:c r="I186" s="59"/>
      <x:c r="J186" s="59"/>
      <x:c r="K186" s="59"/>
      <x:c r="L186" s="59"/>
      <x:c r="M186" s="59"/>
      <x:c r="N186" s="59"/>
      <x:c r="O186" s="59"/>
    </x:row>
    <x:row r="187">
      <x:c r="A187" s="59"/>
      <x:c r="B187" s="59"/>
      <x:c r="C187" s="59"/>
      <x:c r="D187" s="59"/>
      <x:c r="E187" s="59"/>
      <x:c r="F187" s="59"/>
      <x:c r="G187" s="59"/>
      <x:c r="H187" s="59"/>
      <x:c r="I187" s="59"/>
      <x:c r="J187" s="59"/>
      <x:c r="K187" s="59"/>
      <x:c r="L187" s="59"/>
      <x:c r="M187" s="59"/>
      <x:c r="N187" s="59"/>
      <x:c r="O187" s="59"/>
    </x:row>
    <x:row r="188">
      <x:c r="A188" s="59"/>
      <x:c r="B188" s="59"/>
      <x:c r="C188" s="59"/>
      <x:c r="D188" s="59"/>
      <x:c r="E188" s="59"/>
      <x:c r="F188" s="59"/>
      <x:c r="G188" s="59"/>
      <x:c r="H188" s="59"/>
      <x:c r="I188" s="59"/>
      <x:c r="J188" s="59"/>
      <x:c r="K188" s="59"/>
      <x:c r="L188" s="59"/>
      <x:c r="M188" s="59"/>
      <x:c r="N188" s="59"/>
      <x:c r="O188" s="59"/>
    </x:row>
    <x:row r="189">
      <x:c r="A189" s="59"/>
      <x:c r="B189" s="59"/>
      <x:c r="C189" s="59"/>
      <x:c r="D189" s="59"/>
      <x:c r="E189" s="59"/>
      <x:c r="F189" s="59"/>
      <x:c r="G189" s="59"/>
      <x:c r="H189" s="59"/>
      <x:c r="I189" s="59"/>
      <x:c r="J189" s="59"/>
      <x:c r="K189" s="59"/>
      <x:c r="L189" s="59"/>
      <x:c r="M189" s="59"/>
      <x:c r="N189" s="59"/>
      <x:c r="O189" s="59"/>
    </x:row>
    <x:row r="190">
      <x:c r="A190" s="59"/>
      <x:c r="B190" s="59"/>
      <x:c r="C190" s="59"/>
      <x:c r="D190" s="59"/>
      <x:c r="E190" s="59"/>
      <x:c r="F190" s="59"/>
      <x:c r="G190" s="59"/>
      <x:c r="H190" s="59"/>
      <x:c r="I190" s="59"/>
      <x:c r="J190" s="59"/>
      <x:c r="K190" s="59"/>
      <x:c r="L190" s="59"/>
      <x:c r="M190" s="59"/>
      <x:c r="N190" s="59"/>
      <x:c r="O190" s="59"/>
    </x:row>
    <x:row r="191">
      <x:c r="A191" s="59"/>
      <x:c r="B191" s="59"/>
      <x:c r="C191" s="59"/>
      <x:c r="D191" s="59"/>
      <x:c r="E191" s="59"/>
      <x:c r="F191" s="59"/>
      <x:c r="G191" s="59"/>
      <x:c r="H191" s="59"/>
      <x:c r="I191" s="59"/>
      <x:c r="J191" s="59"/>
      <x:c r="K191" s="59"/>
      <x:c r="L191" s="59"/>
      <x:c r="M191" s="59"/>
      <x:c r="N191" s="59"/>
      <x:c r="O191" s="59"/>
    </x:row>
    <x:row r="192">
      <x:c r="A192" s="59"/>
      <x:c r="B192" s="59"/>
      <x:c r="C192" s="59"/>
      <x:c r="D192" s="59"/>
      <x:c r="E192" s="59"/>
      <x:c r="F192" s="59"/>
      <x:c r="G192" s="59"/>
      <x:c r="H192" s="59"/>
      <x:c r="I192" s="59"/>
      <x:c r="J192" s="59"/>
      <x:c r="K192" s="59"/>
      <x:c r="L192" s="59"/>
      <x:c r="M192" s="59"/>
      <x:c r="N192" s="59"/>
      <x:c r="O192" s="59"/>
    </x:row>
    <x:row r="193">
      <x:c r="A193" s="59"/>
      <x:c r="B193" s="59"/>
      <x:c r="C193" s="59"/>
      <x:c r="D193" s="59"/>
      <x:c r="E193" s="59"/>
      <x:c r="F193" s="59"/>
      <x:c r="G193" s="59"/>
      <x:c r="H193" s="59"/>
      <x:c r="I193" s="59"/>
      <x:c r="J193" s="59"/>
      <x:c r="K193" s="59"/>
      <x:c r="L193" s="59"/>
      <x:c r="M193" s="59"/>
      <x:c r="N193" s="59"/>
      <x:c r="O193" s="59"/>
    </x:row>
    <x:row r="194">
      <x:c r="A194" s="59"/>
      <x:c r="B194" s="59"/>
      <x:c r="C194" s="59"/>
      <x:c r="D194" s="59"/>
      <x:c r="E194" s="59"/>
      <x:c r="F194" s="59"/>
      <x:c r="G194" s="59"/>
      <x:c r="H194" s="59"/>
      <x:c r="I194" s="59"/>
      <x:c r="J194" s="59"/>
      <x:c r="K194" s="59"/>
      <x:c r="L194" s="59"/>
      <x:c r="M194" s="59"/>
      <x:c r="N194" s="59"/>
      <x:c r="O194" s="59"/>
    </x:row>
    <x:row r="195">
      <x:c r="A195" s="59"/>
      <x:c r="B195" s="59"/>
      <x:c r="C195" s="59"/>
      <x:c r="D195" s="59"/>
      <x:c r="E195" s="59"/>
      <x:c r="F195" s="59"/>
      <x:c r="G195" s="59"/>
      <x:c r="H195" s="59"/>
      <x:c r="I195" s="59"/>
      <x:c r="J195" s="59"/>
      <x:c r="K195" s="59"/>
      <x:c r="L195" s="59"/>
      <x:c r="M195" s="59"/>
      <x:c r="N195" s="59"/>
      <x:c r="O195" s="59"/>
    </x:row>
    <x:row r="196">
      <x:c r="A196" s="59"/>
      <x:c r="B196" s="59"/>
      <x:c r="C196" s="59"/>
      <x:c r="D196" s="59"/>
      <x:c r="E196" s="59"/>
      <x:c r="F196" s="59"/>
      <x:c r="G196" s="59"/>
      <x:c r="H196" s="59"/>
      <x:c r="I196" s="59"/>
      <x:c r="J196" s="59"/>
      <x:c r="K196" s="59"/>
      <x:c r="L196" s="59"/>
      <x:c r="M196" s="59"/>
      <x:c r="N196" s="59"/>
      <x:c r="O196" s="59"/>
    </x:row>
    <x:row r="197">
      <x:c r="A197" s="59"/>
      <x:c r="B197" s="59"/>
      <x:c r="C197" s="59"/>
      <x:c r="D197" s="59"/>
      <x:c r="E197" s="59"/>
      <x:c r="F197" s="59"/>
      <x:c r="G197" s="59"/>
      <x:c r="H197" s="59"/>
      <x:c r="I197" s="59"/>
      <x:c r="J197" s="59"/>
      <x:c r="K197" s="59"/>
      <x:c r="L197" s="59"/>
      <x:c r="M197" s="59"/>
      <x:c r="N197" s="59"/>
      <x:c r="O197" s="59"/>
    </x:row>
    <x:row r="198">
      <x:c r="A198" s="59"/>
      <x:c r="B198" s="59"/>
      <x:c r="C198" s="59"/>
      <x:c r="D198" s="59"/>
      <x:c r="E198" s="59"/>
      <x:c r="F198" s="59"/>
      <x:c r="G198" s="59"/>
      <x:c r="H198" s="59"/>
      <x:c r="I198" s="59"/>
      <x:c r="J198" s="59"/>
      <x:c r="K198" s="59"/>
      <x:c r="L198" s="59"/>
      <x:c r="M198" s="59"/>
      <x:c r="N198" s="59"/>
      <x:c r="O198" s="59"/>
    </x:row>
    <x:row r="199">
      <x:c r="A199" s="59"/>
      <x:c r="B199" s="59"/>
      <x:c r="C199" s="59"/>
      <x:c r="D199" s="59"/>
      <x:c r="E199" s="59"/>
      <x:c r="F199" s="59"/>
      <x:c r="G199" s="59"/>
      <x:c r="H199" s="59"/>
      <x:c r="I199" s="59"/>
      <x:c r="J199" s="59"/>
      <x:c r="K199" s="59"/>
      <x:c r="L199" s="59"/>
      <x:c r="M199" s="59"/>
      <x:c r="N199" s="59"/>
      <x:c r="O199" s="59"/>
    </x:row>
    <x:row r="200">
      <x:c r="A200" s="59"/>
      <x:c r="B200" s="59"/>
      <x:c r="C200" s="59"/>
      <x:c r="D200" s="59"/>
      <x:c r="E200" s="59"/>
      <x:c r="F200" s="59"/>
      <x:c r="G200" s="59"/>
      <x:c r="H200" s="59"/>
      <x:c r="I200" s="59"/>
      <x:c r="J200" s="59"/>
      <x:c r="K200" s="59"/>
      <x:c r="L200" s="59"/>
      <x:c r="M200" s="59"/>
      <x:c r="N200" s="59"/>
      <x:c r="O200" s="59"/>
    </x:row>
  </x:sheetData>
  <x:mergeCells>
    <x:mergeCell ref="A1:H1"/>
    <x:mergeCell ref="A2:H2"/>
    <x:mergeCell ref="A3:H3"/>
    <x:mergeCell ref="A5:H5"/>
    <x:mergeCell ref="A14:H14"/>
    <x:mergeCell ref="A21:H21"/>
    <x:mergeCell ref="A28:H30"/>
  </x:mergeCells>
  <x:pageMargins left="0.7" right="0.7" top="0.75" bottom="0.75" header="0.3" footer="0.3"/>
</x:worksheet>
</file>