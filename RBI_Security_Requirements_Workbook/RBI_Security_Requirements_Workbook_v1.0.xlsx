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drawings/drawing2.xml" ContentType="application/vnd.openxmlformats-officedocument.drawing+xml"/>
  <Override PartName="/xl/drawings/charts/chart5.xml" ContentType="application/vnd.openxmlformats-officedocument.drawingml.char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2017fde65e74da1" /></Relationships>
</file>

<file path=xl/workbook.xml><?xml version="1.0" encoding="utf-8"?>
<x:workbook xmlns:x="http://schemas.openxmlformats.org/spreadsheetml/2006/main">
  <x:sheets>
    <x:sheet xmlns:r="http://schemas.openxmlformats.org/officeDocument/2006/relationships" name="Read Me" sheetId="1" r:id="Rcdac5cce79a3479f"/>
    <x:sheet xmlns:r="http://schemas.openxmlformats.org/officeDocument/2006/relationships" name="Dashboard" sheetId="2" r:id="R18721924e17d4d09"/>
    <x:sheet xmlns:r="http://schemas.openxmlformats.org/officeDocument/2006/relationships" name="Requirements" sheetId="3" r:id="R415a9a82b53e4179"/>
    <x:sheet xmlns:r="http://schemas.openxmlformats.org/officeDocument/2006/relationships" name="Threat Coverage" sheetId="4" r:id="R1aac1e968b1d41bc"/>
    <x:sheet xmlns:r="http://schemas.openxmlformats.org/officeDocument/2006/relationships" name="Protocol Matrix" sheetId="5" r:id="R0189d288ca4c4f32"/>
    <x:sheet xmlns:r="http://schemas.openxmlformats.org/officeDocument/2006/relationships" name="Extensions &amp; Plugins" sheetId="6" r:id="R1f2d941cf35040f4"/>
    <x:sheet xmlns:r="http://schemas.openxmlformats.org/officeDocument/2006/relationships" name="Vendor Scorecard" sheetId="7" r:id="R38d08480d803413e"/>
    <x:sheet xmlns:r="http://schemas.openxmlformats.org/officeDocument/2006/relationships" name="Sources" sheetId="8" r:id="Rac6b163804b84544"/>
    <x:sheet xmlns:r="http://schemas.openxmlformats.org/officeDocument/2006/relationships" name="Lists" sheetId="9" r:id="R7650c4a24bde458b"/>
    <x:sheet xmlns:r="http://schemas.openxmlformats.org/officeDocument/2006/relationships" name="Vendor Architecture" sheetId="10" r:id="R5344364f5c0246d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yyyy-mm-dd"/>
  </x:numFmts>
  <x:fonts count="8">
    <x:font>
      <x:sz val="11"/>
      <x:name val="Carlito"/>
    </x:font>
    <x:font>
      <x:b/>
      <x:sz val="10"/>
      <x:color rgb="FFFFFFFF"/>
      <x:name val="Carlito"/>
    </x:font>
    <x:font>
      <x:b/>
      <x:sz val="20"/>
      <x:color rgb="FFFFFFFF"/>
      <x:name val="Carlito"/>
    </x:font>
    <x:font>
      <x:i/>
      <x:sz val="10"/>
      <x:color rgb="FFFFFFFF"/>
      <x:name val="Carlito"/>
    </x:font>
    <x:font>
      <x:b/>
      <x:sz val="12"/>
      <x:color rgb="FFFFFFFF"/>
      <x:name val="Carlito"/>
    </x:font>
    <x:font>
      <x:b/>
      <x:sz val="11"/>
      <x:color rgb="FF0B1F33"/>
      <x:name val="Carlito"/>
    </x:font>
    <x:font>
      <x:i/>
      <x:sz val="11"/>
      <x:color rgb="FF0B1F33"/>
      <x:name val="Carlito"/>
    </x:font>
    <x:font>
      <x:b/>
      <x:sz val="22"/>
      <x:color rgb="FF0B1F33"/>
      <x:name val="Carlito"/>
    </x:font>
  </x:fonts>
  <x:fills count="27">
    <x:fill>
      <x:patternFill patternType="none"/>
    </x:fill>
    <x:fill>
      <x:patternFill patternType="gray125"/>
    </x:fill>
    <x:fill>
      <x:patternFill patternType="solid">
        <x:fgColor rgb="FF0F6B78"/>
      </x:patternFill>
    </x:fill>
    <x:fill>
      <x:patternFill patternType="solid">
        <x:fgColor rgb="FF0B1F33"/>
      </x:patternFill>
    </x:fill>
    <x:fill>
      <x:patternFill patternType="solid">
        <x:fgColor rgb="FF17365D"/>
      </x:patternFill>
    </x:fill>
    <x:fill>
      <x:patternFill patternType="solid">
        <x:fgColor rgb="FFDDEBF7"/>
      </x:patternFill>
    </x:fill>
    <x:fill>
      <x:patternFill patternType="solid">
        <x:fgColor rgb="FFEAF2F8"/>
      </x:patternFill>
    </x:fill>
    <x:fill>
      <x:patternFill patternType="solid">
        <x:fgColor rgb="FFFFFFFF"/>
      </x:patternFill>
    </x:fill>
    <x:fill>
      <x:patternFill patternType="solid">
        <x:fgColor rgb="FF0B1F33"/>
      </x:patternFill>
    </x:fill>
    <x:fill>
      <x:patternFill patternType="solid">
        <x:fgColor rgb="FF17365D"/>
      </x:patternFill>
    </x:fill>
    <x:fill>
      <x:patternFill patternType="solid">
        <x:fgColor rgb="FFEAF2F8"/>
      </x:patternFill>
    </x:fill>
    <x:fill>
      <x:patternFill patternType="solid">
        <x:fgColor rgb="FF0F6B78"/>
      </x:patternFill>
    </x:fill>
    <x:fill>
      <x:patternFill patternType="solid">
        <x:fgColor rgb="FFDDEBF7"/>
      </x:patternFill>
    </x:fill>
    <x:fill>
      <x:patternFill patternType="solid">
        <x:fgColor rgb="FF0B1F33"/>
      </x:patternFill>
    </x:fill>
    <x:fill>
      <x:patternFill patternType="solid">
        <x:fgColor rgb="FF17365D"/>
      </x:patternFill>
    </x:fill>
    <x:fill>
      <x:patternFill patternType="solid">
        <x:fgColor rgb="FFEAF2F8"/>
      </x:patternFill>
    </x:fill>
    <x:fill>
      <x:patternFill patternType="solid">
        <x:fgColor rgb="FF0F6B78"/>
      </x:patternFill>
    </x:fill>
    <x:fill>
      <x:patternFill patternType="solid">
        <x:fgColor rgb="FFFFFFFF"/>
      </x:patternFill>
    </x:fill>
    <x:fill>
      <x:patternFill patternType="solid">
        <x:fgColor rgb="FFDDEBF7"/>
      </x:patternFill>
    </x:fill>
    <x:fill>
      <x:patternFill patternType="solid">
        <x:fgColor rgb="FF0B1F33"/>
      </x:patternFill>
    </x:fill>
    <x:fill>
      <x:patternFill patternType="solid">
        <x:fgColor rgb="FF17365D"/>
      </x:patternFill>
    </x:fill>
    <x:fill>
      <x:patternFill patternType="solid">
        <x:fgColor rgb="FF0F6B78"/>
      </x:patternFill>
    </x:fill>
    <x:fill>
      <x:patternFill patternType="solid">
        <x:fgColor rgb="FFDDEBF7"/>
      </x:patternFill>
    </x:fill>
    <x:fill>
      <x:patternFill patternType="solid">
        <x:fgColor rgb="FF0B1F33"/>
      </x:patternFill>
    </x:fill>
    <x:fill>
      <x:patternFill patternType="solid">
        <x:fgColor rgb="FF17365D"/>
      </x:patternFill>
    </x:fill>
    <x:fill>
      <x:patternFill patternType="solid">
        <x:fgColor rgb="FF0F6B78"/>
      </x:patternFill>
    </x:fill>
    <x:fill>
      <x:patternFill patternType="solid">
        <x:fgColor rgb="FFDDEBF7"/>
      </x:patternFill>
    </x:fill>
  </x:fills>
  <x:borders count="61">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
      <x:left/>
    </x:border>
    <x:border>
      <x:right/>
    </x:border>
  </x:borders>
  <x:cellStyleXfs count="1">
    <x:xf numFmtId="0" fontId="0" fillId="0" borderId="0"/>
  </x:cellStyleXfs>
  <x:cellXfs count="4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5"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x:xf numFmtId="200" fontId="0" fillId="0" borderId="8" xfId="0" applyNumberFormat="1" applyFont="1" applyFill="1" applyBorder="1"/>
    <x:xf numFmtId="200" fontId="0" fillId="0" borderId="1" xfId="0" applyNumberFormat="1" applyFont="1" applyFill="1" applyBorder="1"/>
    <x:xf numFmtId="200" fontId="0" fillId="0" borderId="16" xfId="0" applyNumberFormat="1" applyFont="1" applyFill="1" applyBorder="1"/>
    <x:xf numFmtId="201" fontId="0" fillId="0" borderId="0" xfId="0" applyNumberFormat="1" applyFont="1" applyFill="1" applyBorder="1" applyAlignment="1">
      <x:alignment wrapText="1"/>
    </x:xf>
    <x:xf numFmtId="201" fontId="0" fillId="0" borderId="8" xfId="0" applyNumberFormat="1" applyFont="1" applyFill="1" applyBorder="1" applyAlignment="1">
      <x:alignment wrapText="1"/>
    </x:xf>
    <x:xf numFmtId="201" fontId="0" fillId="0" borderId="1" xfId="0" applyNumberFormat="1" applyFont="1" applyFill="1" applyBorder="1" applyAlignment="1">
      <x:alignment wrapText="1"/>
    </x:xf>
    <x:xf numFmtId="201" fontId="0" fillId="0" borderId="16"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8" xfId="0" applyNumberFormat="1" applyFont="1" applyFill="1" applyBorder="1" applyAlignment="1">
      <x:alignment wrapText="1"/>
    </x:xf>
    <x:xf numFmtId="202" fontId="0" fillId="0" borderId="1" xfId="0" applyNumberFormat="1" applyFont="1" applyFill="1" applyBorder="1" applyAlignment="1">
      <x:alignment wrapText="1"/>
    </x:xf>
    <x:xf numFmtId="202" fontId="0" fillId="0" borderId="16"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4" fillId="4" borderId="0" xfId="0" applyNumberFormat="1" applyFont="1" applyFill="1" applyBorder="1"/>
    <x:xf numFmtId="0" fontId="4" fillId="4" borderId="0" xfId="0" applyNumberFormat="1" applyFont="1" applyFill="1" applyBorder="1" applyAlignment="1">
      <x:alignment vertical="center"/>
    </x:xf>
    <x:xf numFmtId="0" fontId="4" fillId="4" borderId="1" xfId="0" applyNumberFormat="1" applyFont="1" applyFill="1" applyBorder="1"/>
    <x:xf numFmtId="0" fontId="4" fillId="4" borderId="1"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5" fillId="5" borderId="1"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5" fillId="5" borderId="8" xfId="0" applyNumberFormat="1" applyFont="1" applyFill="1" applyBorder="1" applyAlignment="1">
      <x:alignment horizontal="center" vertical="center" wrapText="1"/>
    </x:xf>
    <x:xf numFmtId="0" fontId="5" fillId="5" borderId="9" xfId="0" applyNumberFormat="1" applyFont="1" applyFill="1" applyBorder="1" applyAlignment="1">
      <x:alignment horizontal="center" vertical="center" wrapText="1"/>
    </x:xf>
    <x:xf numFmtId="0" fontId="5" fillId="5" borderId="15" xfId="0" applyNumberFormat="1" applyFont="1" applyFill="1" applyBorder="1" applyAlignment="1">
      <x:alignment horizontal="center" vertical="center" wrapText="1"/>
    </x:xf>
    <x:xf numFmtId="0" fontId="5" fillId="5" borderId="16" xfId="0" applyNumberFormat="1" applyFont="1" applyFill="1" applyBorder="1" applyAlignment="1">
      <x:alignment horizontal="center" vertical="center" wrapText="1"/>
    </x:xf>
    <x:xf numFmtId="0" fontId="5" fillId="5" borderId="17" xfId="0" applyNumberFormat="1" applyFont="1" applyFill="1" applyBorder="1" applyAlignment="1">
      <x:alignment horizontal="center"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2" xfId="0" applyNumberFormat="1" applyFont="1" applyFill="1" applyBorder="1"/>
    <x:xf numFmtId="0" fontId="7" fillId="7" borderId="3" xfId="0" applyNumberFormat="1" applyFont="1" applyFill="1" applyBorder="1"/>
    <x:xf numFmtId="0" fontId="7" fillId="7" borderId="4"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7" xfId="0" applyNumberFormat="1" applyFont="1" applyFill="1" applyBorder="1"/>
    <x:xf numFmtId="0" fontId="7" fillId="7" borderId="8" xfId="0" applyNumberFormat="1" applyFont="1" applyFill="1" applyBorder="1"/>
    <x:xf numFmtId="0" fontId="7" fillId="7" borderId="9" xfId="0" applyNumberFormat="1" applyFont="1" applyFill="1" applyBorder="1"/>
    <x:xf numFmtId="0" fontId="7" fillId="7" borderId="2" xfId="0" applyNumberFormat="1" applyFont="1" applyFill="1" applyBorder="1" applyAlignment="1">
      <x:alignment horizontal="center"/>
    </x:xf>
    <x:xf numFmtId="0" fontId="7" fillId="7" borderId="3" xfId="0" applyNumberFormat="1" applyFont="1" applyFill="1" applyBorder="1" applyAlignment="1">
      <x:alignment horizontal="center"/>
    </x:xf>
    <x:xf numFmtId="0" fontId="7" fillId="7" borderId="4" xfId="0" applyNumberFormat="1" applyFont="1" applyFill="1" applyBorder="1" applyAlignment="1">
      <x:alignment horizontal="center"/>
    </x:xf>
    <x:xf numFmtId="0" fontId="7" fillId="7" borderId="5" xfId="0" applyNumberFormat="1" applyFont="1" applyFill="1" applyBorder="1" applyAlignment="1">
      <x:alignment horizontal="center"/>
    </x:xf>
    <x:xf numFmtId="0" fontId="7" fillId="7" borderId="0" xfId="0" applyNumberFormat="1" applyFont="1" applyFill="1" applyBorder="1" applyAlignment="1">
      <x:alignment horizontal="center"/>
    </x:xf>
    <x:xf numFmtId="0" fontId="7" fillId="7" borderId="6" xfId="0" applyNumberFormat="1" applyFont="1" applyFill="1" applyBorder="1" applyAlignment="1">
      <x:alignment horizontal="center"/>
    </x:xf>
    <x:xf numFmtId="0" fontId="7" fillId="7" borderId="7" xfId="0" applyNumberFormat="1" applyFont="1" applyFill="1" applyBorder="1" applyAlignment="1">
      <x:alignment horizontal="center"/>
    </x:xf>
    <x:xf numFmtId="0" fontId="7" fillId="7" borderId="8" xfId="0" applyNumberFormat="1" applyFont="1" applyFill="1" applyBorder="1" applyAlignment="1">
      <x:alignment horizontal="center"/>
    </x:xf>
    <x:xf numFmtId="0" fontId="7" fillId="7" borderId="9" xfId="0" applyNumberFormat="1" applyFont="1" applyFill="1" applyBorder="1" applyAlignment="1">
      <x:alignment horizontal="center"/>
    </x:xf>
    <x:xf numFmtId="0" fontId="7" fillId="7" borderId="2" xfId="0" applyNumberFormat="1" applyFont="1" applyFill="1" applyBorder="1" applyAlignment="1">
      <x:alignment horizontal="center" vertical="center"/>
    </x:xf>
    <x:xf numFmtId="0" fontId="7" fillId="7" borderId="3" xfId="0" applyNumberFormat="1" applyFont="1" applyFill="1" applyBorder="1" applyAlignment="1">
      <x:alignment horizontal="center" vertical="center"/>
    </x:xf>
    <x:xf numFmtId="0" fontId="7" fillId="7" borderId="4" xfId="0" applyNumberFormat="1" applyFont="1" applyFill="1" applyBorder="1" applyAlignment="1">
      <x:alignment horizontal="center" vertical="center"/>
    </x:xf>
    <x:xf numFmtId="0" fontId="7" fillId="7" borderId="5" xfId="0" applyNumberFormat="1" applyFont="1" applyFill="1" applyBorder="1" applyAlignment="1">
      <x:alignment horizontal="center" vertical="center"/>
    </x:xf>
    <x:xf numFmtId="0" fontId="7" fillId="7" borderId="0" xfId="0" applyNumberFormat="1" applyFont="1" applyFill="1" applyBorder="1" applyAlignment="1">
      <x:alignment horizontal="center" vertical="center"/>
    </x:xf>
    <x:xf numFmtId="0" fontId="7" fillId="7" borderId="6" xfId="0" applyNumberFormat="1" applyFont="1" applyFill="1" applyBorder="1" applyAlignment="1">
      <x:alignment horizontal="center" vertical="center"/>
    </x:xf>
    <x:xf numFmtId="0" fontId="7" fillId="7" borderId="7" xfId="0" applyNumberFormat="1" applyFont="1" applyFill="1" applyBorder="1" applyAlignment="1">
      <x:alignment horizontal="center" vertical="center"/>
    </x:xf>
    <x:xf numFmtId="0" fontId="7" fillId="7" borderId="8" xfId="0" applyNumberFormat="1" applyFont="1" applyFill="1" applyBorder="1" applyAlignment="1">
      <x:alignment horizontal="center" vertical="center"/>
    </x:xf>
    <x:xf numFmtId="0" fontId="7" fillId="7" borderId="9" xfId="0" applyNumberFormat="1" applyFont="1" applyFill="1" applyBorder="1" applyAlignment="1">
      <x:alignment horizontal="center" vertical="center"/>
    </x:xf>
    <x:xf numFmtId="0" fontId="0" fillId="7" borderId="1" xfId="0" applyNumberFormat="1" applyFont="1" applyFill="1" applyBorder="1"/>
    <x:xf numFmtId="0" fontId="7" fillId="7" borderId="1" xfId="0" applyNumberFormat="1" applyFont="1" applyFill="1" applyBorder="1"/>
    <x:xf numFmtId="0" fontId="7" fillId="7" borderId="10" xfId="0" applyNumberFormat="1" applyFont="1" applyFill="1" applyBorder="1"/>
    <x:xf numFmtId="0" fontId="7" fillId="7" borderId="11" xfId="0" applyNumberFormat="1" applyFont="1" applyFill="1" applyBorder="1"/>
    <x:xf numFmtId="0" fontId="7" fillId="7" borderId="12" xfId="0" applyNumberFormat="1" applyFont="1" applyFill="1" applyBorder="1"/>
    <x:xf numFmtId="0" fontId="7" fillId="7" borderId="13" xfId="0" applyNumberFormat="1" applyFont="1" applyFill="1" applyBorder="1"/>
    <x:xf numFmtId="0" fontId="7" fillId="7" borderId="14" xfId="0" applyNumberFormat="1" applyFont="1" applyFill="1" applyBorder="1"/>
    <x:xf numFmtId="0" fontId="7" fillId="7" borderId="15" xfId="0" applyNumberFormat="1" applyFont="1" applyFill="1" applyBorder="1"/>
    <x:xf numFmtId="0" fontId="7" fillId="7" borderId="16" xfId="0" applyNumberFormat="1" applyFont="1" applyFill="1" applyBorder="1"/>
    <x:xf numFmtId="0" fontId="7" fillId="7" borderId="17" xfId="0" applyNumberFormat="1" applyFont="1" applyFill="1" applyBorder="1"/>
    <x:xf numFmtId="0" fontId="7" fillId="7" borderId="10" xfId="0" applyNumberFormat="1" applyFont="1" applyFill="1" applyBorder="1" applyAlignment="1">
      <x:alignment horizontal="center"/>
    </x:xf>
    <x:xf numFmtId="0" fontId="7" fillId="7" borderId="11" xfId="0" applyNumberFormat="1" applyFont="1" applyFill="1" applyBorder="1" applyAlignment="1">
      <x:alignment horizontal="center"/>
    </x:xf>
    <x:xf numFmtId="0" fontId="7" fillId="7" borderId="12" xfId="0" applyNumberFormat="1" applyFont="1" applyFill="1" applyBorder="1" applyAlignment="1">
      <x:alignment horizontal="center"/>
    </x:xf>
    <x:xf numFmtId="0" fontId="7" fillId="7" borderId="13" xfId="0" applyNumberFormat="1" applyFont="1" applyFill="1" applyBorder="1" applyAlignment="1">
      <x:alignment horizontal="center"/>
    </x:xf>
    <x:xf numFmtId="0" fontId="7" fillId="7" borderId="1" xfId="0" applyNumberFormat="1" applyFont="1" applyFill="1" applyBorder="1" applyAlignment="1">
      <x:alignment horizontal="center"/>
    </x:xf>
    <x:xf numFmtId="0" fontId="7" fillId="7" borderId="14" xfId="0" applyNumberFormat="1" applyFont="1" applyFill="1" applyBorder="1" applyAlignment="1">
      <x:alignment horizontal="center"/>
    </x:xf>
    <x:xf numFmtId="0" fontId="7" fillId="7" borderId="15" xfId="0" applyNumberFormat="1" applyFont="1" applyFill="1" applyBorder="1" applyAlignment="1">
      <x:alignment horizontal="center"/>
    </x:xf>
    <x:xf numFmtId="0" fontId="7" fillId="7" borderId="16" xfId="0" applyNumberFormat="1" applyFont="1" applyFill="1" applyBorder="1" applyAlignment="1">
      <x:alignment horizontal="center"/>
    </x:xf>
    <x:xf numFmtId="0" fontId="7" fillId="7" borderId="17" xfId="0" applyNumberFormat="1" applyFont="1" applyFill="1" applyBorder="1" applyAlignment="1">
      <x:alignment horizontal="center"/>
    </x:xf>
    <x:xf numFmtId="0" fontId="7" fillId="7" borderId="10" xfId="0" applyNumberFormat="1" applyFont="1" applyFill="1" applyBorder="1" applyAlignment="1">
      <x:alignment horizontal="center" vertical="center"/>
    </x:xf>
    <x:xf numFmtId="0" fontId="7" fillId="7" borderId="11" xfId="0" applyNumberFormat="1" applyFont="1" applyFill="1" applyBorder="1" applyAlignment="1">
      <x:alignment horizontal="center" vertical="center"/>
    </x:xf>
    <x:xf numFmtId="0" fontId="7" fillId="7" borderId="12" xfId="0" applyNumberFormat="1" applyFont="1" applyFill="1" applyBorder="1" applyAlignment="1">
      <x:alignment horizontal="center" vertical="center"/>
    </x:xf>
    <x:xf numFmtId="0" fontId="7" fillId="7" borderId="13" xfId="0" applyNumberFormat="1" applyFont="1" applyFill="1" applyBorder="1" applyAlignment="1">
      <x:alignment horizontal="center" vertical="center"/>
    </x:xf>
    <x:xf numFmtId="0" fontId="7" fillId="7" borderId="1" xfId="0" applyNumberFormat="1" applyFont="1" applyFill="1" applyBorder="1" applyAlignment="1">
      <x:alignment horizontal="center" vertical="center"/>
    </x:xf>
    <x:xf numFmtId="0" fontId="7" fillId="7" borderId="14" xfId="0" applyNumberFormat="1" applyFont="1" applyFill="1" applyBorder="1" applyAlignment="1">
      <x:alignment horizontal="center" vertical="center"/>
    </x:xf>
    <x:xf numFmtId="0" fontId="7" fillId="7" borderId="15" xfId="0" applyNumberFormat="1" applyFont="1" applyFill="1" applyBorder="1" applyAlignment="1">
      <x:alignment horizontal="center" vertical="center"/>
    </x:xf>
    <x:xf numFmtId="0" fontId="7" fillId="7" borderId="16" xfId="0" applyNumberFormat="1" applyFont="1" applyFill="1" applyBorder="1" applyAlignment="1">
      <x:alignment horizontal="center" vertical="center"/>
    </x:xf>
    <x:xf numFmtId="0" fontId="7" fillId="7" borderId="17" xfId="0" applyNumberFormat="1" applyFont="1" applyFill="1" applyBorder="1" applyAlignment="1">
      <x:alignment horizontal="center" vertical="center"/>
    </x:xf>
    <x:xf numFmtId="200" fontId="7" fillId="7" borderId="2" xfId="0" applyNumberFormat="1" applyFont="1" applyFill="1" applyBorder="1" applyAlignment="1">
      <x:alignment horizontal="center" vertical="center"/>
    </x:xf>
    <x:xf numFmtId="200" fontId="7" fillId="7" borderId="3" xfId="0" applyNumberFormat="1" applyFont="1" applyFill="1" applyBorder="1" applyAlignment="1">
      <x:alignment horizontal="center" vertical="center"/>
    </x:xf>
    <x:xf numFmtId="200" fontId="7" fillId="7" borderId="4" xfId="0" applyNumberFormat="1" applyFont="1" applyFill="1" applyBorder="1" applyAlignment="1">
      <x:alignment horizontal="center" vertical="center"/>
    </x:xf>
    <x:xf numFmtId="200" fontId="7" fillId="7" borderId="5" xfId="0" applyNumberFormat="1" applyFont="1" applyFill="1" applyBorder="1" applyAlignment="1">
      <x:alignment horizontal="center" vertical="center"/>
    </x:xf>
    <x:xf numFmtId="200" fontId="7" fillId="7" borderId="0" xfId="0" applyNumberFormat="1" applyFont="1" applyFill="1" applyBorder="1" applyAlignment="1">
      <x:alignment horizontal="center" vertical="center"/>
    </x:xf>
    <x:xf numFmtId="200" fontId="7" fillId="7" borderId="6" xfId="0" applyNumberFormat="1" applyFont="1" applyFill="1" applyBorder="1" applyAlignment="1">
      <x:alignment horizontal="center" vertical="center"/>
    </x:xf>
    <x:xf numFmtId="200" fontId="7" fillId="7" borderId="7" xfId="0" applyNumberFormat="1" applyFont="1" applyFill="1" applyBorder="1" applyAlignment="1">
      <x:alignment horizontal="center" vertical="center"/>
    </x:xf>
    <x:xf numFmtId="200" fontId="7" fillId="7" borderId="8" xfId="0" applyNumberFormat="1" applyFont="1" applyFill="1" applyBorder="1" applyAlignment="1">
      <x:alignment horizontal="center" vertical="center"/>
    </x:xf>
    <x:xf numFmtId="200" fontId="7" fillId="7" borderId="9" xfId="0" applyNumberFormat="1" applyFont="1" applyFill="1" applyBorder="1" applyAlignment="1">
      <x:alignment horizontal="center" vertical="center"/>
    </x:xf>
    <x:xf numFmtId="200" fontId="7" fillId="7" borderId="10" xfId="0" applyNumberFormat="1" applyFont="1" applyFill="1" applyBorder="1" applyAlignment="1">
      <x:alignment horizontal="center" vertical="center"/>
    </x:xf>
    <x:xf numFmtId="200" fontId="7" fillId="7" borderId="11" xfId="0" applyNumberFormat="1" applyFont="1" applyFill="1" applyBorder="1" applyAlignment="1">
      <x:alignment horizontal="center" vertical="center"/>
    </x:xf>
    <x:xf numFmtId="200" fontId="7" fillId="7" borderId="12" xfId="0" applyNumberFormat="1" applyFont="1" applyFill="1" applyBorder="1" applyAlignment="1">
      <x:alignment horizontal="center" vertical="center"/>
    </x:xf>
    <x:xf numFmtId="200" fontId="7" fillId="7" borderId="13" xfId="0" applyNumberFormat="1" applyFont="1" applyFill="1" applyBorder="1" applyAlignment="1">
      <x:alignment horizontal="center" vertical="center"/>
    </x:xf>
    <x:xf numFmtId="200" fontId="7" fillId="7" borderId="1" xfId="0" applyNumberFormat="1" applyFont="1" applyFill="1" applyBorder="1" applyAlignment="1">
      <x:alignment horizontal="center" vertical="center"/>
    </x:xf>
    <x:xf numFmtId="200" fontId="7" fillId="7" borderId="14" xfId="0" applyNumberFormat="1" applyFont="1" applyFill="1" applyBorder="1" applyAlignment="1">
      <x:alignment horizontal="center" vertical="center"/>
    </x:xf>
    <x:xf numFmtId="200" fontId="7" fillId="7" borderId="15" xfId="0" applyNumberFormat="1" applyFont="1" applyFill="1" applyBorder="1" applyAlignment="1">
      <x:alignment horizontal="center" vertical="center"/>
    </x:xf>
    <x:xf numFmtId="200" fontId="7" fillId="7" borderId="16" xfId="0" applyNumberFormat="1" applyFont="1" applyFill="1" applyBorder="1" applyAlignment="1">
      <x:alignment horizontal="center" vertical="center"/>
    </x:xf>
    <x:xf numFmtId="200" fontId="7" fillId="7" borderId="17" xfId="0" applyNumberFormat="1" applyFont="1" applyFill="1" applyBorder="1" applyAlignment="1">
      <x:alignment horizontal="center" vertical="center"/>
    </x:xf>
    <x:xf numFmtId="0" fontId="0" fillId="6" borderId="2"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2"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15" xfId="0" applyNumberFormat="1" applyFont="1" applyFill="1" applyBorder="1"/>
    <x:xf numFmtId="0" fontId="0" fillId="6" borderId="16" xfId="0" applyNumberFormat="1" applyFont="1" applyFill="1" applyBorder="1"/>
    <x:xf numFmtId="0" fontId="0" fillId="6" borderId="17" xfId="0" applyNumberFormat="1" applyFont="1" applyFill="1" applyBorder="1"/>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1"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15" xfId="0" applyNumberFormat="1" applyFont="1" applyFill="1" applyBorder="1" applyAlignment="1">
      <x:alignment wrapText="1"/>
    </x:xf>
    <x:xf numFmtId="0" fontId="0" fillId="6" borderId="16"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10"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6" borderId="16"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xfId="0" applyNumberFormat="1" applyFont="1" applyFill="1" applyBorder="0"/>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xfId="0" applyNumberFormat="1" applyFont="1" applyFill="1" applyBorder="0" applyAlignment="1">
      <x:alignment wrapText="1"/>
    </x:xf>
    <x:xf numFmtId="0" fontId="0" fillId="0" borderId="22"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200" fontId="0" fillId="0" borderId="19" xfId="0" applyNumberFormat="1" applyFont="1" applyFill="1" applyBorder="1" applyAlignment="1">
      <x:alignment wrapText="1"/>
    </x:xf>
    <x:xf numFmtId="200" fontId="0" fillId="0" xfId="0" applyNumberFormat="1" applyFont="1" applyFill="1" applyBorder="0" applyAlignment="1">
      <x:alignment wrapText="1"/>
    </x:xf>
    <x:xf numFmtId="200" fontId="0" fillId="0" borderId="24" xfId="0" applyNumberFormat="1" applyFont="1" applyFill="1" applyBorder="1" applyAlignment="1">
      <x:alignment wrapText="1"/>
    </x:xf>
    <x:xf numFmtId="202" fontId="0" fillId="0" borderId="19" xfId="0" applyNumberFormat="1" applyFont="1" applyFill="1" applyBorder="1" applyAlignment="1">
      <x:alignment wrapText="1"/>
    </x:xf>
    <x:xf numFmtId="202" fontId="0" fillId="0" xfId="0" applyNumberFormat="1" applyFont="1" applyFill="1" applyBorder="0" applyAlignment="1">
      <x:alignment wrapText="1"/>
    </x:xf>
    <x:xf numFmtId="202" fontId="0" fillId="0" borderId="24"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6" xfId="0" applyNumberFormat="1" applyFont="1" applyFill="1" applyBorder="1"/>
    <x:xf numFmtId="0" fontId="6" fillId="10" borderId="27" xfId="0" applyNumberFormat="1" applyFont="1" applyFill="1" applyBorder="1"/>
    <x:xf numFmtId="0" fontId="6" fillId="10" borderId="28" xfId="0" applyNumberFormat="1" applyFont="1" applyFill="1" applyBorder="1"/>
    <x:xf numFmtId="0" fontId="6" fillId="10" borderId="26" xfId="0" applyNumberFormat="1" applyFont="1" applyFill="1" applyBorder="1" applyAlignment="1">
      <x:alignment wrapText="1"/>
    </x:xf>
    <x:xf numFmtId="0" fontId="6" fillId="10" borderId="27" xfId="0" applyNumberFormat="1" applyFont="1" applyFill="1" applyBorder="1" applyAlignment="1">
      <x:alignment wrapText="1"/>
    </x:xf>
    <x:xf numFmtId="0" fontId="6" fillId="10" borderId="28"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1" fillId="11" borderId="18" xfId="0" applyNumberFormat="1" applyFont="1" applyFill="1" applyBorder="1" applyAlignment="1">
      <x:alignment horizontal="center" vertical="center" wrapText="1"/>
    </x:xf>
    <x:xf numFmtId="0" fontId="1" fillId="11" borderId="19" xfId="0" applyNumberFormat="1" applyFont="1" applyFill="1" applyBorder="1" applyAlignment="1">
      <x:alignment horizontal="center" vertical="center" wrapText="1"/>
    </x:xf>
    <x:xf numFmtId="0" fontId="1" fillId="11" borderId="20" xfId="0" applyNumberFormat="1" applyFont="1" applyFill="1" applyBorder="1" applyAlignment="1">
      <x:alignment horizontal="center" vertical="center" wrapText="1"/>
    </x:xf>
    <x:xf numFmtId="0" fontId="1" fillId="11" borderId="2" xfId="0" applyNumberFormat="1" applyFont="1" applyFill="1" applyBorder="1" applyAlignment="1">
      <x:alignment horizontal="center" vertical="center" wrapText="1"/>
    </x:xf>
    <x:xf numFmtId="0" fontId="1" fillId="11" borderId="3" xfId="0" applyNumberFormat="1" applyFont="1" applyFill="1" applyBorder="1" applyAlignment="1">
      <x:alignment horizontal="center" vertical="center" wrapText="1"/>
    </x:xf>
    <x:xf numFmtId="0" fontId="1" fillId="11" borderId="4" xfId="0" applyNumberFormat="1" applyFont="1" applyFill="1" applyBorder="1" applyAlignment="1">
      <x:alignment horizontal="center" vertical="center"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horizontal="center" wrapText="1"/>
    </x:xf>
    <x:xf numFmtId="0" fontId="5" fillId="12" borderId="0" xfId="0" applyNumberFormat="1" applyFont="1" applyFill="1" applyBorder="1" applyAlignment="1">
      <x:alignment horizontal="center" vertical="center" wrapText="1"/>
    </x:xf>
    <x:xf numFmtId="0" fontId="0" fillId="0" borderId="21" xfId="0" applyNumberFormat="1" applyFont="1" applyFill="1" applyBorder="1" applyAlignment="1">
      <x:alignment wrapText="1"/>
    </x:xf>
    <x:xf numFmtId="0" fontId="5" fillId="5" borderId="29" xfId="0" applyNumberFormat="1" applyFont="1" applyFill="1" applyBorder="1" applyAlignment="1">
      <x:alignment horizontal="center" vertical="center" wrapText="1"/>
    </x:xf>
    <x:xf numFmtId="0" fontId="5" fillId="5" borderId="30" xfId="0" applyNumberFormat="1" applyFont="1" applyFill="1" applyBorder="1" applyAlignment="1">
      <x:alignment horizontal="center" vertical="center" wrapText="1"/>
    </x:xf>
    <x:xf numFmtId="0" fontId="5" fillId="12" borderId="23" xfId="0" applyNumberFormat="1" applyFont="1" applyFill="1" applyBorder="1" applyAlignment="1">
      <x:alignment horizontal="center" vertical="center" wrapText="1"/>
    </x:xf>
    <x:xf numFmtId="0" fontId="5" fillId="12" borderId="24" xfId="0" applyNumberFormat="1" applyFont="1" applyFill="1" applyBorder="1" applyAlignment="1">
      <x:alignment horizontal="center" vertical="center" wrapText="1"/>
    </x:xf>
    <x:xf numFmtId="0" fontId="5" fillId="12" borderId="25" xfId="0" applyNumberFormat="1" applyFont="1" applyFill="1" applyBorder="1" applyAlignment="1">
      <x:alignment horizontal="center" vertical="center" wrapText="1"/>
    </x:xf>
    <x:xf numFmtId="0" fontId="5" fillId="5" borderId="21" xfId="0" applyNumberFormat="1" applyFont="1" applyFill="1" applyBorder="1" applyAlignment="1">
      <x:alignment horizontal="center" vertical="center" wrapText="1"/>
    </x:xf>
    <x:xf numFmtId="0" fontId="5" fillId="5" borderId="22" xfId="0" applyNumberFormat="1" applyFont="1" applyFill="1" applyBorder="1" applyAlignment="1">
      <x:alignment horizontal="center" vertical="center" wrapText="1"/>
    </x:xf>
    <x:xf numFmtId="200" fontId="0" fillId="0" borderId="22" xfId="0" applyNumberFormat="1" applyFont="1" applyFill="1" applyBorder="1"/>
    <x:xf numFmtId="200" fontId="0" fillId="0" borderId="25" xfId="0" applyNumberFormat="1" applyFont="1" applyFill="1" applyBorder="1"/>
    <x:xf numFmtId="0" fontId="4" fillId="9" borderId="0" xfId="0" applyNumberFormat="1" applyFont="1" applyFill="1" applyBorder="1" applyAlignment="1">
      <x:alignment vertical="center"/>
    </x:xf>
    <x:xf numFmtId="200" fontId="0" fillId="0" xfId="0" applyNumberFormat="1" applyFont="1" applyFill="1" applyBorder="0"/>
    <x:xf numFmtId="0" fontId="0" fillId="0" borderId="29" xfId="0" applyNumberFormat="1" applyFont="1" applyFill="1" applyBorder="1"/>
    <x:xf numFmtId="0" fontId="0" fillId="0" borderId="30" xfId="0" applyNumberFormat="1" applyFont="1" applyFill="1" applyBorder="1"/>
    <x:xf numFmtId="200" fontId="0" fillId="0" borderId="24" xfId="0" applyNumberFormat="1" applyFont="1" applyFill="1" applyBorder="1"/>
    <x:xf numFmtId="0" fontId="0" fillId="0" borderId="3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6" xfId="0" applyNumberFormat="1" applyFont="1" applyFill="1" applyBorder="1"/>
    <x:xf numFmtId="0" fontId="0" fillId="0" borderId="37" xfId="0" applyNumberFormat="1" applyFont="1" applyFill="1" applyBorder="1"/>
    <x:xf numFmtId="0" fontId="0" fillId="0" borderId="38" xfId="0" applyNumberFormat="1" applyFont="1" applyFill="1" applyBorder="1"/>
    <x:xf numFmtId="0" fontId="0" fillId="0" borderId="32" xfId="0" applyNumberFormat="1" applyFont="1" applyFill="1" applyBorder="1" applyAlignment="1">
      <x:alignment wrapText="1"/>
    </x:xf>
    <x:xf numFmtId="0" fontId="0" fillId="0" borderId="33" xfId="0" applyNumberFormat="1" applyFont="1" applyFill="1" applyBorder="1" applyAlignment="1">
      <x:alignment wrapText="1"/>
    </x:xf>
    <x:xf numFmtId="0" fontId="0" fillId="0" borderId="35" xfId="0" applyNumberFormat="1" applyFont="1" applyFill="1" applyBorder="1" applyAlignment="1">
      <x:alignment wrapText="1"/>
    </x:xf>
    <x:xf numFmtId="0" fontId="0" fillId="0" borderId="37" xfId="0" applyNumberFormat="1" applyFont="1" applyFill="1" applyBorder="1" applyAlignment="1">
      <x:alignment wrapText="1"/>
    </x:xf>
    <x:xf numFmtId="0" fontId="0" fillId="0" borderId="38" xfId="0" applyNumberFormat="1" applyFont="1" applyFill="1" applyBorder="1" applyAlignment="1">
      <x:alignment wrapText="1"/>
    </x:xf>
    <x:xf numFmtId="200" fontId="0" fillId="0" borderId="32" xfId="0" applyNumberFormat="1" applyFont="1" applyFill="1" applyBorder="1" applyAlignment="1">
      <x:alignment wrapText="1"/>
    </x:xf>
    <x:xf numFmtId="200" fontId="0" fillId="0" borderId="37" xfId="0" applyNumberFormat="1" applyFont="1" applyFill="1" applyBorder="1" applyAlignment="1">
      <x:alignment wrapText="1"/>
    </x:xf>
    <x:xf numFmtId="202" fontId="0" fillId="0" borderId="32" xfId="0" applyNumberFormat="1" applyFont="1" applyFill="1" applyBorder="1" applyAlignment="1">
      <x:alignment wrapText="1"/>
    </x:xf>
    <x:xf numFmtId="202" fontId="0" fillId="0" borderId="37" xfId="0" applyNumberFormat="1" applyFont="1" applyFill="1" applyBorder="1" applyAlignment="1">
      <x:alignment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vertical="center"/>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vertical="center"/>
    </x:xf>
    <x:xf numFmtId="0" fontId="0" fillId="15" borderId="0" xfId="0" applyNumberFormat="1" applyFont="1" applyFill="1" applyBorder="1"/>
    <x:xf numFmtId="0" fontId="6" fillId="15" borderId="0" xfId="0" applyNumberFormat="1" applyFont="1" applyFill="1" applyBorder="1"/>
    <x:xf numFmtId="0" fontId="6" fillId="15" borderId="31" xfId="0" applyNumberFormat="1" applyFont="1" applyFill="1" applyBorder="1"/>
    <x:xf numFmtId="0" fontId="6" fillId="15" borderId="32" xfId="0" applyNumberFormat="1" applyFont="1" applyFill="1" applyBorder="1"/>
    <x:xf numFmtId="0" fontId="6" fillId="15" borderId="33" xfId="0" applyNumberFormat="1" applyFont="1" applyFill="1" applyBorder="1"/>
    <x:xf numFmtId="0" fontId="6" fillId="15" borderId="36" xfId="0" applyNumberFormat="1" applyFont="1" applyFill="1" applyBorder="1"/>
    <x:xf numFmtId="0" fontId="6" fillId="15" borderId="37" xfId="0" applyNumberFormat="1" applyFont="1" applyFill="1" applyBorder="1"/>
    <x:xf numFmtId="0" fontId="6" fillId="15" borderId="38" xfId="0" applyNumberFormat="1" applyFont="1" applyFill="1" applyBorder="1"/>
    <x:xf numFmtId="0" fontId="6" fillId="15" borderId="31" xfId="0" applyNumberFormat="1" applyFont="1" applyFill="1" applyBorder="1" applyAlignment="1">
      <x:alignment wrapText="1"/>
    </x:xf>
    <x:xf numFmtId="0" fontId="6" fillId="15" borderId="32" xfId="0" applyNumberFormat="1" applyFont="1" applyFill="1" applyBorder="1" applyAlignment="1">
      <x:alignment wrapText="1"/>
    </x:xf>
    <x:xf numFmtId="0" fontId="6" fillId="15" borderId="33" xfId="0" applyNumberFormat="1" applyFont="1" applyFill="1" applyBorder="1" applyAlignment="1">
      <x:alignment wrapText="1"/>
    </x:xf>
    <x:xf numFmtId="0" fontId="6" fillId="15" borderId="36" xfId="0" applyNumberFormat="1" applyFont="1" applyFill="1" applyBorder="1" applyAlignment="1">
      <x:alignment wrapText="1"/>
    </x:xf>
    <x:xf numFmtId="0" fontId="6" fillId="15" borderId="37" xfId="0" applyNumberFormat="1" applyFont="1" applyFill="1" applyBorder="1" applyAlignment="1">
      <x:alignment wrapText="1"/>
    </x:xf>
    <x:xf numFmtId="0" fontId="6" fillId="15" borderId="38" xfId="0" applyNumberFormat="1" applyFont="1" applyFill="1" applyBorder="1" applyAlignment="1">
      <x:alignment wrapText="1"/>
    </x:xf>
    <x:xf numFmtId="0" fontId="6" fillId="15" borderId="31" xfId="0" applyNumberFormat="1" applyFont="1" applyFill="1" applyBorder="1" applyAlignment="1">
      <x:alignment vertical="top" wrapText="1"/>
    </x:xf>
    <x:xf numFmtId="0" fontId="6" fillId="15" borderId="32" xfId="0" applyNumberFormat="1" applyFont="1" applyFill="1" applyBorder="1" applyAlignment="1">
      <x:alignment vertical="top" wrapText="1"/>
    </x:xf>
    <x:xf numFmtId="0" fontId="6" fillId="15" borderId="33" xfId="0" applyNumberFormat="1" applyFont="1" applyFill="1" applyBorder="1" applyAlignment="1">
      <x:alignment vertical="top" wrapText="1"/>
    </x:xf>
    <x:xf numFmtId="0" fontId="6" fillId="15" borderId="36" xfId="0" applyNumberFormat="1" applyFont="1" applyFill="1" applyBorder="1" applyAlignment="1">
      <x:alignment vertical="top" wrapText="1"/>
    </x:xf>
    <x:xf numFmtId="0" fontId="6" fillId="15" borderId="37" xfId="0" applyNumberFormat="1" applyFont="1" applyFill="1" applyBorder="1" applyAlignment="1">
      <x:alignment vertical="top" wrapText="1"/>
    </x:xf>
    <x:xf numFmtId="0" fontId="6" fillId="15" borderId="38" xfId="0" applyNumberFormat="1" applyFont="1" applyFill="1" applyBorder="1" applyAlignment="1">
      <x:alignmen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6" borderId="0" xfId="0" applyNumberFormat="1" applyFont="1" applyFill="1" applyBorder="1" applyAlignment="1">
      <x:alignment horizontal="center" vertical="center" wrapText="1"/>
    </x:xf>
    <x:xf numFmtId="0" fontId="1" fillId="16" borderId="31" xfId="0" applyNumberFormat="1" applyFont="1" applyFill="1" applyBorder="1" applyAlignment="1">
      <x:alignment horizontal="center" vertical="center" wrapText="1"/>
    </x:xf>
    <x:xf numFmtId="0" fontId="1" fillId="16" borderId="32" xfId="0" applyNumberFormat="1" applyFont="1" applyFill="1" applyBorder="1" applyAlignment="1">
      <x:alignment horizontal="center" vertical="center" wrapText="1"/>
    </x:xf>
    <x:xf numFmtId="0" fontId="1" fillId="16" borderId="33" xfId="0" applyNumberFormat="1" applyFont="1" applyFill="1" applyBorder="1" applyAlignment="1">
      <x:alignment horizontal="center" vertical="center" wrapText="1"/>
    </x:xf>
    <x:xf numFmtId="0" fontId="6" fillId="15" borderId="0" xfId="0" applyNumberFormat="1" applyFont="1" applyFill="1" applyBorder="1" applyAlignment="1">
      <x:alignment wrapText="1"/>
    </x:xf>
    <x:xf numFmtId="0" fontId="4" fillId="14" borderId="0" xfId="0" applyNumberFormat="1" applyFont="1" applyFill="1" applyBorder="1"/>
    <x:xf numFmtId="0" fontId="4" fillId="14" borderId="0" xfId="0" applyNumberFormat="1" applyFont="1" applyFill="1" applyBorder="1" applyAlignment="1">
      <x:alignment vertical="center"/>
    </x:xf>
    <x:xf numFmtId="0" fontId="0" fillId="17" borderId="0" xfId="0" applyNumberFormat="1" applyFont="1" applyFill="1" applyBorder="1"/>
    <x:xf numFmtId="0" fontId="7" fillId="17" borderId="0" xfId="0" applyNumberFormat="1" applyFont="1" applyFill="1" applyBorder="1"/>
    <x:xf numFmtId="0" fontId="7" fillId="17" borderId="31" xfId="0" applyNumberFormat="1" applyFont="1" applyFill="1" applyBorder="1"/>
    <x:xf numFmtId="0" fontId="7" fillId="17" borderId="32" xfId="0" applyNumberFormat="1" applyFont="1" applyFill="1" applyBorder="1"/>
    <x:xf numFmtId="0" fontId="7" fillId="17" borderId="33" xfId="0" applyNumberFormat="1" applyFont="1" applyFill="1" applyBorder="1"/>
    <x:xf numFmtId="0" fontId="7" fillId="17" borderId="34" xfId="0" applyNumberFormat="1" applyFont="1" applyFill="1" applyBorder="1"/>
    <x:xf numFmtId="0" fontId="7" fillId="17" xfId="0" applyNumberFormat="1" applyFont="1" applyFill="1" applyBorder="0"/>
    <x:xf numFmtId="0" fontId="7" fillId="17" borderId="35" xfId="0" applyNumberFormat="1" applyFont="1" applyFill="1" applyBorder="1"/>
    <x:xf numFmtId="0" fontId="7" fillId="17" borderId="36" xfId="0" applyNumberFormat="1" applyFont="1" applyFill="1" applyBorder="1"/>
    <x:xf numFmtId="0" fontId="7" fillId="17" borderId="37" xfId="0" applyNumberFormat="1" applyFont="1" applyFill="1" applyBorder="1"/>
    <x:xf numFmtId="0" fontId="7" fillId="17" borderId="38" xfId="0" applyNumberFormat="1" applyFont="1" applyFill="1" applyBorder="1"/>
    <x:xf numFmtId="0" fontId="7" fillId="17" borderId="31" xfId="0" applyNumberFormat="1" applyFont="1" applyFill="1" applyBorder="1" applyAlignment="1">
      <x:alignment horizontal="center"/>
    </x:xf>
    <x:xf numFmtId="0" fontId="7" fillId="17" borderId="32" xfId="0" applyNumberFormat="1" applyFont="1" applyFill="1" applyBorder="1" applyAlignment="1">
      <x:alignment horizontal="center"/>
    </x:xf>
    <x:xf numFmtId="0" fontId="7" fillId="17" borderId="33" xfId="0" applyNumberFormat="1" applyFont="1" applyFill="1" applyBorder="1" applyAlignment="1">
      <x:alignment horizontal="center"/>
    </x:xf>
    <x:xf numFmtId="0" fontId="7" fillId="17" borderId="34" xfId="0" applyNumberFormat="1" applyFont="1" applyFill="1" applyBorder="1" applyAlignment="1">
      <x:alignment horizontal="center"/>
    </x:xf>
    <x:xf numFmtId="0" fontId="7" fillId="17" xfId="0" applyNumberFormat="1" applyFont="1" applyFill="1" applyBorder="0" applyAlignment="1">
      <x:alignment horizontal="center"/>
    </x:xf>
    <x:xf numFmtId="0" fontId="7" fillId="17" borderId="35" xfId="0" applyNumberFormat="1" applyFont="1" applyFill="1" applyBorder="1" applyAlignment="1">
      <x:alignment horizontal="center"/>
    </x:xf>
    <x:xf numFmtId="0" fontId="7" fillId="17" borderId="36" xfId="0" applyNumberFormat="1" applyFont="1" applyFill="1" applyBorder="1" applyAlignment="1">
      <x:alignment horizontal="center"/>
    </x:xf>
    <x:xf numFmtId="0" fontId="7" fillId="17" borderId="37" xfId="0" applyNumberFormat="1" applyFont="1" applyFill="1" applyBorder="1" applyAlignment="1">
      <x:alignment horizontal="center"/>
    </x:xf>
    <x:xf numFmtId="0" fontId="7" fillId="17" borderId="38" xfId="0" applyNumberFormat="1" applyFont="1" applyFill="1" applyBorder="1" applyAlignment="1">
      <x:alignment horizontal="center"/>
    </x:xf>
    <x:xf numFmtId="0" fontId="7" fillId="17" borderId="31" xfId="0" applyNumberFormat="1" applyFont="1" applyFill="1" applyBorder="1" applyAlignment="1">
      <x:alignment horizontal="center" vertical="center"/>
    </x:xf>
    <x:xf numFmtId="0" fontId="7" fillId="17" borderId="32" xfId="0" applyNumberFormat="1" applyFont="1" applyFill="1" applyBorder="1" applyAlignment="1">
      <x:alignment horizontal="center" vertical="center"/>
    </x:xf>
    <x:xf numFmtId="0" fontId="7" fillId="17" borderId="33" xfId="0" applyNumberFormat="1" applyFont="1" applyFill="1" applyBorder="1" applyAlignment="1">
      <x:alignment horizontal="center" vertical="center"/>
    </x:xf>
    <x:xf numFmtId="0" fontId="7" fillId="17" borderId="34" xfId="0" applyNumberFormat="1" applyFont="1" applyFill="1" applyBorder="1" applyAlignment="1">
      <x:alignment horizontal="center" vertical="center"/>
    </x:xf>
    <x:xf numFmtId="0" fontId="7" fillId="17" xfId="0" applyNumberFormat="1" applyFont="1" applyFill="1" applyBorder="0" applyAlignment="1">
      <x:alignment horizontal="center" vertical="center"/>
    </x:xf>
    <x:xf numFmtId="0" fontId="7" fillId="17" borderId="35" xfId="0" applyNumberFormat="1" applyFont="1" applyFill="1" applyBorder="1" applyAlignment="1">
      <x:alignment horizontal="center" vertical="center"/>
    </x:xf>
    <x:xf numFmtId="0" fontId="7" fillId="17" borderId="36" xfId="0" applyNumberFormat="1" applyFont="1" applyFill="1" applyBorder="1" applyAlignment="1">
      <x:alignment horizontal="center" vertical="center"/>
    </x:xf>
    <x:xf numFmtId="0" fontId="7" fillId="17" borderId="37" xfId="0" applyNumberFormat="1" applyFont="1" applyFill="1" applyBorder="1" applyAlignment="1">
      <x:alignment horizontal="center" vertical="center"/>
    </x:xf>
    <x:xf numFmtId="0" fontId="7" fillId="17" borderId="38" xfId="0" applyNumberFormat="1" applyFont="1" applyFill="1" applyBorder="1" applyAlignment="1">
      <x:alignment horizontal="center" vertical="center"/>
    </x:xf>
    <x:xf numFmtId="0" fontId="1" fillId="16" borderId="18" xfId="0" applyNumberFormat="1" applyFont="1" applyFill="1" applyBorder="1" applyAlignment="1">
      <x:alignment horizontal="center" vertical="center" wrapText="1"/>
    </x:xf>
    <x:xf numFmtId="0" fontId="1" fillId="16" borderId="19" xfId="0" applyNumberFormat="1" applyFont="1" applyFill="1" applyBorder="1" applyAlignment="1">
      <x:alignment horizontal="center" vertical="center" wrapText="1"/>
    </x:xf>
    <x:xf numFmtId="0" fontId="1" fillId="16" borderId="20" xfId="0" applyNumberFormat="1" applyFont="1" applyFill="1" applyBorder="1" applyAlignment="1">
      <x:alignment horizontal="center" vertical="center" wrapText="1"/>
    </x:xf>
    <x:xf numFmtId="0" fontId="0" fillId="18" borderId="0" xfId="0" applyNumberFormat="1" applyFont="1" applyFill="1" applyBorder="1"/>
    <x:xf numFmtId="0" fontId="5" fillId="18" borderId="0" xfId="0" applyNumberFormat="1" applyFont="1" applyFill="1" applyBorder="1"/>
    <x:xf numFmtId="0" fontId="5" fillId="18" borderId="0" xfId="0" applyNumberFormat="1" applyFont="1" applyFill="1" applyBorder="1" applyAlignment="1">
      <x:alignment wrapText="1"/>
    </x:xf>
    <x:xf numFmtId="0" fontId="5" fillId="18" borderId="0" xfId="0" applyNumberFormat="1" applyFont="1" applyFill="1" applyBorder="1" applyAlignment="1">
      <x:alignment horizontal="center" wrapText="1"/>
    </x:xf>
    <x:xf numFmtId="0" fontId="5" fillId="18" borderId="0" xfId="0" applyNumberFormat="1" applyFont="1" applyFill="1" applyBorder="1" applyAlignment="1">
      <x:alignment horizontal="center" vertical="center" wrapText="1"/>
    </x:xf>
    <x:xf numFmtId="0" fontId="0" fillId="0" borderId="34" xfId="0" applyNumberFormat="1" applyFont="1" applyFill="1" applyBorder="1" applyAlignment="1">
      <x:alignment wrapText="1"/>
    </x:xf>
    <x:xf numFmtId="0" fontId="5" fillId="5" borderId="34" xfId="0" applyNumberFormat="1" applyFont="1" applyFill="1" applyBorder="1" applyAlignment="1">
      <x:alignment horizontal="center" vertical="center" wrapText="1"/>
    </x:xf>
    <x:xf numFmtId="0" fontId="5" fillId="5" xfId="0" applyNumberFormat="1" applyFont="1" applyFill="1" applyBorder="0" applyAlignment="1">
      <x:alignment horizontal="center" vertical="center" wrapText="1"/>
    </x:xf>
    <x:xf numFmtId="0" fontId="5" fillId="5" borderId="35" xfId="0" applyNumberFormat="1" applyFont="1" applyFill="1" applyBorder="1" applyAlignment="1">
      <x:alignment horizontal="center" vertical="center" wrapText="1"/>
    </x:xf>
    <x:xf numFmtId="0" fontId="5" fillId="5" borderId="39" xfId="0" applyNumberFormat="1" applyFont="1" applyFill="1" applyBorder="1" applyAlignment="1">
      <x:alignment horizontal="center" vertical="center" wrapText="1"/>
    </x:xf>
    <x:xf numFmtId="0" fontId="5" fillId="5" borderId="24" xfId="0" applyNumberFormat="1" applyFont="1" applyFill="1" applyBorder="1" applyAlignment="1">
      <x:alignment horizontal="center" vertical="center" wrapText="1"/>
    </x:xf>
    <x:xf numFmtId="0" fontId="5" fillId="5" borderId="40" xfId="0" applyNumberFormat="1" applyFont="1" applyFill="1" applyBorder="1" applyAlignment="1">
      <x:alignment horizontal="center" vertical="center" wrapText="1"/>
    </x:xf>
    <x:xf numFmtId="0" fontId="5" fillId="18" borderId="36" xfId="0" applyNumberFormat="1" applyFont="1" applyFill="1" applyBorder="1" applyAlignment="1">
      <x:alignment horizontal="center" vertical="center" wrapText="1"/>
    </x:xf>
    <x:xf numFmtId="0" fontId="5" fillId="18" borderId="37" xfId="0" applyNumberFormat="1" applyFont="1" applyFill="1" applyBorder="1" applyAlignment="1">
      <x:alignment horizontal="center" vertical="center" wrapText="1"/>
    </x:xf>
    <x:xf numFmtId="0" fontId="5" fillId="18" borderId="38" xfId="0" applyNumberFormat="1" applyFont="1" applyFill="1" applyBorder="1" applyAlignment="1">
      <x:alignment horizontal="center" vertical="center" wrapText="1"/>
    </x:xf>
    <x:xf numFmtId="200" fontId="0" fillId="0" borderId="35" xfId="0" applyNumberFormat="1" applyFont="1" applyFill="1" applyBorder="1"/>
    <x:xf numFmtId="20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200" fontId="0" fillId="0" borderId="37" xfId="0" applyNumberFormat="1" applyFont="1" applyFill="1" applyBorder="1"/>
    <x:xf numFmtId="0" fontId="0" fillId="0" borderId="40" xfId="0" applyNumberFormat="1" applyFont="1" applyFill="1" applyBorder="1" applyAlignment="1">
      <x:alignment wrapText="1"/>
    </x:xf>
    <x:xf numFmtId="0" fontId="4" fillId="4" borderId="34" xfId="0" applyNumberFormat="1" applyFont="1" applyFill="1" applyBorder="1" applyAlignment="1">
      <x:alignment vertical="center"/>
    </x:xf>
    <x:xf numFmtId="0" fontId="4" fillId="4" xfId="0" applyNumberFormat="1" applyFont="1" applyFill="1" applyBorder="0" applyAlignment="1">
      <x:alignment vertical="center"/>
    </x:xf>
    <x:xf numFmtId="0" fontId="4" fillId="4" borderId="35" xfId="0" applyNumberFormat="1" applyFont="1" applyFill="1" applyBorder="1" applyAlignment="1">
      <x:alignment vertical="center"/>
    </x:xf>
    <x:xf numFmtId="0" fontId="1" fillId="2" borderId="36" xfId="0" applyNumberFormat="1" applyFont="1" applyFill="1" applyBorder="1" applyAlignment="1">
      <x:alignment horizontal="center" vertical="center" wrapText="1"/>
    </x:xf>
    <x:xf numFmtId="0" fontId="1" fillId="2" borderId="37" xfId="0" applyNumberFormat="1" applyFont="1" applyFill="1" applyBorder="1" applyAlignment="1">
      <x:alignment horizontal="center" vertical="center" wrapText="1"/>
    </x:xf>
    <x:xf numFmtId="0" fontId="1" fillId="2" borderId="38" xfId="0" applyNumberFormat="1" applyFont="1" applyFill="1" applyBorder="1" applyAlignment="1">
      <x:alignment horizontal="center" vertical="center" wrapText="1"/>
    </x:xf>
    <x:xf numFmtId="0" fontId="4" fillId="4" xfId="0" applyNumberFormat="1" applyFont="1" applyFill="1" applyBorder="0" applyAlignment="1">
      <x:alignment vertical="center" wrapText="1"/>
    </x:xf>
    <x:xf numFmtId="0" fontId="4" fillId="4" borderId="35" xfId="0" applyNumberFormat="1" applyFont="1" applyFill="1" applyBorder="1" applyAlignment="1">
      <x:alignment vertical="center" wrapText="1"/>
    </x:xf>
    <x:xf numFmtId="0" fontId="6" fillId="6" borderId="0" xfId="0" applyNumberFormat="1" applyFont="1" applyFill="1" applyBorder="1" applyAlignment="1">
      <x:alignment vertical="top" wrapText="1"/>
    </x:xf>
    <x:xf numFmtId="0" fontId="7" fillId="7" xfId="0" applyNumberFormat="1" applyFont="1" applyFill="1" applyBorder="0"/>
    <x:xf numFmtId="0" fontId="7" fillId="7" xfId="0" applyNumberFormat="1" applyFont="1" applyFill="1" applyBorder="0" applyAlignment="1">
      <x:alignment horizontal="center"/>
    </x:xf>
    <x:xf numFmtId="0" fontId="7" fillId="7" xfId="0" applyNumberFormat="1" applyFont="1" applyFill="1" applyBorder="0" applyAlignment="1">
      <x:alignment horizontal="center" vertical="center"/>
    </x:xf>
    <x:xf numFmtId="0" fontId="4" fillId="4" borderId="0" xfId="0" applyNumberFormat="1" applyFont="1" applyFill="1" applyBorder="1" applyAlignment="1">
      <x:alignment vertical="center" wrapText="1"/>
    </x:xf>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45" xfId="0" applyNumberFormat="1" applyFont="1" applyFill="1" applyBorder="1"/>
    <x:xf numFmtId="0" fontId="0" fillId="0" borderId="46" xfId="0" applyNumberFormat="1" applyFont="1" applyFill="1" applyBorder="1"/>
    <x:xf numFmtId="0" fontId="0" fillId="0" borderId="47" xfId="0" applyNumberFormat="1" applyFont="1" applyFill="1" applyBorder="1"/>
    <x:xf numFmtId="0" fontId="0" fillId="0" borderId="48" xfId="0" applyNumberFormat="1" applyFont="1" applyFill="1" applyBorder="1"/>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5" xfId="0" applyNumberFormat="1" applyFont="1" applyFill="1" applyBorder="1" applyAlignment="1">
      <x:alignment wrapText="1"/>
    </x:xf>
    <x:xf numFmtId="0" fontId="0" fillId="0" borderId="47" xfId="0" applyNumberFormat="1" applyFont="1" applyFill="1" applyBorder="1" applyAlignment="1">
      <x:alignment wrapText="1"/>
    </x:xf>
    <x:xf numFmtId="0" fontId="0" fillId="0" borderId="48" xfId="0" applyNumberFormat="1" applyFont="1" applyFill="1" applyBorder="1" applyAlignment="1">
      <x:alignment wrapText="1"/>
    </x:xf>
    <x:xf numFmtId="200" fontId="0" fillId="0" borderId="42" xfId="0" applyNumberFormat="1" applyFont="1" applyFill="1" applyBorder="1" applyAlignment="1">
      <x:alignment wrapText="1"/>
    </x:xf>
    <x:xf numFmtId="200" fontId="0" fillId="0" borderId="47" xfId="0" applyNumberFormat="1" applyFont="1" applyFill="1" applyBorder="1" applyAlignment="1">
      <x:alignment wrapText="1"/>
    </x:xf>
    <x:xf numFmtId="202" fontId="0" fillId="0" borderId="42" xfId="0" applyNumberFormat="1" applyFont="1" applyFill="1" applyBorder="1" applyAlignment="1">
      <x:alignment wrapText="1"/>
    </x:xf>
    <x:xf numFmtId="202" fontId="0" fillId="0" borderId="47" xfId="0" applyNumberFormat="1" applyFont="1" applyFill="1" applyBorder="1" applyAlignment="1">
      <x:alignment wrapText="1"/>
    </x:xf>
    <x:xf numFmtId="0" fontId="2" fillId="19" borderId="0" xfId="0" applyNumberFormat="1" applyFont="1" applyFill="1" applyBorder="1" applyAlignment="1">
      <x:alignment vertical="center"/>
    </x:xf>
    <x:xf numFmtId="0" fontId="3" fillId="20" borderId="0" xfId="0" applyNumberFormat="1" applyFont="1" applyFill="1" applyBorder="1" applyAlignment="1">
      <x:alignment vertical="center"/>
    </x:xf>
    <x:xf numFmtId="0" fontId="1" fillId="21" borderId="31" xfId="0" applyNumberFormat="1" applyFont="1" applyFill="1" applyBorder="1" applyAlignment="1">
      <x:alignment horizontal="center" vertical="center" wrapText="1"/>
    </x:xf>
    <x:xf numFmtId="0" fontId="1" fillId="21" borderId="32" xfId="0" applyNumberFormat="1" applyFont="1" applyFill="1" applyBorder="1" applyAlignment="1">
      <x:alignment horizontal="center" vertical="center" wrapText="1"/>
    </x:xf>
    <x:xf numFmtId="0" fontId="1" fillId="21" borderId="33" xfId="0" applyNumberFormat="1" applyFont="1" applyFill="1" applyBorder="1" applyAlignment="1">
      <x:alignment horizontal="center" vertical="center" wrapText="1"/>
    </x:xf>
    <x:xf numFmtId="0" fontId="1" fillId="21" borderId="0" xfId="0" applyNumberFormat="1" applyFont="1" applyFill="1" applyBorder="1" applyAlignment="1">
      <x:alignment horizontal="center" vertical="center" wrapText="1"/>
    </x:xf>
    <x:xf numFmtId="0" fontId="0" fillId="22" borderId="0" xfId="0" applyNumberFormat="1" applyFont="1" applyFill="1" applyBorder="1"/>
    <x:xf numFmtId="0" fontId="5" fillId="22" borderId="0" xfId="0" applyNumberFormat="1" applyFont="1" applyFill="1" applyBorder="1"/>
    <x:xf numFmtId="0" fontId="5" fillId="22" borderId="0" xfId="0" applyNumberFormat="1" applyFont="1" applyFill="1" applyBorder="1" applyAlignment="1">
      <x:alignment wrapText="1"/>
    </x:xf>
    <x:xf numFmtId="0" fontId="5" fillId="22" borderId="0" xfId="0" applyNumberFormat="1" applyFont="1" applyFill="1" applyBorder="1" applyAlignment="1">
      <x:alignment horizontal="center" wrapText="1"/>
    </x:xf>
    <x:xf numFmtId="0" fontId="5" fillId="22" borderId="0" xfId="0" applyNumberFormat="1" applyFont="1" applyFill="1" applyBorder="1" applyAlignment="1">
      <x:alignment horizontal="center" vertical="center" wrapText="1"/>
    </x:xf>
    <x:xf numFmtId="0" fontId="1" fillId="21" borderId="41" xfId="0" applyNumberFormat="1" applyFont="1" applyFill="1" applyBorder="1" applyAlignment="1">
      <x:alignment horizontal="center" vertical="center" wrapText="1"/>
    </x:xf>
    <x:xf numFmtId="0" fontId="1" fillId="21" borderId="42" xfId="0" applyNumberFormat="1" applyFont="1" applyFill="1" applyBorder="1" applyAlignment="1">
      <x:alignment horizontal="center" vertical="center" wrapText="1"/>
    </x:xf>
    <x:xf numFmtId="0" fontId="1" fillId="21" borderId="43" xfId="0" applyNumberFormat="1" applyFont="1" applyFill="1" applyBorder="1" applyAlignment="1">
      <x:alignment horizontal="center" vertical="center" wrapText="1"/>
    </x:xf>
    <x:xf numFmtId="0" fontId="0" fillId="0" borderId="44" xfId="0" applyNumberFormat="1" applyFont="1" applyFill="1" applyBorder="1" applyAlignment="1">
      <x:alignment wrapText="1"/>
    </x:xf>
    <x:xf numFmtId="0" fontId="5" fillId="5" borderId="44" xfId="0" applyNumberFormat="1" applyFont="1" applyFill="1" applyBorder="1" applyAlignment="1">
      <x:alignment horizontal="center" vertical="center" wrapText="1"/>
    </x:xf>
    <x:xf numFmtId="0" fontId="5" fillId="5" borderId="45" xfId="0" applyNumberFormat="1" applyFont="1" applyFill="1" applyBorder="1" applyAlignment="1">
      <x:alignment horizontal="center" vertical="center" wrapText="1"/>
    </x:xf>
    <x:xf numFmtId="0" fontId="5" fillId="5" borderId="49" xfId="0" applyNumberFormat="1" applyFont="1" applyFill="1" applyBorder="1" applyAlignment="1">
      <x:alignment horizontal="center" vertical="center" wrapText="1"/>
    </x:xf>
    <x:xf numFmtId="0" fontId="5" fillId="5" borderId="37" xfId="0" applyNumberFormat="1" applyFont="1" applyFill="1" applyBorder="1" applyAlignment="1">
      <x:alignment horizontal="center" vertical="center" wrapText="1"/>
    </x:xf>
    <x:xf numFmtId="0" fontId="5" fillId="5" borderId="50" xfId="0" applyNumberFormat="1" applyFont="1" applyFill="1" applyBorder="1" applyAlignment="1">
      <x:alignment horizontal="center" vertical="center" wrapText="1"/>
    </x:xf>
    <x:xf numFmtId="0" fontId="5" fillId="22" borderId="46" xfId="0" applyNumberFormat="1" applyFont="1" applyFill="1" applyBorder="1" applyAlignment="1">
      <x:alignment horizontal="center" vertical="center" wrapText="1"/>
    </x:xf>
    <x:xf numFmtId="0" fontId="5" fillId="22" borderId="47" xfId="0" applyNumberFormat="1" applyFont="1" applyFill="1" applyBorder="1" applyAlignment="1">
      <x:alignment horizontal="center" vertical="center" wrapText="1"/>
    </x:xf>
    <x:xf numFmtId="0" fontId="5" fillId="22" borderId="48" xfId="0" applyNumberFormat="1" applyFont="1" applyFill="1" applyBorder="1" applyAlignment="1">
      <x:alignment horizontal="center" vertical="center" wrapText="1"/>
    </x:xf>
    <x:xf numFmtId="200" fontId="0" fillId="0" borderId="45" xfId="0" applyNumberFormat="1" applyFont="1" applyFill="1" applyBorder="1"/>
    <x:xf numFmtId="200" fontId="0" fillId="0" borderId="48" xfId="0" applyNumberFormat="1" applyFont="1" applyFill="1" applyBorder="1"/>
    <x:xf numFmtId="0" fontId="4" fillId="20" borderId="0" xfId="0" applyNumberFormat="1" applyFont="1" applyFill="1" applyBorder="1" applyAlignment="1">
      <x:alignment vertical="center"/>
    </x:xf>
    <x:xf numFmtId="200" fontId="0" fillId="0" borderId="47" xfId="0" applyNumberFormat="1" applyFont="1" applyFill="1" applyBorder="1"/>
    <x:xf numFmtId="0" fontId="4" fillId="4" borderId="44" xfId="0" applyNumberFormat="1" applyFont="1" applyFill="1" applyBorder="1" applyAlignment="1">
      <x:alignment vertical="center"/>
    </x:xf>
    <x:xf numFmtId="0" fontId="4" fillId="4" borderId="45" xfId="0" applyNumberFormat="1" applyFont="1" applyFill="1" applyBorder="1" applyAlignment="1">
      <x:alignment vertical="center" wrapText="1"/>
    </x:xf>
    <x:xf numFmtId="0" fontId="1" fillId="2" borderId="46" xfId="0" applyNumberFormat="1" applyFont="1" applyFill="1" applyBorder="1" applyAlignment="1">
      <x:alignment horizontal="center" vertical="center" wrapText="1"/>
    </x:xf>
    <x:xf numFmtId="0" fontId="1" fillId="2" borderId="47" xfId="0" applyNumberFormat="1" applyFont="1" applyFill="1" applyBorder="1" applyAlignment="1">
      <x:alignment horizontal="center" vertical="center" wrapText="1"/>
    </x:xf>
    <x:xf numFmtId="0" fontId="1" fillId="2" borderId="48" xfId="0" applyNumberFormat="1" applyFont="1" applyFill="1" applyBorder="1" applyAlignment="1">
      <x:alignment horizontal="center" vertical="center" wrapText="1"/>
    </x:xf>
    <x:xf numFmtId="0" fontId="0" fillId="0" borderId="51" xfId="0" applyNumberFormat="1" applyFont="1" applyFill="1" applyBorder="1"/>
    <x:xf numFmtId="0" fontId="0" fillId="0" borderId="52" xfId="0" applyNumberFormat="1" applyFont="1" applyFill="1" applyBorder="1"/>
    <x:xf numFmtId="0" fontId="0" fillId="0" borderId="53" xfId="0" applyNumberFormat="1" applyFont="1" applyFill="1" applyBorder="1"/>
    <x:xf numFmtId="0" fontId="0" fillId="0" borderId="54" xfId="0" applyNumberFormat="1" applyFont="1" applyFill="1" applyBorder="1"/>
    <x:xf numFmtId="0" fontId="0" fillId="0" borderId="55" xfId="0" applyNumberFormat="1" applyFont="1" applyFill="1" applyBorder="1"/>
    <x:xf numFmtId="0" fontId="0" fillId="0" borderId="56" xfId="0" applyNumberFormat="1" applyFont="1" applyFill="1" applyBorder="1"/>
    <x:xf numFmtId="0" fontId="0" fillId="0" borderId="57" xfId="0" applyNumberFormat="1" applyFont="1" applyFill="1" applyBorder="1"/>
    <x:xf numFmtId="0" fontId="0" fillId="0" borderId="58" xfId="0" applyNumberFormat="1" applyFont="1" applyFill="1" applyBorder="1"/>
    <x:xf numFmtId="0" fontId="0" fillId="0" borderId="52" xfId="0" applyNumberFormat="1" applyFont="1" applyFill="1" applyBorder="1" applyAlignment="1">
      <x:alignment wrapText="1"/>
    </x:xf>
    <x:xf numFmtId="0" fontId="0" fillId="0" borderId="53" xfId="0" applyNumberFormat="1" applyFont="1" applyFill="1" applyBorder="1" applyAlignment="1">
      <x:alignment wrapText="1"/>
    </x:xf>
    <x:xf numFmtId="0" fontId="0" fillId="0" borderId="55"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8" xfId="0" applyNumberFormat="1" applyFont="1" applyFill="1" applyBorder="1" applyAlignment="1">
      <x:alignment wrapText="1"/>
    </x:xf>
    <x:xf numFmtId="200" fontId="0" fillId="0" borderId="52" xfId="0" applyNumberFormat="1" applyFont="1" applyFill="1" applyBorder="1" applyAlignment="1">
      <x:alignment wrapText="1"/>
    </x:xf>
    <x:xf numFmtId="200" fontId="0" fillId="0" borderId="57" xfId="0" applyNumberFormat="1" applyFont="1" applyFill="1" applyBorder="1" applyAlignment="1">
      <x:alignment wrapText="1"/>
    </x:xf>
    <x:xf numFmtId="202" fontId="0" fillId="0" borderId="52" xfId="0" applyNumberFormat="1" applyFont="1" applyFill="1" applyBorder="1" applyAlignment="1">
      <x:alignment wrapText="1"/>
    </x:xf>
    <x:xf numFmtId="202" fontId="0" fillId="0" borderId="57" xfId="0" applyNumberFormat="1" applyFont="1" applyFill="1" applyBorder="1" applyAlignment="1">
      <x:alignment wrapText="1"/>
    </x:xf>
    <x:xf numFmtId="0" fontId="2" fillId="23" borderId="0" xfId="0" applyNumberFormat="1" applyFont="1" applyFill="1" applyBorder="1" applyAlignment="1">
      <x:alignment vertical="center"/>
    </x:xf>
    <x:xf numFmtId="0" fontId="3" fillId="24" borderId="0" xfId="0" applyNumberFormat="1" applyFont="1" applyFill="1" applyBorder="1" applyAlignment="1">
      <x:alignment vertical="center"/>
    </x:xf>
    <x:xf numFmtId="0" fontId="1" fillId="25" borderId="41" xfId="0" applyNumberFormat="1" applyFont="1" applyFill="1" applyBorder="1" applyAlignment="1">
      <x:alignment horizontal="center" vertical="center" wrapText="1"/>
    </x:xf>
    <x:xf numFmtId="0" fontId="1" fillId="25" borderId="42" xfId="0" applyNumberFormat="1" applyFont="1" applyFill="1" applyBorder="1" applyAlignment="1">
      <x:alignment horizontal="center" vertical="center" wrapText="1"/>
    </x:xf>
    <x:xf numFmtId="0" fontId="1" fillId="25" borderId="43" xfId="0" applyNumberFormat="1" applyFont="1" applyFill="1" applyBorder="1" applyAlignment="1">
      <x:alignment horizontal="center" vertical="center" wrapText="1"/>
    </x:xf>
    <x:xf numFmtId="0" fontId="1" fillId="25" borderId="0" xfId="0" applyNumberFormat="1" applyFont="1" applyFill="1" applyBorder="1" applyAlignment="1">
      <x:alignment horizontal="center" vertical="center" wrapText="1"/>
    </x:xf>
    <x:xf numFmtId="0" fontId="0" fillId="26" borderId="0" xfId="0" applyNumberFormat="1" applyFont="1" applyFill="1" applyBorder="1"/>
    <x:xf numFmtId="0" fontId="5" fillId="26" borderId="0" xfId="0" applyNumberFormat="1" applyFont="1" applyFill="1" applyBorder="1"/>
    <x:xf numFmtId="0" fontId="5" fillId="26" borderId="0" xfId="0" applyNumberFormat="1" applyFont="1" applyFill="1" applyBorder="1" applyAlignment="1">
      <x:alignment wrapText="1"/>
    </x:xf>
    <x:xf numFmtId="0" fontId="5" fillId="26" borderId="0" xfId="0" applyNumberFormat="1" applyFont="1" applyFill="1" applyBorder="1" applyAlignment="1">
      <x:alignment horizontal="center" wrapText="1"/>
    </x:xf>
    <x:xf numFmtId="0" fontId="5" fillId="26" borderId="0" xfId="0" applyNumberFormat="1" applyFont="1" applyFill="1" applyBorder="1" applyAlignment="1">
      <x:alignment horizontal="center" vertical="center" wrapText="1"/>
    </x:xf>
    <x:xf numFmtId="0" fontId="1" fillId="25" borderId="51" xfId="0" applyNumberFormat="1" applyFont="1" applyFill="1" applyBorder="1" applyAlignment="1">
      <x:alignment horizontal="center" vertical="center" wrapText="1"/>
    </x:xf>
    <x:xf numFmtId="0" fontId="1" fillId="25" borderId="52" xfId="0" applyNumberFormat="1" applyFont="1" applyFill="1" applyBorder="1" applyAlignment="1">
      <x:alignment horizontal="center" vertical="center" wrapText="1"/>
    </x:xf>
    <x:xf numFmtId="0" fontId="1" fillId="25" borderId="53" xfId="0" applyNumberFormat="1" applyFont="1" applyFill="1" applyBorder="1" applyAlignment="1">
      <x:alignment horizontal="center" vertical="center" wrapText="1"/>
    </x:xf>
    <x:xf numFmtId="0" fontId="0" fillId="0" borderId="54" xfId="0" applyNumberFormat="1" applyFont="1" applyFill="1" applyBorder="1" applyAlignment="1">
      <x:alignment wrapText="1"/>
    </x:xf>
    <x:xf numFmtId="0" fontId="5" fillId="5" borderId="54" xfId="0" applyNumberFormat="1" applyFont="1" applyFill="1" applyBorder="1" applyAlignment="1">
      <x:alignment horizontal="center" vertical="center" wrapText="1"/>
    </x:xf>
    <x:xf numFmtId="0" fontId="5" fillId="5" borderId="55" xfId="0" applyNumberFormat="1" applyFont="1" applyFill="1" applyBorder="1" applyAlignment="1">
      <x:alignment horizontal="center" vertical="center" wrapText="1"/>
    </x:xf>
    <x:xf numFmtId="0" fontId="5" fillId="5" borderId="59" xfId="0" applyNumberFormat="1" applyFont="1" applyFill="1" applyBorder="1" applyAlignment="1">
      <x:alignment horizontal="center" vertical="center" wrapText="1"/>
    </x:xf>
    <x:xf numFmtId="0" fontId="5" fillId="5" borderId="47" xfId="0" applyNumberFormat="1" applyFont="1" applyFill="1" applyBorder="1" applyAlignment="1">
      <x:alignment horizontal="center" vertical="center" wrapText="1"/>
    </x:xf>
    <x:xf numFmtId="0" fontId="5" fillId="5" borderId="60" xfId="0" applyNumberFormat="1" applyFont="1" applyFill="1" applyBorder="1" applyAlignment="1">
      <x:alignment horizontal="center" vertical="center" wrapText="1"/>
    </x:xf>
    <x:xf numFmtId="0" fontId="5" fillId="26" borderId="56" xfId="0" applyNumberFormat="1" applyFont="1" applyFill="1" applyBorder="1" applyAlignment="1">
      <x:alignment horizontal="center" vertical="center" wrapText="1"/>
    </x:xf>
    <x:xf numFmtId="0" fontId="5" fillId="26" borderId="57" xfId="0" applyNumberFormat="1" applyFont="1" applyFill="1" applyBorder="1" applyAlignment="1">
      <x:alignment horizontal="center" vertical="center" wrapText="1"/>
    </x:xf>
    <x:xf numFmtId="0" fontId="5" fillId="26" borderId="58" xfId="0" applyNumberFormat="1" applyFont="1" applyFill="1" applyBorder="1" applyAlignment="1">
      <x:alignment horizontal="center" vertical="center" wrapText="1"/>
    </x:xf>
    <x:xf numFmtId="200" fontId="0" fillId="0" borderId="55" xfId="0" applyNumberFormat="1" applyFont="1" applyFill="1" applyBorder="1"/>
    <x:xf numFmtId="200" fontId="0" fillId="0" borderId="58" xfId="0" applyNumberFormat="1" applyFont="1" applyFill="1" applyBorder="1"/>
    <x:xf numFmtId="0" fontId="4" fillId="24" borderId="0" xfId="0" applyNumberFormat="1" applyFont="1" applyFill="1" applyBorder="1" applyAlignment="1">
      <x:alignment vertical="center"/>
    </x:xf>
    <x:xf numFmtId="200" fontId="0" fillId="0" borderId="57" xfId="0" applyNumberFormat="1" applyFont="1" applyFill="1" applyBorder="1"/>
  </x:cellXfs>
  <x:cellStyles count="1">
    <x:cellStyle name="Normal" xfId="0"/>
  </x:cellStyles>
  <x:dxfs count="14">
    <x:dxf>
      <x:font>
        <x:b/>
        <x:color rgb="FFC00000"/>
      </x:font>
      <x:fill>
        <x:patternFill>
          <x:bgColor rgb="FFFCE4D6"/>
        </x:patternFill>
      </x:fill>
    </x:dxf>
    <x:dxf>
      <x:font>
        <x:b/>
        <x:color rgb="FF548235"/>
      </x:font>
      <x:fill>
        <x:patternFill>
          <x:bgColor rgb="FFE2F0D9"/>
        </x:patternFill>
      </x:fill>
    </x:dxf>
    <x:dxf>
      <x:font>
        <x:color rgb="FF44546A"/>
      </x:font>
      <x:fill>
        <x:patternFill>
          <x:bgColor rgb="FFF3F6F8"/>
        </x:patternFill>
      </x:fill>
    </x:dxf>
    <x:dxf>
      <x:fill>
        <x:patternFill>
          <x:bgColor rgb="FFFFF2CC"/>
        </x:patternFill>
      </x:fill>
    </x:dxf>
    <x:dxf>
      <x:font>
        <x:b/>
        <x:color rgb="FF548235"/>
      </x:font>
      <x:fill>
        <x:patternFill>
          <x:bgColor rgb="FFE2F0D9"/>
        </x:patternFill>
      </x:fill>
    </x:dxf>
    <x:dxf>
      <x:fill>
        <x:patternFill>
          <x:bgColor rgb="FFFFF2CC"/>
        </x:patternFill>
      </x:fill>
    </x:dxf>
    <x:dxf>
      <x:font>
        <x:color rgb="FFC00000"/>
      </x:font>
      <x:fill>
        <x:patternFill>
          <x:bgColor rgb="FFFCE4D6"/>
        </x:patternFill>
      </x:fill>
    </x:dxf>
    <x:dxf>
      <x:font>
        <x:b/>
        <x:color rgb="FFC00000"/>
      </x:font>
      <x:fill>
        <x:patternFill>
          <x:bgColor rgb="FFFCE4D6"/>
        </x:patternFill>
      </x:fill>
    </x:dxf>
    <x:dxf>
      <x:font>
        <x:b/>
        <x:color rgb="FFC00000"/>
      </x:font>
      <x:fill>
        <x:patternFill>
          <x:bgColor rgb="FFFCE4D6"/>
        </x:patternFill>
      </x:fill>
    </x:dxf>
    <x:dxf>
      <x:font>
        <x:b/>
        <x:color rgb="FF548235"/>
      </x:font>
      <x:fill>
        <x:patternFill>
          <x:bgColor rgb="FFE2F0D9"/>
        </x:patternFill>
      </x:fill>
    </x:dxf>
    <x:dxf>
      <x:fill>
        <x:patternFill>
          <x:bgColor rgb="FFFFF2CC"/>
        </x:patternFill>
      </x:fill>
    </x:dxf>
    <x:dxf>
      <x:font>
        <x:color rgb="FFC00000"/>
      </x:font>
      <x:fill>
        <x:patternFill>
          <x:bgColor rgb="FFFCE4D6"/>
        </x:patternFill>
      </x:fill>
    </x:dxf>
    <x:dxf>
      <x:font>
        <x:b/>
        <x:color rgb="FFC00000"/>
      </x:font>
      <x:fill>
        <x:patternFill>
          <x:bgColor rgb="FFFCE4D6"/>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ecaf254d9b447a" /><Relationship Type="http://schemas.openxmlformats.org/officeDocument/2006/relationships/theme" Target="/xl/theme/theme1.xml" Id="Rffa8d8fd27654a14" /><Relationship Type="http://schemas.openxmlformats.org/officeDocument/2006/relationships/sharedStrings" Target="/xl/sharedStrings.xml" Id="R14a3360f5ec54c10" /><Relationship Type="http://schemas.openxmlformats.org/officeDocument/2006/relationships/worksheet" Target="/xl/worksheets/sheet1.xml" Id="Rcdac5cce79a3479f" /><Relationship Type="http://schemas.openxmlformats.org/officeDocument/2006/relationships/worksheet" Target="/xl/worksheets/sheet2.xml" Id="R18721924e17d4d09" /><Relationship Type="http://schemas.openxmlformats.org/officeDocument/2006/relationships/worksheet" Target="/xl/worksheets/sheet3.xml" Id="R415a9a82b53e4179" /><Relationship Type="http://schemas.openxmlformats.org/officeDocument/2006/relationships/worksheet" Target="/xl/worksheets/sheet4.xml" Id="R1aac1e968b1d41bc" /><Relationship Type="http://schemas.openxmlformats.org/officeDocument/2006/relationships/worksheet" Target="/xl/worksheets/sheet5.xml" Id="R0189d288ca4c4f32" /><Relationship Type="http://schemas.openxmlformats.org/officeDocument/2006/relationships/worksheet" Target="/xl/worksheets/sheet6.xml" Id="R1f2d941cf35040f4" /><Relationship Type="http://schemas.openxmlformats.org/officeDocument/2006/relationships/worksheet" Target="/xl/worksheets/sheet7.xml" Id="R38d08480d803413e" /><Relationship Type="http://schemas.openxmlformats.org/officeDocument/2006/relationships/worksheet" Target="/xl/worksheets/sheet8.xml" Id="Rac6b163804b84544" /><Relationship Type="http://schemas.openxmlformats.org/officeDocument/2006/relationships/worksheet" Target="/xl/worksheets/sheet9.xml" Id="R7650c4a24bde458b" /><Relationship Type="http://schemas.openxmlformats.org/officeDocument/2006/relationships/worksheet" Target="/xl/worksheets/sheet10.xml" Id="R5344364f5c0246d3" /></Relationships>
</file>

<file path=xl/drawings/_rels/drawing1.xml.rels>&#65279;<?xml version="1.0" encoding="utf-8"?><Relationships xmlns="http://schemas.openxmlformats.org/package/2006/relationships"><Relationship Type="http://schemas.openxmlformats.org/officeDocument/2006/relationships/chart" Target="/xl/drawings/charts/chart1.xml" Id="Rc13812688bfd4de7" /><Relationship Type="http://schemas.openxmlformats.org/officeDocument/2006/relationships/chart" Target="/xl/drawings/charts/chart2.xml" Id="R0360f1dabaca4ef7" /><Relationship Type="http://schemas.openxmlformats.org/officeDocument/2006/relationships/chart" Target="/xl/drawings/charts/chart3.xml" Id="R6a89220aeadd42c7" /><Relationship Type="http://schemas.openxmlformats.org/officeDocument/2006/relationships/chart" Target="/xl/drawings/charts/chart4.xml" Id="Rf73e75b3fe1c4be6" /></Relationships>
</file>

<file path=xl/drawings/_rels/drawing2.xml.rels>&#65279;<?xml version="1.0" encoding="utf-8"?><Relationships xmlns="http://schemas.openxmlformats.org/package/2006/relationships"><Relationship Type="http://schemas.openxmlformats.org/officeDocument/2006/relationships/chart" Target="/xl/drawings/charts/chart5.xml" Id="Ra0c52269486e430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Assessment Status</a:t>
            </a:r>
          </a:p>
        </c:rich>
      </c:tx>
      <c:overlay val="0"/>
    </c:title>
    <c:autoTitleDeleted val="0"/>
    <c:plotArea>
      <c:layout/>
      <c:pieChart>
        <c:ser>
          <c:idx val="0"/>
          <c:order val="0"/>
          <c:tx>
            <c:v>Count</c:v>
          </c:tx>
          <c:cat>
            <c:strRef>
              <c:f>'Dashboard'!$A$12:$A$16</c:f>
              <c:strCache>
                <c:ptCount val="0"/>
              </c:strCache>
            </c:strRef>
          </c:cat>
          <c:val>
            <c:numRef>
              <c:f>'Dashboard'!$B$12:$B$16</c:f>
              <c:numCache>
                <c:formatCode>General</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Priority Mix</a:t>
            </a:r>
          </a:p>
        </c:rich>
      </c:tx>
      <c:overlay val="0"/>
    </c:title>
    <c:autoTitleDeleted val="0"/>
    <c:plotArea>
      <c:layout/>
      <c:doughnutChart>
        <c:ser>
          <c:idx val="0"/>
          <c:order val="0"/>
          <c:tx>
            <c:v>Count</c:v>
          </c:tx>
          <c:cat>
            <c:strRef>
              <c:f>'Dashboard'!$D$12:$D$15</c:f>
              <c:strCache>
                <c:ptCount val="0"/>
              </c:strCache>
            </c:strRef>
          </c:cat>
          <c:val>
            <c:numRef>
              <c:f>'Dashboard'!$E$12:$E$15</c:f>
              <c:numCache>
                <c:formatCode>General</c:formatCode>
                <c:ptCount val="0"/>
              </c:numCache>
            </c:numRef>
          </c:val>
        </c:ser>
        <c:dLbls>
          <c:showLegendKey val="0"/>
          <c:showVal val="0"/>
          <c:showCatName val="0"/>
          <c:showSerName val="0"/>
          <c:showPercent val="0"/>
          <c:showBubbleSize val="0"/>
          <c:showLeaderLines val="0"/>
        </c:dLbls>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Compliance by Domain</a:t>
            </a:r>
          </a:p>
        </c:rich>
      </c:tx>
      <c:overlay val="0"/>
    </c:title>
    <c:autoTitleDeleted val="0"/>
    <c:plotArea>
      <c:layout/>
      <c:barChart>
        <c:barDir val="col"/>
        <c:varyColors val="0"/>
        <c:ser>
          <c:idx val="0"/>
          <c:order val="0"/>
          <c:tx>
            <c:v>Requirements</c:v>
          </c:tx>
          <c:cat>
            <c:strRef>
              <c:f>'Dashboard'!$A$22:$A$41</c:f>
              <c:strCache>
                <c:ptCount val="0"/>
              </c:strCache>
            </c:strRef>
          </c:cat>
          <c:val>
            <c:numRef>
              <c:f>'Dashboard'!$B$22:$B$41</c:f>
              <c:numCache>
                <c:formatCode>General</c:formatCode>
                <c:ptCount val="0"/>
              </c:numCache>
            </c:numRef>
          </c:val>
        </c:ser>
        <c:ser>
          <c:idx val="1"/>
          <c:order val="1"/>
          <c:tx>
            <c:v>Implemented</c:v>
          </c:tx>
          <c:cat>
            <c:strRef>
              <c:f>'Dashboard'!$A$22:$A$41</c:f>
              <c:strCache>
                <c:ptCount val="0"/>
              </c:strCache>
            </c:strRef>
          </c:cat>
          <c:val>
            <c:numRef>
              <c:f>'Dashboard'!$C$22:$C$41</c:f>
              <c:numCache>
                <c:formatCode>General</c:formatCode>
                <c:ptCount val="0"/>
              </c:numCache>
            </c:numRef>
          </c:val>
        </c:ser>
        <c:ser>
          <c:idx val="2"/>
          <c:order val="2"/>
          <c:tx>
            <c:v>Compliance</c:v>
          </c:tx>
          <c:cat>
            <c:strRef>
              <c:f>'Dashboard'!$A$22:$A$41</c:f>
              <c:strCache>
                <c:ptCount val="0"/>
              </c:strCache>
            </c:strRef>
          </c:cat>
          <c:val>
            <c:numRef>
              <c:f>'Dashboard'!$D$22:$D$41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Weighted Gap by Domain</a:t>
            </a:r>
          </a:p>
        </c:rich>
      </c:tx>
      <c:overlay val="0"/>
    </c:title>
    <c:autoTitleDeleted val="0"/>
    <c:plotArea>
      <c:layout/>
      <c:barChart>
        <c:barDir val="col"/>
        <c:varyColors val="0"/>
        <c:ser>
          <c:idx val="0"/>
          <c:order val="0"/>
          <c:tx>
            <c:v>Requirements</c:v>
          </c:tx>
          <c:cat>
            <c:strRef>
              <c:f>'Dashboard'!$A$22:$A$41</c:f>
              <c:strCache>
                <c:ptCount val="0"/>
              </c:strCache>
            </c:strRef>
          </c:cat>
          <c:val>
            <c:numRef>
              <c:f>'Dashboard'!$B$22:$B$41</c:f>
              <c:numCache>
                <c:formatCode>General</c:formatCode>
                <c:ptCount val="0"/>
              </c:numCache>
            </c:numRef>
          </c:val>
        </c:ser>
        <c:ser>
          <c:idx val="1"/>
          <c:order val="1"/>
          <c:tx>
            <c:v>Implemented</c:v>
          </c:tx>
          <c:cat>
            <c:strRef>
              <c:f>'Dashboard'!$A$22:$A$41</c:f>
              <c:strCache>
                <c:ptCount val="0"/>
              </c:strCache>
            </c:strRef>
          </c:cat>
          <c:val>
            <c:numRef>
              <c:f>'Dashboard'!$C$22:$C$41</c:f>
              <c:numCache>
                <c:formatCode>General</c:formatCode>
                <c:ptCount val="0"/>
              </c:numCache>
            </c:numRef>
          </c:val>
        </c:ser>
        <c:ser>
          <c:idx val="2"/>
          <c:order val="2"/>
          <c:tx>
            <c:v>Compliance</c:v>
          </c:tx>
          <c:cat>
            <c:strRef>
              <c:f>'Dashboard'!$A$22:$A$41</c:f>
              <c:strCache>
                <c:ptCount val="0"/>
              </c:strCache>
            </c:strRef>
          </c:cat>
          <c:val>
            <c:numRef>
              <c:f>'Dashboard'!$D$22:$D$41</c:f>
              <c:numCache>
                <c:formatCode>0%</c:formatCode>
                <c:ptCount val="0"/>
              </c:numCache>
            </c:numRef>
          </c:val>
        </c:ser>
        <c:ser>
          <c:idx val="3"/>
          <c:order val="3"/>
          <c:tx>
            <c:v>Gap Weight</c:v>
          </c:tx>
          <c:cat>
            <c:strRef>
              <c:f>'Dashboard'!$A$22:$A$41</c:f>
              <c:strCache>
                <c:ptCount val="0"/>
              </c:strCache>
            </c:strRef>
          </c:cat>
          <c:val>
            <c:numRef>
              <c:f>'Dashboard'!$E$22:$E$41</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Candidate Weighted Scores</a:t>
            </a:r>
          </a:p>
        </c:rich>
      </c:tx>
      <c:overlay val="0"/>
    </c:title>
    <c:autoTitleDeleted val="0"/>
    <c:plotArea>
      <c:layout/>
      <c:barChart>
        <c:barDir val="col"/>
        <c:varyColors val="0"/>
        <c:ser>
          <c:idx val="0"/>
          <c:order val="0"/>
          <c:tx>
            <c:v>Weighted Score</c:v>
          </c:tx>
          <c:cat>
            <c:strRef>
              <c:f>'Vendor Scorecard'!$J$14:$J$16</c:f>
              <c:strCache>
                <c:ptCount val="0"/>
              </c:strCache>
            </c:strRef>
          </c:cat>
          <c:val>
            <c:numRef>
              <c:f>'Vendor Scorecard'!$K$14:$K$16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9</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13812688bfd4de7"/>
        </a:graphicData>
      </a:graphic>
    </xdr:graphicFrame>
    <xdr:clientData/>
  </xdr:twoCellAnchor>
  <xdr:twoCellAnchor>
    <xdr:from>
      <xdr:col>7</xdr:col>
      <xdr:colOff>0</xdr:colOff>
      <xdr:row>20</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60f1dabaca4ef7"/>
        </a:graphicData>
      </a:graphic>
    </xdr:graphicFrame>
    <xdr:clientData/>
  </xdr:twoCellAnchor>
  <xdr:twoCellAnchor>
    <xdr:from>
      <xdr:col>6</xdr:col>
      <xdr:colOff>0</xdr:colOff>
      <xdr:row>32</xdr:row>
      <xdr:rowOff>0</xdr:rowOff>
    </xdr:from>
    <xdr:to>
      <xdr:col>14</xdr:col>
      <xdr:colOff>0</xdr:colOff>
      <xdr:row>55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a89220aeadd42c7"/>
        </a:graphicData>
      </a:graphic>
    </xdr:graphicFrame>
    <xdr:clientData/>
  </xdr:twoCellAnchor>
  <xdr:twoCellAnchor>
    <xdr:from>
      <xdr:col>0</xdr:col>
      <xdr:colOff>0</xdr:colOff>
      <xdr:row>43</xdr:row>
      <xdr:rowOff>0</xdr:rowOff>
    </xdr:from>
    <xdr:to>
      <xdr:col>6</xdr:col>
      <xdr:colOff>0</xdr:colOff>
      <xdr:row>66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3e75b3fe1c4be6"/>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19</xdr:row>
      <xdr:rowOff>0</xdr:rowOff>
    </xdr:from>
    <xdr:to>
      <xdr:col>18</xdr:col>
      <xdr:colOff>0</xdr:colOff>
      <xdr:row>37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0c52269486e4300"/>
        </a:graphicData>
      </a:graphic>
    </xdr:graphicFrame>
    <xdr:clientData/>
  </xdr:twoCellAnchor>
</xdr:wsDr>
</file>

<file path=xl/tables/table1.xml><?xml version="1.0" encoding="utf-8"?>
<x:table xmlns:x="http://schemas.openxmlformats.org/spreadsheetml/2006/main" id="2" name="RequirementsTable" displayName="RequirementsTable" ref="A1:W221" headerRowCount="1">
  <x:tableColumns count="23">
    <x:tableColumn id="1" name="Control ID"/>
    <x:tableColumn id="2" name="Domain"/>
    <x:tableColumn id="3" name="Subdomain"/>
    <x:tableColumn id="4" name="Security Requirement"/>
    <x:tableColumn id="5" name="Threats Addressed"/>
    <x:tableColumn id="6" name="Control Level"/>
    <x:tableColumn id="7" name="Priority"/>
    <x:tableColumn id="8" name="Applicability"/>
    <x:tableColumn id="9" name="Validation Method"/>
    <x:tableColumn id="10" name="Status"/>
    <x:tableColumn id="11" name="Compliance %"/>
    <x:tableColumn id="12" name="Evidence / Artifact"/>
    <x:tableColumn id="13" name="Owner"/>
    <x:tableColumn id="14" name="Target Date"/>
    <x:tableColumn id="15" name="Residual Risk"/>
    <x:tableColumn id="16" name="Weight"/>
    <x:tableColumn id="17" name="Weighted Score"/>
    <x:tableColumn id="18" name="Gap Weight"/>
    <x:tableColumn id="19" name="Recommendation"/>
    <x:tableColumn id="20" name="Last Reviewed"/>
    <x:tableColumn id="21" name="Source ID"/>
    <x:tableColumn id="22" name="Source URL"/>
    <x:tableColumn id="23" name="Notes"/>
  </x:tableColumns>
  <x:tableStyleInfo name="TableStyleMedium2" showRowStripes="1"/>
</x:table>
</file>

<file path=xl/tables/table2.xml><?xml version="1.0" encoding="utf-8"?>
<x:table xmlns:x="http://schemas.openxmlformats.org/spreadsheetml/2006/main" id="3" name="ThreatCoverageTable" displayName="ThreatCoverageTable" ref="A1:H84" headerRowCount="1">
  <x:tableColumns count="8">
    <x:tableColumn id="1" name="Threat ID"/>
    <x:tableColumn id="2" name="Threat / Attack"/>
    <x:tableColumn id="3" name="Description"/>
    <x:tableColumn id="4" name="RBI Effectiveness"/>
    <x:tableColumn id="5" name="RBI Contribution"/>
    <x:tableColumn id="6" name="Required Complementary Controls"/>
    <x:tableColumn id="7" name="Relevant Domains"/>
    <x:tableColumn id="8" name="Source ID"/>
  </x:tableColumns>
  <x:tableStyleInfo name="TableStyleMedium2" showRowStripes="1"/>
</x:table>
</file>

<file path=xl/tables/table3.xml><?xml version="1.0" encoding="utf-8"?>
<x:table xmlns:x="http://schemas.openxmlformats.org/spreadsheetml/2006/main" id="4" name="ProtocolMatrixTable" displayName="ProtocolMatrixTable" ref="A1:G25" headerRowCount="1">
  <x:tableColumns count="7">
    <x:tableColumn id="1" name="Protocol / Feature"/>
    <x:tableColumn id="2" name="Transport"/>
    <x:tableColumn id="3" name="Primary Security Risks"/>
    <x:tableColumn id="4" name="Required RBI / Network Control"/>
    <x:tableColumn id="5" name="Required Telemetry"/>
    <x:tableColumn id="6" name="Recommended Default"/>
    <x:tableColumn id="7" name="Source ID"/>
  </x:tableColumns>
  <x:tableStyleInfo name="TableStyleMedium2" showRowStripes="1"/>
</x:table>
</file>

<file path=xl/tables/table4.xml><?xml version="1.0" encoding="utf-8"?>
<x:table xmlns:x="http://schemas.openxmlformats.org/spreadsheetml/2006/main" id="5" name="ExtensionInventoryTable" displayName="ExtensionInventoryTable" ref="A17:P47" headerRowCount="1">
  <x:tableColumns count="16">
    <x:tableColumn id="1" name="Extension ID"/>
    <x:tableColumn id="2" name="Name"/>
    <x:tableColumn id="3" name="Browser / Profile"/>
    <x:tableColumn id="4" name="Version"/>
    <x:tableColumn id="5" name="Publisher / Source"/>
    <x:tableColumn id="6" name="Installation Mode"/>
    <x:tableColumn id="7" name="Approval Status"/>
    <x:tableColumn id="8" name="Business Owner"/>
    <x:tableColumn id="9" name="Permissions"/>
    <x:tableColumn id="10" name="Host / URL Access"/>
    <x:tableColumn id="11" name="Sensitive Data Access"/>
    <x:tableColumn id="12" name="Risk Rating"/>
    <x:tableColumn id="13" name="Last Review"/>
    <x:tableColumn id="14" name="Required Action"/>
    <x:tableColumn id="15" name="Removal Deadline"/>
    <x:tableColumn id="16" name="Evidence / Notes"/>
  </x:tableColumns>
  <x:tableStyleInfo name="TableStyleMedium2" showRowStripes="1"/>
</x:table>
</file>

<file path=xl/tables/table5.xml><?xml version="1.0" encoding="utf-8"?>
<x:table xmlns:x="http://schemas.openxmlformats.org/spreadsheetml/2006/main" id="8" name="VendorScoreFortinetTable" displayName="VendorScoreFortinetTable" ref="A4:H71" headerRowCount="1">
  <x:tableColumns count="8">
    <x:tableColumn id="1" name="Capability Domain"/>
    <x:tableColumn id="2" name="Weight"/>
    <x:tableColumn id="3" name="Candidate 1 Rating"/>
    <x:tableColumn id="4" name="Candidate 1 Weighted"/>
    <x:tableColumn id="5" name="Candidate 2 Rating"/>
    <x:tableColumn id="6" name="Candidate 2 Weighted"/>
    <x:tableColumn id="7" name="Candidate 3 Rating"/>
    <x:tableColumn id="8" name="Candidate 3 Weighted"/>
  </x:tableColumns>
  <x:tableStyleInfo name="TableStyleMedium2" showRowStripes="1"/>
</x:table>
</file>

<file path=xl/tables/table6.xml><?xml version="1.0" encoding="utf-8"?>
<x:table xmlns:x="http://schemas.openxmlformats.org/spreadsheetml/2006/main" id="1" name="SourcesTable" displayName="SourcesTable" ref="A1:F127" headerRowCount="1">
  <x:tableColumns count="6">
    <x:tableColumn id="1" name="Source ID"/>
    <x:tableColumn id="2" name="Publisher"/>
    <x:tableColumn id="3" name="Title"/>
    <x:tableColumn id="4" name="Publication / Standard"/>
    <x:tableColumn id="5" name="URL"/>
    <x:tableColumn id="6" name="Workbook Use"/>
  </x:tableColumns>
  <x:tableStyleInfo name="TableStyleMedium2" showRowStripes="1"/>
</x:table>
</file>

<file path=xl/tables/table7.xml><?xml version="1.0" encoding="utf-8"?>
<x:table xmlns:x="http://schemas.openxmlformats.org/spreadsheetml/2006/main" id="7" name="VendorArchitectureTable" displayName="VendorArchitectureTable" ref="A6:J24" headerRowCount="1">
  <x:tableColumns count="10">
    <x:tableColumn id="1" name="Vendor / Offering"/>
    <x:tableColumn id="2" name="Primary Architecture"/>
    <x:tableColumn id="3" name="Verified Cloud RBI"/>
    <x:tableColumn id="4" name="Endpoint Enforcement"/>
    <x:tableColumn id="5" name="AI / Agent Controls"/>
    <x:tableColumn id="6" name="Extension Governance"/>
    <x:tableColumn id="7" name="Key Strengths to Test"/>
    <x:tableColumn id="8" name="Critical Due-Diligence Questions"/>
    <x:tableColumn id="9" name="Architecture Confidence"/>
    <x:tableColumn id="10" name="Official Sour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5203955f65b4149" /></Relationships>
</file>

<file path=xl/worksheets/_rels/sheet3.xml.rels>&#65279;<?xml version="1.0" encoding="utf-8"?><Relationships xmlns="http://schemas.openxmlformats.org/package/2006/relationships"><Relationship Type="http://schemas.openxmlformats.org/officeDocument/2006/relationships/table" Target="/xl/tables/table1.xml" Id="R7c0b9e1cd8034133" /></Relationships>
</file>

<file path=xl/worksheets/_rels/sheet4.xml.rels>&#65279;<?xml version="1.0" encoding="utf-8"?><Relationships xmlns="http://schemas.openxmlformats.org/package/2006/relationships"><Relationship Type="http://schemas.openxmlformats.org/officeDocument/2006/relationships/table" Target="/xl/tables/table2.xml" Id="R4618aafc3e75411e" /></Relationships>
</file>

<file path=xl/worksheets/_rels/sheet5.xml.rels>&#65279;<?xml version="1.0" encoding="utf-8"?><Relationships xmlns="http://schemas.openxmlformats.org/package/2006/relationships"><Relationship Type="http://schemas.openxmlformats.org/officeDocument/2006/relationships/table" Target="/xl/tables/table3.xml" Id="R68307fed172342d3" /></Relationships>
</file>

<file path=xl/worksheets/_rels/sheet6.xml.rels>&#65279;<?xml version="1.0" encoding="utf-8"?><Relationships xmlns="http://schemas.openxmlformats.org/package/2006/relationships"><Relationship Type="http://schemas.openxmlformats.org/officeDocument/2006/relationships/table" Target="/xl/tables/table4.xml" Id="Rf1831102a79c4474" /></Relationships>
</file>

<file path=xl/worksheets/_rels/sheet7.xml.rels>&#65279;<?xml version="1.0" encoding="utf-8"?><Relationships xmlns="http://schemas.openxmlformats.org/package/2006/relationships"><Relationship Type="http://schemas.openxmlformats.org/officeDocument/2006/relationships/drawing" Target="/xl/drawings/drawing2.xml" Id="Rb23021096b6640e3" /><Relationship Type="http://schemas.openxmlformats.org/officeDocument/2006/relationships/table" Target="/xl/tables/table5.xml" Id="Rd545d917f0204119" /></Relationships>
</file>

<file path=xl/worksheets/_rels/sheet8.xml.rels>&#65279;<?xml version="1.0" encoding="utf-8"?><Relationships xmlns="http://schemas.openxmlformats.org/package/2006/relationships"><Relationship Type="http://schemas.openxmlformats.org/officeDocument/2006/relationships/table" Target="/xl/tables/table6.xml" Id="R13397811052a4636" /></Relationships>
</file>

<file path=xl/worksheets/_rels/sheet10.xml.rels>&#65279;<?xml version="1.0" encoding="utf-8"?><Relationships xmlns="http://schemas.openxmlformats.org/package/2006/relationships"><Relationship Type="http://schemas.openxmlformats.org/officeDocument/2006/relationships/table" Target="/xl/tables/table7.xml" Id="R4a0fc4804e484cc1" /></Relationships>
</file>

<file path=xl/worksheets/sheet1.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4" customHeight="1">
      <x:c r="A1" s="55" t="str">
        <x:v>Remote Browser Isolation and Enterprise Browser Security Requirements Workbook</x:v>
      </x:c>
      <x:c r="B1" s="55"/>
      <x:c r="C1" s="55"/>
      <x:c r="D1" s="55"/>
      <x:c r="E1" s="55"/>
      <x:c r="F1" s="55"/>
      <x:c r="G1" s="55"/>
      <x:c r="H1" s="55"/>
    </x:row>
    <x:row r="2" ht="24" customHeight="1">
      <x:c r="A2" s="61" t="str">
        <x:v>Author: Yuval Sinay | Version 1.0 | 07.08.2026</x:v>
      </x:c>
      <x:c r="B2" s="61"/>
      <x:c r="C2" s="61"/>
      <x:c r="D2" s="61"/>
      <x:c r="E2" s="61"/>
      <x:c r="F2" s="61"/>
      <x:c r="G2" s="61"/>
      <x:c r="H2" s="61"/>
    </x:row>
    <x:row r="4">
      <x:c r="A4" s="66" t="str">
        <x:v>Purpose</x:v>
      </x:c>
      <x:c r="B4" s="66"/>
      <x:c r="C4" s="66"/>
      <x:c r="D4" s="66"/>
      <x:c r="E4" s="66"/>
      <x:c r="F4" s="66"/>
      <x:c r="G4" s="66"/>
      <x:c r="H4" s="66"/>
    </x:row>
    <x:row r="5">
      <x:c r="A5" s="182" t="str">
        <x:v>This workbook provides an assessable catalog for Remote Browser Isolation, enterprise-browser security and complementary web-defense controls. Fortinet FortiSASE RBI, FortiIsolator and FortiSASE Secure Browser are now included alongside Cisco, Check Point, Forcepoint, iboss, Broadcom Symantec, Netskope, Palo Alto Networks, Menlo Security, LayerX, Seraphic Security, Conceal, Island, SURF Security and Mammoth Cyber.</x:v>
      </x:c>
      <x:c r="B5" s="183"/>
      <x:c r="C5" s="183"/>
      <x:c r="D5" s="183"/>
      <x:c r="E5" s="183"/>
      <x:c r="F5" s="183"/>
      <x:c r="G5" s="183"/>
      <x:c r="H5" s="184"/>
    </x:row>
    <x:row r="6">
      <x:c r="A6" s="185"/>
      <x:c r="B6" s="186"/>
      <x:c r="C6" s="186"/>
      <x:c r="D6" s="186"/>
      <x:c r="E6" s="186"/>
      <x:c r="F6" s="186"/>
      <x:c r="G6" s="186"/>
      <x:c r="H6" s="187"/>
    </x:row>
    <x:row r="7">
      <x:c r="A7" s="188"/>
      <x:c r="B7" s="189"/>
      <x:c r="C7" s="189"/>
      <x:c r="D7" s="189"/>
      <x:c r="E7" s="189"/>
      <x:c r="F7" s="189"/>
      <x:c r="G7" s="189"/>
      <x:c r="H7" s="190"/>
    </x:row>
    <x:row r="9">
      <x:c r="A9" s="66" t="str">
        <x:v>How to Use</x:v>
      </x:c>
      <x:c r="B9" s="66"/>
      <x:c r="C9" s="66"/>
      <x:c r="D9" s="66"/>
      <x:c r="E9" s="66"/>
      <x:c r="F9" s="66"/>
      <x:c r="G9" s="66"/>
      <x:c r="H9" s="66"/>
    </x:row>
    <x:row r="10">
      <x:c r="A10" s="433" t="str">
        <x:v>Step</x:v>
      </x:c>
      <x:c r="B10" s="434" t="str">
        <x:v>Action</x:v>
      </x:c>
      <x:c r="C10" s="434" t="str"/>
      <x:c r="D10" s="434" t="str"/>
      <x:c r="E10" s="434" t="str"/>
      <x:c r="F10" s="434" t="str"/>
      <x:c r="G10" s="434" t="str"/>
      <x:c r="H10" s="435" t="str"/>
    </x:row>
    <x:row r="11">
      <x:c r="A11" s="408" t="str">
        <x:v>1</x:v>
      </x:c>
      <x:c r="B11" s="228" t="str">
        <x:v>Open Requirements and set Status, Evidence, Owner, Target Date, Residual Risk and Last Reviewed.</x:v>
      </x:c>
      <x:c r="C11" s="228" t="str"/>
      <x:c r="D11" s="228" t="str"/>
      <x:c r="E11" s="228" t="str"/>
      <x:c r="F11" s="228" t="str"/>
      <x:c r="G11" s="228" t="str"/>
      <x:c r="H11" s="415" t="str"/>
    </x:row>
    <x:row r="12">
      <x:c r="A12" s="408" t="str">
        <x:v>2</x:v>
      </x:c>
      <x:c r="B12" s="228" t="str">
        <x:v>Use Threat Coverage for common web, nation-state-derived, identity, AI, tunneling, file, browser and supply-chain threats.</x:v>
      </x:c>
      <x:c r="C12" s="228" t="str"/>
      <x:c r="D12" s="228" t="str"/>
      <x:c r="E12" s="228" t="str"/>
      <x:c r="F12" s="228" t="str"/>
      <x:c r="G12" s="228" t="str"/>
      <x:c r="H12" s="415" t="str"/>
    </x:row>
    <x:row r="13">
      <x:c r="A13" s="408" t="str">
        <x:v>3</x:v>
      </x:c>
      <x:c r="B13" s="228" t="str">
        <x:v>Use Dashboard for weighted compliance, critical gaps, status, priority and domain-level risk.</x:v>
      </x:c>
      <x:c r="C13" s="228" t="str"/>
      <x:c r="D13" s="228" t="str"/>
      <x:c r="E13" s="228" t="str"/>
      <x:c r="F13" s="228" t="str"/>
      <x:c r="G13" s="228" t="str"/>
      <x:c r="H13" s="415" t="str"/>
    </x:row>
    <x:row r="14">
      <x:c r="A14" s="408" t="str">
        <x:v>4</x:v>
      </x:c>
      <x:c r="B14" s="228" t="str">
        <x:v>Filter Requirements by Nation-State Web Defense, Public-Facing Web Security and Software Supply Chain when evaluating advanced threat coverage.</x:v>
      </x:c>
      <x:c r="C14" s="228" t="str"/>
      <x:c r="D14" s="228" t="str"/>
      <x:c r="E14" s="228" t="str"/>
      <x:c r="F14" s="228" t="str"/>
      <x:c r="G14" s="228" t="str"/>
      <x:c r="H14" s="415" t="str"/>
    </x:row>
    <x:row r="15">
      <x:c r="A15" s="408" t="str">
        <x:v>5</x:v>
      </x:c>
      <x:c r="B15" s="228" t="str">
        <x:v>Populate Extensions &amp; Plugins with all installed extensions, plug-ins, user scripts and browser helpers.</x:v>
      </x:c>
      <x:c r="C15" s="228" t="str"/>
      <x:c r="D15" s="228" t="str"/>
      <x:c r="E15" s="228" t="str"/>
      <x:c r="F15" s="228" t="str"/>
      <x:c r="G15" s="228" t="str"/>
      <x:c r="H15" s="415" t="str"/>
    </x:row>
    <x:row r="16">
      <x:c r="A16" s="408" t="str">
        <x:v>6</x:v>
      </x:c>
      <x:c r="B16" s="228" t="str">
        <x:v>Use Vendor Architecture to distinguish genuine cloud RBI from enterprise browsers and browser-native agents.</x:v>
      </x:c>
      <x:c r="C16" s="228" t="str"/>
      <x:c r="D16" s="228" t="str"/>
      <x:c r="E16" s="228" t="str"/>
      <x:c r="F16" s="228" t="str"/>
      <x:c r="G16" s="228" t="str"/>
      <x:c r="H16" s="415" t="str"/>
    </x:row>
    <x:row r="17">
      <x:c r="A17" s="408" t="str">
        <x:v>7</x:v>
      </x:c>
      <x:c r="B17" s="228" t="str">
        <x:v>Use Vendor Scorecard to evaluate candidates against the full set of RBI, browser, AI, file, identity and advanced web-defense capabilities.</x:v>
      </x:c>
      <x:c r="C17" s="228" t="str"/>
      <x:c r="D17" s="228" t="str"/>
      <x:c r="E17" s="228" t="str"/>
      <x:c r="F17" s="228" t="str"/>
      <x:c r="G17" s="228" t="str"/>
      <x:c r="H17" s="415" t="str"/>
    </x:row>
    <x:row r="18">
      <x:c r="A18" s="408" t="str">
        <x:v>8</x:v>
      </x:c>
      <x:c r="B18" s="228" t="str">
        <x:v>Use Protocol Matrix during HTTP/2, HTTP/3, QUIC, MASQUE, DNS, WebRTC and tunneling validation.</x:v>
      </x:c>
      <x:c r="C18" s="228" t="str"/>
      <x:c r="D18" s="228" t="str"/>
      <x:c r="E18" s="228" t="str"/>
      <x:c r="F18" s="228" t="str"/>
      <x:c r="G18" s="228" t="str"/>
      <x:c r="H18" s="415" t="str"/>
    </x:row>
    <x:row r="19">
      <x:c r="A19" s="449" t="str">
        <x:v>9</x:v>
      </x:c>
      <x:c r="B19" s="398" t="str">
        <x:v>Review Sources for standards, government guidance and official vendor documentation.</x:v>
      </x:c>
      <x:c r="C19" s="398" t="str"/>
      <x:c r="D19" s="398" t="str"/>
      <x:c r="E19" s="398" t="str"/>
      <x:c r="F19" s="398" t="str"/>
      <x:c r="G19" s="398" t="str"/>
      <x:c r="H19" s="450" t="str"/>
    </x:row>
    <x:row r="20">
      <x:c r="A20" s="451" t="str">
        <x:v>10</x:v>
      </x:c>
      <x:c r="B20" s="452" t="str">
        <x:v>Refresh threat intelligence and vendor capability mappings periodically because browser, AI and protocol capabilities change rapidly.</x:v>
      </x:c>
      <x:c r="C20" s="452" t="str"/>
      <x:c r="D20" s="452" t="str"/>
      <x:c r="E20" s="452" t="str"/>
      <x:c r="F20" s="452" t="str"/>
      <x:c r="G20" s="452" t="str"/>
      <x:c r="H20" s="453" t="str"/>
    </x:row>
    <x:row r="21">
      <x:c r="A21" s="15" t="str">
        <x:v>Priority Weight</x:v>
      </x:c>
      <x:c r="B21" s="30" t="str">
        <x:v>Critical = 5, High = 4, Medium = 3, Low = 2.</x:v>
      </x:c>
      <x:c r="C21" s="30"/>
      <x:c r="D21" s="30"/>
      <x:c r="E21" s="30"/>
      <x:c r="F21" s="30"/>
      <x:c r="G21" s="30"/>
      <x:c r="H21" s="31"/>
    </x:row>
    <x:row r="22">
      <x:c r="A22" s="15" t="str">
        <x:v>Status Score</x:v>
      </x:c>
      <x:c r="B22" s="30" t="str">
        <x:v>Implemented = 100%, Partially Implemented = 50%, Planned = 25%, Not Assessed = 0%, Not Applicable = 100%.</x:v>
      </x:c>
      <x:c r="C22" s="30"/>
      <x:c r="D22" s="30"/>
      <x:c r="E22" s="30"/>
      <x:c r="F22" s="30"/>
      <x:c r="G22" s="30"/>
      <x:c r="H22" s="31"/>
    </x:row>
    <x:row r="23">
      <x:c r="A23" s="15" t="str">
        <x:v>Weighted Compliance</x:v>
      </x:c>
      <x:c r="B23" s="30" t="str">
        <x:v>Sum of weighted scores divided by sum of applicable priority weights.</x:v>
      </x:c>
      <x:c r="C23" s="30"/>
      <x:c r="D23" s="30"/>
      <x:c r="E23" s="30"/>
      <x:c r="F23" s="30"/>
      <x:c r="G23" s="30"/>
      <x:c r="H23" s="31"/>
    </x:row>
    <x:row r="24">
      <x:c r="A24" s="18" t="str">
        <x:v>Gap Weight</x:v>
      </x:c>
      <x:c r="B24" s="33" t="str">
        <x:v>Priority weight minus weighted score. Larger values indicate higher remediation priority.</x:v>
      </x:c>
      <x:c r="C24" s="33"/>
      <x:c r="D24" s="33"/>
      <x:c r="E24" s="33"/>
      <x:c r="F24" s="33"/>
      <x:c r="G24" s="33"/>
      <x:c r="H24" s="34"/>
    </x:row>
  </x:sheetData>
  <x:mergeCells>
    <x:mergeCell ref="A1:H1"/>
    <x:mergeCell ref="A2:H2"/>
    <x:mergeCell ref="A4:H4"/>
    <x:mergeCell ref="A5:H7"/>
    <x:mergeCell ref="A9:H9"/>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5" hidden="0" customWidth="1"/>
    <x:col min="3" max="3" width="15" hidden="0" customWidth="1"/>
    <x:col min="4" max="4" width="15" hidden="0" customWidth="1"/>
    <x:col min="5" max="5" width="15" hidden="0" customWidth="1"/>
    <x:col min="6" max="6" width="4" hidden="0" customWidth="1"/>
    <x:col min="7" max="7" width="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24" customHeight="1">
      <x:c r="A1" s="55" t="str">
        <x:v>Remote Browser Isolation and Enterprise Browser Security Dashboard</x:v>
      </x:c>
      <x:c r="B1" s="55"/>
      <x:c r="C1" s="55"/>
      <x:c r="D1" s="55"/>
      <x:c r="E1" s="55"/>
      <x:c r="F1" s="55"/>
      <x:c r="G1" s="55"/>
      <x:c r="H1" s="55"/>
      <x:c r="I1" s="55"/>
      <x:c r="J1" s="55"/>
      <x:c r="K1" s="55"/>
      <x:c r="L1" s="55"/>
      <x:c r="M1" s="55"/>
      <x:c r="N1" s="55"/>
    </x:row>
    <x:row r="2" ht="24" customHeight="1">
      <x:c r="A2" s="61" t="str">
        <x:v>Author: Yuval Sinay | Version 1.0 | 07.08.2026</x:v>
      </x:c>
      <x:c r="B2" s="61"/>
      <x:c r="C2" s="61"/>
      <x:c r="D2" s="61"/>
      <x:c r="E2" s="61"/>
      <x:c r="F2" s="61"/>
      <x:c r="G2" s="61"/>
      <x:c r="H2" s="61"/>
      <x:c r="I2" s="61"/>
      <x:c r="J2" s="61"/>
      <x:c r="K2" s="61"/>
      <x:c r="L2" s="61"/>
      <x:c r="M2" s="61"/>
      <x:c r="N2" s="61"/>
    </x:row>
    <x:row r="3" ht="24" customHeight="1">
      <x:c r="A3" s="87" t="str">
        <x:v>The catalog consolidates common web threats, advanced web TTP defenses and current vendor-derived security capabilities. Fortinet-specific findings are integrated into Requirements, Threat Coverage, Vendor Architecture, Sources and Vendor Scorecard.</x:v>
      </x:c>
      <x:c r="B3" s="87"/>
      <x:c r="C3" s="87"/>
      <x:c r="D3" s="87"/>
      <x:c r="E3" s="87"/>
      <x:c r="F3" s="87"/>
      <x:c r="G3" s="87"/>
      <x:c r="H3" s="87"/>
      <x:c r="I3" s="87"/>
      <x:c r="J3" s="87"/>
      <x:c r="K3" s="87"/>
      <x:c r="L3" s="87"/>
      <x:c r="M3" s="87"/>
      <x:c r="N3" s="87"/>
    </x:row>
    <x:row r="5" ht="25" customHeight="1">
      <x:c r="A5" s="66" t="str">
        <x:v>Total Requirements</x:v>
      </x:c>
      <x:c r="B5" s="66"/>
      <x:c r="C5" s="66"/>
      <x:c r="D5" s="66" t="str">
        <x:v>Weighted Compliance</x:v>
      </x:c>
      <x:c r="E5" s="66"/>
      <x:c r="F5" s="66"/>
      <x:c r="G5" s="66" t="str">
        <x:v>Critical Open Gaps</x:v>
      </x:c>
      <x:c r="H5" s="66"/>
      <x:c r="I5" s="66"/>
      <x:c r="J5" s="66" t="str">
        <x:v>Not Assessed</x:v>
      </x:c>
      <x:c r="K5" s="66"/>
      <x:c r="L5" s="66"/>
    </x:row>
    <x:row r="6" ht="25" customHeight="1">
      <x:c r="A6" s="110" t="n">
        <x:f>COUNTA(Requirements!A2:A221)</x:f>
        <x:v>220</x:v>
      </x:c>
      <x:c r="B6" s="111"/>
      <x:c r="C6" s="112"/>
      <x:c r="D6" s="147" t="n">
        <x:f>IFERROR(SUM(Requirements!Q2:Q221)/SUM(Requirements!P2:P221),0)</x:f>
        <x:v>0</x:v>
      </x:c>
      <x:c r="E6" s="148"/>
      <x:c r="F6" s="149"/>
      <x:c r="G6" s="110" t="n">
        <x:f>COUNTIFS(Requirements!G2:G221,"Critical",Requirements!J2:J221,"&lt;&gt;Implemented",Requirements!J2:J221,"&lt;&gt;Not Applicable")</x:f>
        <x:v>117</x:v>
      </x:c>
      <x:c r="H6" s="111"/>
      <x:c r="I6" s="112"/>
      <x:c r="J6" s="110" t="n">
        <x:f>COUNTIF(Requirements!J2:J221,"Not Assessed")</x:f>
        <x:v>220</x:v>
      </x:c>
      <x:c r="K6" s="111"/>
      <x:c r="L6" s="112"/>
    </x:row>
    <x:row r="7" ht="25" customHeight="1">
      <x:c r="A7" s="113"/>
      <x:c r="B7" s="114"/>
      <x:c r="C7" s="115"/>
      <x:c r="D7" s="150"/>
      <x:c r="E7" s="151"/>
      <x:c r="F7" s="152"/>
      <x:c r="G7" s="113"/>
      <x:c r="H7" s="114"/>
      <x:c r="I7" s="115"/>
      <x:c r="J7" s="113"/>
      <x:c r="K7" s="114"/>
      <x:c r="L7" s="115"/>
    </x:row>
    <x:row r="8" ht="25" customHeight="1">
      <x:c r="A8" s="116"/>
      <x:c r="B8" s="117"/>
      <x:c r="C8" s="118"/>
      <x:c r="D8" s="153"/>
      <x:c r="E8" s="154"/>
      <x:c r="F8" s="155"/>
      <x:c r="G8" s="116"/>
      <x:c r="H8" s="117"/>
      <x:c r="I8" s="118"/>
      <x:c r="J8" s="116"/>
      <x:c r="K8" s="117"/>
      <x:c r="L8" s="118"/>
    </x:row>
    <x:row r="10">
      <x:c r="A10" s="66" t="str">
        <x:v>Status Distribution</x:v>
      </x:c>
      <x:c r="B10" s="66"/>
      <x:c r="C10" s="66"/>
      <x:c r="D10" s="66" t="str">
        <x:v>Requirements by Priority</x:v>
      </x:c>
      <x:c r="E10" s="66"/>
      <x:c r="F10" s="66"/>
    </x:row>
    <x:row r="11">
      <x:c r="A11" s="12" t="str">
        <x:v>Status</x:v>
      </x:c>
      <x:c r="B11" s="14" t="str">
        <x:v>Count</x:v>
      </x:c>
      <x:c r="D11" s="12" t="str">
        <x:v>Priority</x:v>
      </x:c>
      <x:c r="E11" s="14" t="str">
        <x:v>Count</x:v>
      </x:c>
    </x:row>
    <x:row r="12">
      <x:c r="A12" s="15" t="str">
        <x:v>Not Assessed</x:v>
      </x:c>
      <x:c r="B12" s="17" t="n">
        <x:f>COUNTIF(Requirements!J2:J221,A12)</x:f>
        <x:v>220</x:v>
      </x:c>
      <x:c r="D12" s="15" t="str">
        <x:v>Critical</x:v>
      </x:c>
      <x:c r="E12" s="17" t="n">
        <x:f>COUNTIF(Requirements!G2:G221,D12)</x:f>
        <x:v>117</x:v>
      </x:c>
    </x:row>
    <x:row r="13">
      <x:c r="A13" s="15" t="str">
        <x:v>Planned</x:v>
      </x:c>
      <x:c r="B13" s="17" t="n">
        <x:f>COUNTIF(Requirements!J2:J221,A13)</x:f>
        <x:v>0</x:v>
      </x:c>
      <x:c r="D13" s="15" t="str">
        <x:v>High</x:v>
      </x:c>
      <x:c r="E13" s="17" t="n">
        <x:f>COUNTIF(Requirements!G2:G221,D13)</x:f>
        <x:v>97</x:v>
      </x:c>
    </x:row>
    <x:row r="14">
      <x:c r="A14" s="15" t="str">
        <x:v>Partially Implemented</x:v>
      </x:c>
      <x:c r="B14" s="17" t="n">
        <x:f>COUNTIF(Requirements!J2:J221,A14)</x:f>
        <x:v>0</x:v>
      </x:c>
      <x:c r="D14" s="15" t="str">
        <x:v>Medium</x:v>
      </x:c>
      <x:c r="E14" s="17" t="n">
        <x:f>COUNTIF(Requirements!G2:G221,D14)</x:f>
        <x:v>6</x:v>
      </x:c>
    </x:row>
    <x:row r="15">
      <x:c r="A15" s="15" t="str">
        <x:v>Implemented</x:v>
      </x:c>
      <x:c r="B15" s="17" t="n">
        <x:f>COUNTIF(Requirements!J2:J221,A15)</x:f>
        <x:v>0</x:v>
      </x:c>
      <x:c r="D15" s="18" t="str">
        <x:v>Low</x:v>
      </x:c>
      <x:c r="E15" s="20" t="n">
        <x:f>COUNTIF(Requirements!G2:G221,D15)</x:f>
        <x:v>0</x:v>
      </x:c>
    </x:row>
    <x:row r="16">
      <x:c r="A16" s="18" t="str">
        <x:v>Not Applicable</x:v>
      </x:c>
      <x:c r="B16" s="20" t="n">
        <x:f>COUNTIF(Requirements!J2:J221,A16)</x:f>
        <x:v>0</x:v>
      </x:c>
    </x:row>
    <x:row r="20">
      <x:c r="A20" s="496" t="str">
        <x:v>Compliance and Gap by Domain</x:v>
      </x:c>
      <x:c r="B20" s="496"/>
      <x:c r="C20" s="496"/>
      <x:c r="D20" s="496"/>
      <x:c r="E20" s="496"/>
      <x:c r="F20" s="496"/>
    </x:row>
    <x:row r="21">
      <x:c r="A21" s="482" t="str">
        <x:v>Domain</x:v>
      </x:c>
      <x:c r="B21" s="483" t="str">
        <x:v>Requirements</x:v>
      </x:c>
      <x:c r="C21" s="483" t="str">
        <x:v>Implemented</x:v>
      </x:c>
      <x:c r="D21" s="483" t="str">
        <x:v>Compliance</x:v>
      </x:c>
      <x:c r="E21" s="484" t="str">
        <x:v>Gap Weight</x:v>
      </x:c>
    </x:row>
    <x:row r="22">
      <x:c r="A22" s="457" t="str">
        <x:v>Architecture</x:v>
      </x:c>
      <x:c r="B22" s="221" t="n">
        <x:f>COUNTIF(Requirements!B2:B221,A22)</x:f>
        <x:v>15</x:v>
      </x:c>
      <x:c r="C22" s="221" t="n">
        <x:f>COUNTIFS(Requirements!B2:B221,A22,Requirements!J2:J221,"Implemented")</x:f>
        <x:v>0</x:v>
      </x:c>
      <x:c r="D22" s="279" t="n">
        <x:f>IFERROR(SUMIF(Requirements!B2:B221,A22,Requirements!Q2:Q221)/SUMIF(Requirements!B2:B221,A22,Requirements!P2:P221),0)</x:f>
        <x:v>0</x:v>
      </x:c>
      <x:c r="E22" s="458" t="n">
        <x:f>SUMIF(Requirements!B2:B221,A22,Requirements!R2:R221)</x:f>
        <x:v>72</x:v>
      </x:c>
    </x:row>
    <x:row r="23">
      <x:c r="A23" s="457" t="str">
        <x:v>Policy &amp; Access</x:v>
      </x:c>
      <x:c r="B23" s="221" t="n">
        <x:f>COUNTIF(Requirements!B2:B221,A23)</x:f>
        <x:v>13</x:v>
      </x:c>
      <x:c r="C23" s="221" t="n">
        <x:f>COUNTIFS(Requirements!B2:B221,A23,Requirements!J2:J221,"Implemented")</x:f>
        <x:v>0</x:v>
      </x:c>
      <x:c r="D23" s="279" t="n">
        <x:f>IFERROR(SUMIF(Requirements!B2:B221,A23,Requirements!Q2:Q221)/SUMIF(Requirements!B2:B221,A23,Requirements!P2:P221),0)</x:f>
        <x:v>0</x:v>
      </x:c>
      <x:c r="E23" s="458" t="n">
        <x:f>SUMIF(Requirements!B2:B221,A23,Requirements!R2:R221)</x:f>
        <x:v>58</x:v>
      </x:c>
    </x:row>
    <x:row r="24">
      <x:c r="A24" s="457" t="str">
        <x:v>Identity</x:v>
      </x:c>
      <x:c r="B24" s="221" t="n">
        <x:f>COUNTIF(Requirements!B2:B221,A24)</x:f>
        <x:v>15</x:v>
      </x:c>
      <x:c r="C24" s="221" t="n">
        <x:f>COUNTIFS(Requirements!B2:B221,A24,Requirements!J2:J221,"Implemented")</x:f>
        <x:v>0</x:v>
      </x:c>
      <x:c r="D24" s="279" t="n">
        <x:f>IFERROR(SUMIF(Requirements!B2:B221,A24,Requirements!Q2:Q221)/SUMIF(Requirements!B2:B221,A24,Requirements!P2:P221),0)</x:f>
        <x:v>0</x:v>
      </x:c>
      <x:c r="E24" s="458" t="n">
        <x:f>SUMIF(Requirements!B2:B221,A24,Requirements!R2:R221)</x:f>
        <x:v>70</x:v>
      </x:c>
    </x:row>
    <x:row r="25">
      <x:c r="A25" s="457" t="str">
        <x:v>Interaction Controls</x:v>
      </x:c>
      <x:c r="B25" s="221" t="n">
        <x:f>COUNTIF(Requirements!B2:B221,A25)</x:f>
        <x:v>11</x:v>
      </x:c>
      <x:c r="C25" s="221" t="n">
        <x:f>COUNTIFS(Requirements!B2:B221,A25,Requirements!J2:J221,"Implemented")</x:f>
        <x:v>0</x:v>
      </x:c>
      <x:c r="D25" s="279" t="n">
        <x:f>IFERROR(SUMIF(Requirements!B2:B221,A25,Requirements!Q2:Q221)/SUMIF(Requirements!B2:B221,A25,Requirements!P2:P221),0)</x:f>
        <x:v>0</x:v>
      </x:c>
      <x:c r="E25" s="458" t="n">
        <x:f>SUMIF(Requirements!B2:B221,A25,Requirements!R2:R221)</x:f>
        <x:v>46</x:v>
      </x:c>
    </x:row>
    <x:row r="26">
      <x:c r="A26" s="457" t="str">
        <x:v>Files &amp; Content</x:v>
      </x:c>
      <x:c r="B26" s="221" t="n">
        <x:f>COUNTIF(Requirements!B2:B221,A26)</x:f>
        <x:v>15</x:v>
      </x:c>
      <x:c r="C26" s="221" t="n">
        <x:f>COUNTIFS(Requirements!B2:B221,A26,Requirements!J2:J221,"Implemented")</x:f>
        <x:v>0</x:v>
      </x:c>
      <x:c r="D26" s="279" t="n">
        <x:f>IFERROR(SUMIF(Requirements!B2:B221,A26,Requirements!Q2:Q221)/SUMIF(Requirements!B2:B221,A26,Requirements!P2:P221),0)</x:f>
        <x:v>0</x:v>
      </x:c>
      <x:c r="E26" s="458" t="n">
        <x:f>SUMIF(Requirements!B2:B221,A26,Requirements!R2:R221)</x:f>
        <x:v>67</x:v>
      </x:c>
    </x:row>
    <x:row r="27">
      <x:c r="A27" s="457" t="str">
        <x:v>Browser Runtime</x:v>
      </x:c>
      <x:c r="B27" s="221" t="n">
        <x:f>COUNTIF(Requirements!B2:B221,A27)</x:f>
        <x:v>11</x:v>
      </x:c>
      <x:c r="C27" s="221" t="n">
        <x:f>COUNTIFS(Requirements!B2:B221,A27,Requirements!J2:J221,"Implemented")</x:f>
        <x:v>0</x:v>
      </x:c>
      <x:c r="D27" s="279" t="n">
        <x:f>IFERROR(SUMIF(Requirements!B2:B221,A27,Requirements!Q2:Q221)/SUMIF(Requirements!B2:B221,A27,Requirements!P2:P221),0)</x:f>
        <x:v>0</x:v>
      </x:c>
      <x:c r="E27" s="458" t="n">
        <x:f>SUMIF(Requirements!B2:B221,A27,Requirements!R2:R221)</x:f>
        <x:v>47</x:v>
      </x:c>
    </x:row>
    <x:row r="28">
      <x:c r="A28" s="457" t="str">
        <x:v>HTTP/2 &amp; HTTP/3</x:v>
      </x:c>
      <x:c r="B28" s="221" t="n">
        <x:f>COUNTIF(Requirements!B2:B221,A28)</x:f>
        <x:v>13</x:v>
      </x:c>
      <x:c r="C28" s="221" t="n">
        <x:f>COUNTIFS(Requirements!B2:B221,A28,Requirements!J2:J221,"Implemented")</x:f>
        <x:v>0</x:v>
      </x:c>
      <x:c r="D28" s="279" t="n">
        <x:f>IFERROR(SUMIF(Requirements!B2:B221,A28,Requirements!Q2:Q221)/SUMIF(Requirements!B2:B221,A28,Requirements!P2:P221),0)</x:f>
        <x:v>0</x:v>
      </x:c>
      <x:c r="E28" s="458" t="n">
        <x:f>SUMIF(Requirements!B2:B221,A28,Requirements!R2:R221)</x:f>
        <x:v>60</x:v>
      </x:c>
    </x:row>
    <x:row r="29">
      <x:c r="A29" s="457" t="str">
        <x:v>Tunneling &amp; Egress</x:v>
      </x:c>
      <x:c r="B29" s="221" t="n">
        <x:f>COUNTIF(Requirements!B2:B221,A29)</x:f>
        <x:v>12</x:v>
      </x:c>
      <x:c r="C29" s="221" t="n">
        <x:f>COUNTIFS(Requirements!B2:B221,A29,Requirements!J2:J221,"Implemented")</x:f>
        <x:v>0</x:v>
      </x:c>
      <x:c r="D29" s="279" t="n">
        <x:f>IFERROR(SUMIF(Requirements!B2:B221,A29,Requirements!Q2:Q221)/SUMIF(Requirements!B2:B221,A29,Requirements!P2:P221),0)</x:f>
        <x:v>0</x:v>
      </x:c>
      <x:c r="E29" s="458" t="n">
        <x:f>SUMIF(Requirements!B2:B221,A29,Requirements!R2:R221)</x:f>
        <x:v>52</x:v>
      </x:c>
    </x:row>
    <x:row r="30">
      <x:c r="A30" s="457" t="str">
        <x:v>DNS Security</x:v>
      </x:c>
      <x:c r="B30" s="221" t="n">
        <x:f>COUNTIF(Requirements!B2:B221,A30)</x:f>
        <x:v>5</x:v>
      </x:c>
      <x:c r="C30" s="221" t="n">
        <x:f>COUNTIFS(Requirements!B2:B221,A30,Requirements!J2:J221,"Implemented")</x:f>
        <x:v>0</x:v>
      </x:c>
      <x:c r="D30" s="279" t="n">
        <x:f>IFERROR(SUMIF(Requirements!B2:B221,A30,Requirements!Q2:Q221)/SUMIF(Requirements!B2:B221,A30,Requirements!P2:P221),0)</x:f>
        <x:v>0</x:v>
      </x:c>
      <x:c r="E30" s="458" t="n">
        <x:f>SUMIF(Requirements!B2:B221,A30,Requirements!R2:R221)</x:f>
        <x:v>23</x:v>
      </x:c>
    </x:row>
    <x:row r="31">
      <x:c r="A31" s="457" t="str">
        <x:v>AI &amp; Agentic Browsing</x:v>
      </x:c>
      <x:c r="B31" s="221" t="n">
        <x:f>COUNTIF(Requirements!B2:B221,A31)</x:f>
        <x:v>14</x:v>
      </x:c>
      <x:c r="C31" s="221" t="n">
        <x:f>COUNTIFS(Requirements!B2:B221,A31,Requirements!J2:J221,"Implemented")</x:f>
        <x:v>0</x:v>
      </x:c>
      <x:c r="D31" s="279" t="n">
        <x:f>IFERROR(SUMIF(Requirements!B2:B221,A31,Requirements!Q2:Q221)/SUMIF(Requirements!B2:B221,A31,Requirements!P2:P221),0)</x:f>
        <x:v>0</x:v>
      </x:c>
      <x:c r="E31" s="458" t="n">
        <x:f>SUMIF(Requirements!B2:B221,A31,Requirements!R2:R221)</x:f>
        <x:v>66</x:v>
      </x:c>
    </x:row>
    <x:row r="32">
      <x:c r="A32" s="457" t="str">
        <x:v>Web3 Protection</x:v>
      </x:c>
      <x:c r="B32" s="221" t="n">
        <x:f>COUNTIF(Requirements!B2:B221,A32)</x:f>
        <x:v>7</x:v>
      </x:c>
      <x:c r="C32" s="221" t="n">
        <x:f>COUNTIFS(Requirements!B2:B221,A32,Requirements!J2:J221,"Implemented")</x:f>
        <x:v>0</x:v>
      </x:c>
      <x:c r="D32" s="279" t="n">
        <x:f>IFERROR(SUMIF(Requirements!B2:B221,A32,Requirements!Q2:Q221)/SUMIF(Requirements!B2:B221,A32,Requirements!P2:P221),0)</x:f>
        <x:v>0</x:v>
      </x:c>
      <x:c r="E32" s="458" t="n">
        <x:f>SUMIF(Requirements!B2:B221,A32,Requirements!R2:R221)</x:f>
        <x:v>33</x:v>
      </x:c>
    </x:row>
    <x:row r="33">
      <x:c r="A33" s="457" t="str">
        <x:v>Extensions &amp; Plugins</x:v>
      </x:c>
      <x:c r="B33" s="221" t="n">
        <x:f>COUNTIF(Requirements!B2:B221,A33)</x:f>
        <x:v>19</x:v>
      </x:c>
      <x:c r="C33" s="221" t="n">
        <x:f>COUNTIFS(Requirements!B2:B221,A33,Requirements!J2:J221,"Implemented")</x:f>
        <x:v>0</x:v>
      </x:c>
      <x:c r="D33" s="279" t="n">
        <x:f>IFERROR(SUMIF(Requirements!B2:B221,A33,Requirements!Q2:Q221)/SUMIF(Requirements!B2:B221,A33,Requirements!P2:P221),0)</x:f>
        <x:v>0</x:v>
      </x:c>
      <x:c r="E33" s="458" t="n">
        <x:f>SUMIF(Requirements!B2:B221,A33,Requirements!R2:R221)</x:f>
        <x:v>87</x:v>
      </x:c>
    </x:row>
    <x:row r="34">
      <x:c r="A34" s="457" t="str">
        <x:v>Enterprise Browser Security</x:v>
      </x:c>
      <x:c r="B34" s="221" t="n">
        <x:f>COUNTIF(Requirements!B2:B221,A34)</x:f>
        <x:v>6</x:v>
      </x:c>
      <x:c r="C34" s="221" t="n">
        <x:f>COUNTIFS(Requirements!B2:B221,A34,Requirements!J2:J221,"Implemented")</x:f>
        <x:v>0</x:v>
      </x:c>
      <x:c r="D34" s="279" t="n">
        <x:f>IFERROR(SUMIF(Requirements!B2:B221,A34,Requirements!Q2:Q221)/SUMIF(Requirements!B2:B221,A34,Requirements!P2:P221),0)</x:f>
        <x:v>0</x:v>
      </x:c>
      <x:c r="E34" s="458" t="n">
        <x:f>SUMIF(Requirements!B2:B221,A34,Requirements!R2:R221)</x:f>
        <x:v>26</x:v>
      </x:c>
    </x:row>
    <x:row r="35">
      <x:c r="A35" s="457" t="str">
        <x:v>Monitoring &amp; Detection</x:v>
      </x:c>
      <x:c r="B35" s="221" t="n">
        <x:f>COUNTIF(Requirements!B2:B221,A35)</x:f>
        <x:v>13</x:v>
      </x:c>
      <x:c r="C35" s="221" t="n">
        <x:f>COUNTIFS(Requirements!B2:B221,A35,Requirements!J2:J221,"Implemented")</x:f>
        <x:v>0</x:v>
      </x:c>
      <x:c r="D35" s="279" t="n">
        <x:f>IFERROR(SUMIF(Requirements!B2:B221,A35,Requirements!Q2:Q221)/SUMIF(Requirements!B2:B221,A35,Requirements!P2:P221),0)</x:f>
        <x:v>0</x:v>
      </x:c>
      <x:c r="E35" s="458" t="n">
        <x:f>SUMIF(Requirements!B2:B221,A35,Requirements!R2:R221)</x:f>
        <x:v>54</x:v>
      </x:c>
    </x:row>
    <x:row r="36">
      <x:c r="A36" s="457" t="str">
        <x:v>Incident Response</x:v>
      </x:c>
      <x:c r="B36" s="221" t="n">
        <x:f>COUNTIF(Requirements!B2:B221,A36)</x:f>
        <x:v>4</x:v>
      </x:c>
      <x:c r="C36" s="221" t="n">
        <x:f>COUNTIFS(Requirements!B2:B221,A36,Requirements!J2:J221,"Implemented")</x:f>
        <x:v>0</x:v>
      </x:c>
      <x:c r="D36" s="279" t="n">
        <x:f>IFERROR(SUMIF(Requirements!B2:B221,A36,Requirements!Q2:Q221)/SUMIF(Requirements!B2:B221,A36,Requirements!P2:P221),0)</x:f>
        <x:v>0</x:v>
      </x:c>
      <x:c r="E36" s="458" t="n">
        <x:f>SUMIF(Requirements!B2:B221,A36,Requirements!R2:R221)</x:f>
        <x:v>17</x:v>
      </x:c>
    </x:row>
    <x:row r="37">
      <x:c r="A37" s="457" t="str">
        <x:v>Resilience</x:v>
      </x:c>
      <x:c r="B37" s="221" t="n">
        <x:f>COUNTIF(Requirements!B2:B221,A37)</x:f>
        <x:v>5</x:v>
      </x:c>
      <x:c r="C37" s="221" t="n">
        <x:f>COUNTIFS(Requirements!B2:B221,A37,Requirements!J2:J221,"Implemented")</x:f>
        <x:v>0</x:v>
      </x:c>
      <x:c r="D37" s="279" t="n">
        <x:f>IFERROR(SUMIF(Requirements!B2:B221,A37,Requirements!Q2:Q221)/SUMIF(Requirements!B2:B221,A37,Requirements!P2:P221),0)</x:f>
        <x:v>0</x:v>
      </x:c>
      <x:c r="E37" s="458" t="n">
        <x:f>SUMIF(Requirements!B2:B221,A37,Requirements!R2:R221)</x:f>
        <x:v>22</x:v>
      </x:c>
    </x:row>
    <x:row r="38">
      <x:c r="A38" s="457" t="str">
        <x:v>Governance &amp; Assurance</x:v>
      </x:c>
      <x:c r="B38" s="221" t="n">
        <x:f>COUNTIF(Requirements!B2:B221,A38)</x:f>
        <x:v>12</x:v>
      </x:c>
      <x:c r="C38" s="221" t="n">
        <x:f>COUNTIFS(Requirements!B2:B221,A38,Requirements!J2:J221,"Implemented")</x:f>
        <x:v>0</x:v>
      </x:c>
      <x:c r="D38" s="279" t="n">
        <x:f>IFERROR(SUMIF(Requirements!B2:B221,A38,Requirements!Q2:Q221)/SUMIF(Requirements!B2:B221,A38,Requirements!P2:P221),0)</x:f>
        <x:v>0</x:v>
      </x:c>
      <x:c r="E38" s="458" t="n">
        <x:f>SUMIF(Requirements!B2:B221,A38,Requirements!R2:R221)</x:f>
        <x:v>49</x:v>
      </x:c>
    </x:row>
    <x:row r="39">
      <x:c r="A39" s="457" t="str">
        <x:v>Nation-State Web Defense</x:v>
      </x:c>
      <x:c r="B39" s="221" t="n">
        <x:f>COUNTIF(Requirements!B2:B221,A39)</x:f>
        <x:v>21</x:v>
      </x:c>
      <x:c r="C39" s="221" t="n">
        <x:f>COUNTIFS(Requirements!B2:B221,A39,Requirements!J2:J221,"Implemented")</x:f>
        <x:v>0</x:v>
      </x:c>
      <x:c r="D39" s="279" t="n">
        <x:f>IFERROR(SUMIF(Requirements!B2:B221,A39,Requirements!Q2:Q221)/SUMIF(Requirements!B2:B221,A39,Requirements!P2:P221),0)</x:f>
        <x:v>0</x:v>
      </x:c>
      <x:c r="E39" s="458" t="n">
        <x:f>SUMIF(Requirements!B2:B221,A39,Requirements!R2:R221)</x:f>
        <x:v>98</x:v>
      </x:c>
    </x:row>
    <x:row r="40">
      <x:c r="A40" s="457" t="str">
        <x:v>Public-Facing Web Security</x:v>
      </x:c>
      <x:c r="B40" s="221" t="n">
        <x:f>COUNTIF(Requirements!B2:B221,A40)</x:f>
        <x:v>6</x:v>
      </x:c>
      <x:c r="C40" s="221" t="n">
        <x:f>COUNTIFS(Requirements!B2:B221,A40,Requirements!J2:J221,"Implemented")</x:f>
        <x:v>0</x:v>
      </x:c>
      <x:c r="D40" s="279" t="n">
        <x:f>IFERROR(SUMIF(Requirements!B2:B221,A40,Requirements!Q2:Q221)/SUMIF(Requirements!B2:B221,A40,Requirements!P2:P221),0)</x:f>
        <x:v>0</x:v>
      </x:c>
      <x:c r="E40" s="458" t="n">
        <x:f>SUMIF(Requirements!B2:B221,A40,Requirements!R2:R221)</x:f>
        <x:v>29</x:v>
      </x:c>
    </x:row>
    <x:row r="41">
      <x:c r="A41" s="459" t="str">
        <x:v>Software Supply Chain</x:v>
      </x:c>
      <x:c r="B41" s="460" t="n">
        <x:f>COUNTIF(Requirements!B2:B221,A41)</x:f>
        <x:v>3</x:v>
      </x:c>
      <x:c r="C41" s="460" t="n">
        <x:f>COUNTIFS(Requirements!B2:B221,A41,Requirements!J2:J221,"Implemented")</x:f>
        <x:v>0</x:v>
      </x:c>
      <x:c r="D41" s="497" t="n">
        <x:f>IFERROR(SUMIF(Requirements!B2:B221,A41,Requirements!Q2:Q221)/SUMIF(Requirements!B2:B221,A41,Requirements!P2:P221),0)</x:f>
        <x:v>0</x:v>
      </x:c>
      <x:c r="E41" s="461" t="n">
        <x:f>SUMIF(Requirements!B2:B221,A41,Requirements!R2:R221)</x:f>
        <x:v>15</x:v>
      </x:c>
    </x:row>
  </x:sheetData>
  <x:mergeCells>
    <x:mergeCell ref="A1:N1"/>
    <x:mergeCell ref="A2:N2"/>
    <x:mergeCell ref="A3:N3"/>
    <x:mergeCell ref="A5:C5"/>
    <x:mergeCell ref="A6:C8"/>
    <x:mergeCell ref="D5:F5"/>
    <x:mergeCell ref="D6:F8"/>
    <x:mergeCell ref="G5:I5"/>
    <x:mergeCell ref="G6:I8"/>
    <x:mergeCell ref="J5:L5"/>
    <x:mergeCell ref="J6:L8"/>
    <x:mergeCell ref="A10:C10"/>
    <x:mergeCell ref="D10:F10"/>
    <x:mergeCell ref="A20:F20"/>
  </x:mergeCells>
  <x:conditionalFormatting sqref="D22:D37">
    <x:cfRule type="colorScale" priority="1">
      <x:colorScale>
        <x:cfvo type="min"/>
        <x:cfvo type="percentile" val="50"/>
        <x:cfvo type="max"/>
        <x:color rgb="FFFCE4D6"/>
        <x:color rgb="FFFFF2CC"/>
        <x:color rgb="FFE2F0D9"/>
      </x:colorScale>
    </x:cfRule>
  </x:conditionalFormatting>
  <x:conditionalFormatting sqref="E22:E37">
    <x:cfRule type="dataBar" priority="2">
      <x:dataBar>
        <x:cfvo type="min"/>
        <x:cfvo type="max"/>
        <x:color rgb="FFC00000"/>
      </x:dataBar>
      <x:extLst>
        <x:ext xmlns:x14="http://schemas.microsoft.com/office/spreadsheetml/2009/9/main" uri="{B025F937-C7B1-47D3-B67F-A62EFF666E3E}">
          <x14:id>{169BE573-5479-287D-BE93-74B15E11EBFA}</x14:id>
        </x:ext>
      </x:extLst>
    </x:cfRule>
  </x:conditionalFormatting>
  <x:conditionalFormatting sqref="D22:D38">
    <x:cfRule type="colorScale" priority="3">
      <x:colorScale>
        <x:cfvo type="min"/>
        <x:cfvo type="percentile" val="50"/>
        <x:cfvo type="max"/>
        <x:color rgb="FFFCE4D6"/>
        <x:color rgb="FFFFF2CC"/>
        <x:color rgb="FFE2F0D9"/>
      </x:colorScale>
    </x:cfRule>
  </x:conditionalFormatting>
  <x:conditionalFormatting sqref="E22:E38">
    <x:cfRule type="dataBar" priority="4">
      <x:dataBar>
        <x:cfvo type="min"/>
        <x:cfvo type="max"/>
        <x:color rgb="FFC00000"/>
      </x:dataBar>
      <x:extLst>
        <x:ext xmlns:x14="http://schemas.microsoft.com/office/spreadsheetml/2009/9/main" uri="{B025F937-C7B1-47D3-B67F-A62EFF666E3E}">
          <x14:id>{9FB71B9A-F398-1C5C-AB63-4C1EA09CC5DA}</x14:id>
        </x:ext>
      </x:extLst>
    </x:cfRule>
  </x:conditionalFormatting>
  <x:conditionalFormatting sqref="D22:D41">
    <x:cfRule type="colorScale" priority="5">
      <x:colorScale>
        <x:cfvo type="min"/>
        <x:cfvo type="percentile" val="50"/>
        <x:cfvo type="max"/>
        <x:color rgb="FFFCE4D6"/>
        <x:color rgb="FFFFF2CC"/>
        <x:color rgb="FFE2F0D9"/>
      </x:colorScale>
    </x:cfRule>
    <x:cfRule type="colorScale" priority="7">
      <x:colorScale>
        <x:cfvo type="min"/>
        <x:cfvo type="percentile" val="50"/>
        <x:cfvo type="max"/>
        <x:color rgb="FFFCE4D6"/>
        <x:color rgb="FFFFF2CC"/>
        <x:color rgb="FFE2F0D9"/>
      </x:colorScale>
    </x:cfRule>
    <x:cfRule type="colorScale" priority="9">
      <x:colorScale>
        <x:cfvo type="min"/>
        <x:cfvo type="percentile" val="50"/>
        <x:cfvo type="max"/>
        <x:color rgb="FFFCE4D6"/>
        <x:color rgb="FFFFF2CC"/>
        <x:color rgb="FFE2F0D9"/>
      </x:colorScale>
    </x:cfRule>
  </x:conditionalFormatting>
  <x:conditionalFormatting sqref="E22:E41">
    <x:cfRule type="dataBar" priority="6">
      <x:dataBar>
        <x:cfvo type="min"/>
        <x:cfvo type="max"/>
        <x:color rgb="FFC00000"/>
      </x:dataBar>
      <x:extLst>
        <x:ext xmlns:x14="http://schemas.microsoft.com/office/spreadsheetml/2009/9/main" uri="{B025F937-C7B1-47D3-B67F-A62EFF666E3E}">
          <x14:id>{DB091E20-19F2-B742-A9FC-8B049DFBD9A0}</x14:id>
        </x:ext>
      </x:extLst>
    </x:cfRule>
    <x:cfRule type="dataBar" priority="8">
      <x:dataBar>
        <x:cfvo type="min"/>
        <x:cfvo type="max"/>
        <x:color rgb="FFC00000"/>
      </x:dataBar>
      <x:extLst>
        <x:ext xmlns:x14="http://schemas.microsoft.com/office/spreadsheetml/2009/9/main" uri="{B025F937-C7B1-47D3-B67F-A62EFF666E3E}">
          <x14:id>{3DFCD021-A72B-ED2D-A83C-CA8C5CB4553A}</x14:id>
        </x:ext>
      </x:extLst>
    </x:cfRule>
    <x:cfRule type="dataBar" priority="10">
      <x:dataBar>
        <x:cfvo type="min"/>
        <x:cfvo type="max"/>
        <x:color rgb="FFC00000"/>
      </x:dataBar>
      <x:extLst>
        <x:ext xmlns:x14="http://schemas.microsoft.com/office/spreadsheetml/2009/9/main" uri="{B025F937-C7B1-47D3-B67F-A62EFF666E3E}">
          <x14:id>{D29213B6-AB08-F9D3-45E2-E07876FFA654}</x14:id>
        </x:ext>
      </x:extLst>
    </x:cfRule>
  </x:conditionalFormatting>
  <x:pageMargins left="0.7" right="0.7" top="0.75" bottom="0.75" header="0.3" footer="0.3"/>
  <x:drawing xmlns:r="http://schemas.openxmlformats.org/officeDocument/2006/relationships" r:id="R15203955f65b4149"/>
  <x:extLst>
    <x:ext xmlns:x14="http://schemas.microsoft.com/office/spreadsheetml/2009/9/main" xmlns:xm="http://schemas.microsoft.com/office/excel/2006/main" uri="{78C0D931-6437-407d-A8EE-F0AAD7539E65}">
      <x14:conditionalFormattings>
        <x14:conditionalFormatting>
          <x14:cfRule type="dataBar" priority="2" id="{169BE573-5479-287D-BE93-74B15E11EBFA}">
            <x14:dataBar gradient="1">
              <x14:cfvo type="min"/>
              <x14:cfvo type="max"/>
              <x14:fillColor rgb="FFC00000"/>
            </x14:dataBar>
          </x14:cfRule>
          <xm:sqref>E22:E37</xm:sqref>
        </x14:conditionalFormatting>
        <x14:conditionalFormatting>
          <x14:cfRule type="dataBar" priority="4" id="{9FB71B9A-F398-1C5C-AB63-4C1EA09CC5DA}">
            <x14:dataBar gradient="1">
              <x14:cfvo type="min"/>
              <x14:cfvo type="max"/>
              <x14:fillColor rgb="FFC00000"/>
            </x14:dataBar>
          </x14:cfRule>
          <xm:sqref>E22:E38</xm:sqref>
        </x14:conditionalFormatting>
        <x14:conditionalFormatting>
          <x14:cfRule type="dataBar" priority="6" id="{DB091E20-19F2-B742-A9FC-8B049DFBD9A0}">
            <x14:dataBar gradient="1">
              <x14:cfvo type="min"/>
              <x14:cfvo type="max"/>
              <x14:fillColor rgb="FFC00000"/>
            </x14:dataBar>
          </x14:cfRule>
          <x14:cfRule type="dataBar" priority="8" id="{3DFCD021-A72B-ED2D-A83C-CA8C5CB4553A}">
            <x14:dataBar gradient="1">
              <x14:cfvo type="min"/>
              <x14:cfvo type="max"/>
              <x14:fillColor rgb="FFC00000"/>
            </x14:dataBar>
          </x14:cfRule>
          <x14:cfRule type="dataBar" priority="10" id="{D29213B6-AB08-F9D3-45E2-E07876FFA654}">
            <x14:dataBar gradient="1">
              <x14:cfvo type="min"/>
              <x14:cfvo type="max"/>
              <x14:fillColor rgb="FFC00000"/>
            </x14:dataBar>
          </x14:cfRule>
          <xm:sqref>E22:E41</xm:sqref>
        </x14:conditionalFormatting>
      </x14:conditionalFormattings>
    </x:ext>
  </x:extLst>
</x:worksheet>
</file>

<file path=xl/worksheets/sheet3.xml><?xml version="1.0" encoding="utf-8"?>
<x:worksheet xmlns:x="http://schemas.openxmlformats.org/spreadsheetml/2006/main">
  <x:sheetFormatPr defaultRowHeight="15"/>
  <x:cols>
    <x:col min="1" max="1" width="12" hidden="0" customWidth="1"/>
    <x:col min="2" max="2" width="23" hidden="0" customWidth="1"/>
    <x:col min="3" max="3" width="23" hidden="0" customWidth="1"/>
    <x:col min="4" max="4" width="55" hidden="0" customWidth="1"/>
    <x:col min="5" max="5" width="36" hidden="0" customWidth="1"/>
    <x:col min="6" max="6" width="13" hidden="0" customWidth="1"/>
    <x:col min="7" max="7" width="11" hidden="0" customWidth="1"/>
    <x:col min="8" max="8" width="20" hidden="0" customWidth="1"/>
    <x:col min="9" max="9" width="46" hidden="0" customWidth="1"/>
    <x:col min="10" max="10" width="22" hidden="0" customWidth="1"/>
    <x:col min="11" max="11" width="13" hidden="0" customWidth="1"/>
    <x:col min="12" max="12" width="30" hidden="0" customWidth="1"/>
    <x:col min="13" max="13" width="18" hidden="0" customWidth="1"/>
    <x:col min="14" max="14" width="13" hidden="0" customWidth="1"/>
    <x:col min="15" max="15" width="16" hidden="0" customWidth="1"/>
    <x:col min="16" max="16" width="9" hidden="0" customWidth="1"/>
    <x:col min="17" max="17" width="14" hidden="0" customWidth="1"/>
    <x:col min="18" max="18" width="12" hidden="0" customWidth="1"/>
    <x:col min="19" max="19" width="32" hidden="0" customWidth="1"/>
    <x:col min="20" max="20" width="13" hidden="0" customWidth="1"/>
    <x:col min="21" max="21" width="11" hidden="0" customWidth="1"/>
    <x:col min="22" max="22" width="56" hidden="0" customWidth="1"/>
    <x:col min="23" max="23" width="28" hidden="0" customWidth="1"/>
  </x:cols>
  <x:sheetData>
    <x:row r="1">
      <x:c r="A1" s="12" t="str">
        <x:v>Control ID</x:v>
      </x:c>
      <x:c r="B1" s="13" t="str">
        <x:v>Domain</x:v>
      </x:c>
      <x:c r="C1" s="13" t="str">
        <x:v>Subdomain</x:v>
      </x:c>
      <x:c r="D1" s="13" t="str">
        <x:v>Security Requirement</x:v>
      </x:c>
      <x:c r="E1" s="13" t="str">
        <x:v>Threats Addressed</x:v>
      </x:c>
      <x:c r="F1" s="13" t="str">
        <x:v>Control Level</x:v>
      </x:c>
      <x:c r="G1" s="13" t="str">
        <x:v>Priority</x:v>
      </x:c>
      <x:c r="H1" s="13" t="str">
        <x:v>Applicability</x:v>
      </x:c>
      <x:c r="I1" s="13" t="str">
        <x:v>Validation Method</x:v>
      </x:c>
      <x:c r="J1" s="13" t="str">
        <x:v>Status</x:v>
      </x:c>
      <x:c r="K1" s="13" t="str">
        <x:v>Compliance %</x:v>
      </x:c>
      <x:c r="L1" s="13" t="str">
        <x:v>Evidence / Artifact</x:v>
      </x:c>
      <x:c r="M1" s="13" t="str">
        <x:v>Owner</x:v>
      </x:c>
      <x:c r="N1" s="13" t="str">
        <x:v>Target Date</x:v>
      </x:c>
      <x:c r="O1" s="13" t="str">
        <x:v>Residual Risk</x:v>
      </x:c>
      <x:c r="P1" s="13" t="str">
        <x:v>Weight</x:v>
      </x:c>
      <x:c r="Q1" s="13" t="str">
        <x:v>Weighted Score</x:v>
      </x:c>
      <x:c r="R1" s="13" t="str">
        <x:v>Gap Weight</x:v>
      </x:c>
      <x:c r="S1" s="13" t="str">
        <x:v>Recommendation</x:v>
      </x:c>
      <x:c r="T1" s="13" t="str">
        <x:v>Last Reviewed</x:v>
      </x:c>
      <x:c r="U1" s="13" t="str">
        <x:v>Source ID</x:v>
      </x:c>
      <x:c r="V1" s="13" t="str">
        <x:v>Source URL</x:v>
      </x:c>
      <x:c r="W1" s="14" t="str">
        <x:v>Notes</x:v>
      </x:c>
    </x:row>
    <x:row r="2">
      <x:c r="A2" s="15" t="str">
        <x:v>RBI-001</x:v>
      </x:c>
      <x:c r="B2" s="16" t="str">
        <x:v>Architecture</x:v>
      </x:c>
      <x:c r="C2" s="16" t="str">
        <x:v>Execution Boundary</x:v>
      </x:c>
      <x:c r="D2" s="30" t="str">
        <x:v>Execute untrusted HTML, JavaScript, WebAssembly, media decoders, fonts, advertisements, frames and third-party resources exclusively in the remote browser.</x:v>
      </x:c>
      <x:c r="E2" s="30" t="str">
        <x:v>Drive-by compromise; browser exploits; malicious scripts</x:v>
      </x:c>
      <x:c r="F2" s="16" t="str">
        <x:v>Mandatory</x:v>
      </x:c>
      <x:c r="G2" s="16" t="str">
        <x:v>Critical</x:v>
      </x:c>
      <x:c r="H2" s="30" t="str">
        <x:v>Universal</x:v>
      </x:c>
      <x:c r="I2" s="30" t="str">
        <x:v>Inspect endpoint and network traces to confirm original active content is not delivered locally.</x:v>
      </x:c>
      <x:c r="J2" s="16" t="str">
        <x:v>Not Assessed</x:v>
      </x:c>
      <x:c r="K2" s="41" t="n">
        <x:f>IF(J2="Implemented",1,IF(J2="Partially Implemented",0.5,IF(J2="Planned",0.25,IF(J2="Not Applicable",1,0))))</x:f>
        <x:v>0</x:v>
      </x:c>
      <x:c r="L2" s="30" t="str"/>
      <x:c r="M2" s="30" t="str"/>
      <x:c r="N2" s="49"/>
      <x:c r="O2" s="30" t="str">
        <x:v>Not Assessed</x:v>
      </x:c>
      <x:c r="P2" s="30" t="n">
        <x:f>IF(G2="Critical",5,IF(G2="High",4,IF(G2="Medium",3,2)))</x:f>
        <x:v>5</x:v>
      </x:c>
      <x:c r="Q2" s="45" t="n">
        <x:f>P2*K2</x:f>
        <x:v>0</x:v>
      </x:c>
      <x:c r="R2" s="45" t="n">
        <x:f>P2-Q2</x:f>
        <x:v>5</x:v>
      </x:c>
      <x:c r="S2" s="30" t="str"/>
      <x:c r="T2" s="49"/>
      <x:c r="U2" s="30" t="str">
        <x:v>SRC-01</x:v>
      </x:c>
      <x:c r="V2" s="30" t="str">
        <x:v>https://www.nccoe.nist.gov/publication/1800-28/VolB/index.html</x:v>
      </x:c>
      <x:c r="W2" s="31" t="str"/>
    </x:row>
    <x:row r="3">
      <x:c r="A3" s="15" t="str">
        <x:v>RBI-002</x:v>
      </x:c>
      <x:c r="B3" s="16" t="str">
        <x:v>Architecture</x:v>
      </x:c>
      <x:c r="C3" s="16" t="str">
        <x:v>Fail-Safe Behavior</x:v>
      </x:c>
      <x:c r="D3" s="30" t="str">
        <x:v>Prevent local fallback when isolation initialization, policy evaluation or the RBI service fails.</x:v>
      </x:c>
      <x:c r="E3" s="30" t="str">
        <x:v>Isolation bypass; fail-open browsing</x:v>
      </x:c>
      <x:c r="F3" s="16" t="str">
        <x:v>Mandatory</x:v>
      </x:c>
      <x:c r="G3" s="16" t="str">
        <x:v>Critical</x:v>
      </x:c>
      <x:c r="H3" s="30" t="str">
        <x:v>High-Risk Users</x:v>
      </x:c>
      <x:c r="I3" s="30" t="str">
        <x:v>Simulate service, network and policy failures and confirm fail-closed behavior.</x:v>
      </x:c>
      <x:c r="J3" s="16" t="str">
        <x:v>Not Assessed</x:v>
      </x:c>
      <x:c r="K3" s="41" t="n">
        <x:f>IF(J3="Implemented",1,IF(J3="Partially Implemented",0.5,IF(J3="Planned",0.25,IF(J3="Not Applicable",1,0))))</x:f>
        <x:v>0</x:v>
      </x:c>
      <x:c r="L3" s="30" t="str"/>
      <x:c r="M3" s="30" t="str"/>
      <x:c r="N3" s="49"/>
      <x:c r="O3" s="30" t="str">
        <x:v>Not Assessed</x:v>
      </x:c>
      <x:c r="P3" s="30" t="n">
        <x:f>IF(G3="Critical",5,IF(G3="High",4,IF(G3="Medium",3,2)))</x:f>
        <x:v>5</x:v>
      </x:c>
      <x:c r="Q3" s="45" t="n">
        <x:f>P3*K3</x:f>
        <x:v>0</x:v>
      </x:c>
      <x:c r="R3" s="45" t="n">
        <x:f>P3-Q3</x:f>
        <x:v>5</x:v>
      </x:c>
      <x:c r="S3" s="30" t="str"/>
      <x:c r="T3" s="49"/>
      <x:c r="U3" s="30" t="str">
        <x:v>SRC-03</x:v>
      </x:c>
      <x:c r="V3" s="30" t="str">
        <x:v>https://attack.mitre.org/mitigations/M1048/</x:v>
      </x:c>
      <x:c r="W3" s="31" t="str"/>
    </x:row>
    <x:row r="4">
      <x:c r="A4" s="15" t="str">
        <x:v>RBI-003</x:v>
      </x:c>
      <x:c r="B4" s="16" t="str">
        <x:v>Architecture</x:v>
      </x:c>
      <x:c r="C4" s="16" t="str">
        <x:v>Session Isolation</x:v>
      </x:c>
      <x:c r="D4" s="30" t="str">
        <x:v>Provide per-user and per-session isolation with no shared process, memory, cache, cookies or storage across security principals.</x:v>
      </x:c>
      <x:c r="E4" s="30" t="str">
        <x:v>Cross-session leakage; tenant compromise</x:v>
      </x:c>
      <x:c r="F4" s="16" t="str">
        <x:v>Mandatory</x:v>
      </x:c>
      <x:c r="G4" s="16" t="str">
        <x:v>Critical</x:v>
      </x:c>
      <x:c r="H4" s="30" t="str">
        <x:v>Universal</x:v>
      </x:c>
      <x:c r="I4" s="30" t="str">
        <x:v>Perform cross-session artifact and memory-isolation testing.</x:v>
      </x:c>
      <x:c r="J4" s="16" t="str">
        <x:v>Not Assessed</x:v>
      </x:c>
      <x:c r="K4" s="41" t="n">
        <x:f>IF(J4="Implemented",1,IF(J4="Partially Implemented",0.5,IF(J4="Planned",0.25,IF(J4="Not Applicable",1,0))))</x:f>
        <x:v>0</x:v>
      </x:c>
      <x:c r="L4" s="30" t="str"/>
      <x:c r="M4" s="30" t="str"/>
      <x:c r="N4" s="49"/>
      <x:c r="O4" s="30" t="str">
        <x:v>Not Assessed</x:v>
      </x:c>
      <x:c r="P4" s="30" t="n">
        <x:f>IF(G4="Critical",5,IF(G4="High",4,IF(G4="Medium",3,2)))</x:f>
        <x:v>5</x:v>
      </x:c>
      <x:c r="Q4" s="45" t="n">
        <x:f>P4*K4</x:f>
        <x:v>0</x:v>
      </x:c>
      <x:c r="R4" s="45" t="n">
        <x:f>P4-Q4</x:f>
        <x:v>5</x:v>
      </x:c>
      <x:c r="S4" s="30" t="str"/>
      <x:c r="T4" s="49"/>
      <x:c r="U4" s="30" t="str">
        <x:v>SRC-01</x:v>
      </x:c>
      <x:c r="V4" s="30" t="str">
        <x:v>https://www.nccoe.nist.gov/publication/1800-28/VolB/index.html</x:v>
      </x:c>
      <x:c r="W4" s="31" t="str"/>
    </x:row>
    <x:row r="5">
      <x:c r="A5" s="15" t="str">
        <x:v>RBI-004</x:v>
      </x:c>
      <x:c r="B5" s="16" t="str">
        <x:v>Architecture</x:v>
      </x:c>
      <x:c r="C5" s="16" t="str">
        <x:v>Session Lifecycle</x:v>
      </x:c>
      <x:c r="D5" s="30" t="str">
        <x:v>Destroy browser processes, memory, cookies, Service Workers, cache, IndexedDB, local storage and temporary files at session termination.</x:v>
      </x:c>
      <x:c r="E5" s="30" t="str">
        <x:v>Persistence; data remanence; session hijacking</x:v>
      </x:c>
      <x:c r="F5" s="16" t="str">
        <x:v>Mandatory</x:v>
      </x:c>
      <x:c r="G5" s="16" t="str">
        <x:v>High</x:v>
      </x:c>
      <x:c r="H5" s="30" t="str">
        <x:v>Universal</x:v>
      </x:c>
      <x:c r="I5" s="30" t="str">
        <x:v>Terminate sessions and verify that session state cannot be recovered or reused.</x:v>
      </x:c>
      <x:c r="J5" s="16" t="str">
        <x:v>Not Assessed</x:v>
      </x:c>
      <x:c r="K5" s="41" t="n">
        <x:f>IF(J5="Implemented",1,IF(J5="Partially Implemented",0.5,IF(J5="Planned",0.25,IF(J5="Not Applicable",1,0))))</x:f>
        <x:v>0</x:v>
      </x:c>
      <x:c r="L5" s="30" t="str"/>
      <x:c r="M5" s="30" t="str"/>
      <x:c r="N5" s="49"/>
      <x:c r="O5" s="30" t="str">
        <x:v>Not Assessed</x:v>
      </x:c>
      <x:c r="P5" s="30" t="n">
        <x:f>IF(G5="Critical",5,IF(G5="High",4,IF(G5="Medium",3,2)))</x:f>
        <x:v>4</x:v>
      </x:c>
      <x:c r="Q5" s="45" t="n">
        <x:f>P5*K5</x:f>
        <x:v>0</x:v>
      </x:c>
      <x:c r="R5" s="45" t="n">
        <x:f>P5-Q5</x:f>
        <x:v>4</x:v>
      </x:c>
      <x:c r="S5" s="30" t="str"/>
      <x:c r="T5" s="49"/>
      <x:c r="U5" s="30" t="str">
        <x:v>SRC-26</x:v>
      </x:c>
      <x:c r="V5" s="30" t="str">
        <x:v>https://developers.cloudflare.com/cloudflare-one/remote-browser-isolation/isolation-policies/</x:v>
      </x:c>
      <x:c r="W5" s="31" t="str"/>
    </x:row>
    <x:row r="6">
      <x:c r="A6" s="15" t="str">
        <x:v>RBI-005</x:v>
      </x:c>
      <x:c r="B6" s="16" t="str">
        <x:v>Architecture</x:v>
      </x:c>
      <x:c r="C6" s="16" t="str">
        <x:v>Subresource Isolation</x:v>
      </x:c>
      <x:c r="D6" s="30" t="str">
        <x:v>Keep redirects, iframes, pop-ups, advertisements, subresources, APIs, Web Workers, Shared Workers and Service Workers inside the isolation boundary.</x:v>
      </x:c>
      <x:c r="E6" s="30" t="str">
        <x:v>Split-path bypass; malicious third-party content</x:v>
      </x:c>
      <x:c r="F6" s="16" t="str">
        <x:v>Mandatory</x:v>
      </x:c>
      <x:c r="G6" s="16" t="str">
        <x:v>Critical</x:v>
      </x:c>
      <x:c r="H6" s="30" t="str">
        <x:v>Universal</x:v>
      </x:c>
      <x:c r="I6" s="30" t="str">
        <x:v>Use a test page containing external frames, redirects, workers, APIs and downloads.</x:v>
      </x:c>
      <x:c r="J6" s="16" t="str">
        <x:v>Not Assessed</x:v>
      </x:c>
      <x:c r="K6" s="41" t="n">
        <x:f>IF(J6="Implemented",1,IF(J6="Partially Implemented",0.5,IF(J6="Planned",0.25,IF(J6="Not Applicable",1,0))))</x:f>
        <x:v>0</x:v>
      </x:c>
      <x:c r="L6" s="30" t="str"/>
      <x:c r="M6" s="30" t="str"/>
      <x:c r="N6" s="49"/>
      <x:c r="O6" s="30" t="str">
        <x:v>Not Assessed</x:v>
      </x:c>
      <x:c r="P6" s="30" t="n">
        <x:f>IF(G6="Critical",5,IF(G6="High",4,IF(G6="Medium",3,2)))</x:f>
        <x:v>5</x:v>
      </x:c>
      <x:c r="Q6" s="45" t="n">
        <x:f>P6*K6</x:f>
        <x:v>0</x:v>
      </x:c>
      <x:c r="R6" s="45" t="n">
        <x:f>P6-Q6</x:f>
        <x:v>5</x:v>
      </x:c>
      <x:c r="S6" s="30" t="str"/>
      <x:c r="T6" s="49"/>
      <x:c r="U6" s="30" t="str">
        <x:v>SRC-27</x:v>
      </x:c>
      <x:c r="V6" s="30" t="str">
        <x:v>https://developers.cloudflare.com/cloudflare-one/remote-browser-isolation/known-limitations/</x:v>
      </x:c>
      <x:c r="W6" s="31" t="str"/>
    </x:row>
    <x:row r="7">
      <x:c r="A7" s="15" t="str">
        <x:v>RBI-006</x:v>
      </x:c>
      <x:c r="B7" s="16" t="str">
        <x:v>Architecture</x:v>
      </x:c>
      <x:c r="C7" s="16" t="str">
        <x:v>Endpoint Renderer</x:v>
      </x:c>
      <x:c r="D7" s="30" t="str">
        <x:v>Document and harden every endpoint-side component used to decode or display the isolated session.</x:v>
      </x:c>
      <x:c r="E7" s="30" t="str">
        <x:v>Remoting-client exploit; renderer escape</x:v>
      </x:c>
      <x:c r="F7" s="16" t="str">
        <x:v>Mandatory</x:v>
      </x:c>
      <x:c r="G7" s="16" t="str">
        <x:v>High</x:v>
      </x:c>
      <x:c r="H7" s="30" t="str">
        <x:v>Universal</x:v>
      </x:c>
      <x:c r="I7" s="30" t="str">
        <x:v>Review the software bill of materials, patch process and penetration-test scope.</x:v>
      </x:c>
      <x:c r="J7" s="16" t="str">
        <x:v>Not Assessed</x:v>
      </x:c>
      <x:c r="K7" s="41" t="n">
        <x:f>IF(J7="Implemented",1,IF(J7="Partially Implemented",0.5,IF(J7="Planned",0.25,IF(J7="Not Applicable",1,0))))</x:f>
        <x:v>0</x:v>
      </x:c>
      <x:c r="L7" s="30" t="str"/>
      <x:c r="M7" s="30" t="str"/>
      <x:c r="N7" s="49"/>
      <x:c r="O7" s="30" t="str">
        <x:v>Not Assessed</x:v>
      </x:c>
      <x:c r="P7" s="30" t="n">
        <x:f>IF(G7="Critical",5,IF(G7="High",4,IF(G7="Medium",3,2)))</x:f>
        <x:v>4</x:v>
      </x:c>
      <x:c r="Q7" s="45" t="n">
        <x:f>P7*K7</x:f>
        <x:v>0</x:v>
      </x:c>
      <x:c r="R7" s="45" t="n">
        <x:f>P7-Q7</x:f>
        <x:v>4</x:v>
      </x:c>
      <x:c r="S7" s="30" t="str"/>
      <x:c r="T7" s="49"/>
      <x:c r="U7" s="30" t="str">
        <x:v>SRC-28</x:v>
      </x:c>
      <x:c r="V7" s="30" t="str">
        <x:v>https://developers.cloudflare.com/cloudflare-one/remote-browser-isolation/canvas-remoting/</x:v>
      </x:c>
      <x:c r="W7" s="31" t="str"/>
    </x:row>
    <x:row r="8">
      <x:c r="A8" s="15" t="str">
        <x:v>RBI-007</x:v>
      </x:c>
      <x:c r="B8" s="16" t="str">
        <x:v>Architecture</x:v>
      </x:c>
      <x:c r="C8" s="16" t="str">
        <x:v>Network Enforcement</x:v>
      </x:c>
      <x:c r="D8" s="30" t="str">
        <x:v>Block direct web access from protected endpoints and require browser traffic to traverse approved RBI and Secure Web Gateway controls.</x:v>
      </x:c>
      <x:c r="E8" s="30" t="str">
        <x:v>Proxy bypass; alternate browser path</x:v>
      </x:c>
      <x:c r="F8" s="16" t="str">
        <x:v>Mandatory</x:v>
      </x:c>
      <x:c r="G8" s="16" t="str">
        <x:v>Critical</x:v>
      </x:c>
      <x:c r="H8" s="30" t="str">
        <x:v>Managed Endpoints</x:v>
      </x:c>
      <x:c r="I8" s="30" t="str">
        <x:v>Attempt direct HTTP, HTTPS, QUIC, VPN, proxy and unmanaged-browser access.</x:v>
      </x:c>
      <x:c r="J8" s="16" t="str">
        <x:v>Not Assessed</x:v>
      </x:c>
      <x:c r="K8" s="41" t="n">
        <x:f>IF(J8="Implemented",1,IF(J8="Partially Implemented",0.5,IF(J8="Planned",0.25,IF(J8="Not Applicable",1,0))))</x:f>
        <x:v>0</x:v>
      </x:c>
      <x:c r="L8" s="30" t="str"/>
      <x:c r="M8" s="30" t="str"/>
      <x:c r="N8" s="49"/>
      <x:c r="O8" s="30" t="str">
        <x:v>Not Assessed</x:v>
      </x:c>
      <x:c r="P8" s="30" t="n">
        <x:f>IF(G8="Critical",5,IF(G8="High",4,IF(G8="Medium",3,2)))</x:f>
        <x:v>5</x:v>
      </x:c>
      <x:c r="Q8" s="45" t="n">
        <x:f>P8*K8</x:f>
        <x:v>0</x:v>
      </x:c>
      <x:c r="R8" s="45" t="n">
        <x:f>P8-Q8</x:f>
        <x:v>5</x:v>
      </x:c>
      <x:c r="S8" s="30" t="str"/>
      <x:c r="T8" s="49"/>
      <x:c r="U8" s="30" t="str">
        <x:v>SRC-02</x:v>
      </x:c>
      <x:c r="V8" s="30" t="str">
        <x:v>https://pages.nist.gov/zero-trust-architecture/VolumeA/ProjectOverview.html</x:v>
      </x:c>
      <x:c r="W8" s="31" t="str"/>
    </x:row>
    <x:row r="9">
      <x:c r="A9" s="15" t="str">
        <x:v>RBI-008</x:v>
      </x:c>
      <x:c r="B9" s="16" t="str">
        <x:v>Architecture</x:v>
      </x:c>
      <x:c r="C9" s="16" t="str">
        <x:v>Tenant Isolation</x:v>
      </x:c>
      <x:c r="D9" s="30" t="str">
        <x:v>Provide documented cryptographic, compute, storage and administrative separation between customer tenants.</x:v>
      </x:c>
      <x:c r="E9" s="30" t="str">
        <x:v>Cross-tenant compromise; privileged provider access</x:v>
      </x:c>
      <x:c r="F9" s="16" t="str">
        <x:v>Mandatory</x:v>
      </x:c>
      <x:c r="G9" s="16" t="str">
        <x:v>Critical</x:v>
      </x:c>
      <x:c r="H9" s="30" t="str">
        <x:v>Cloud RBI</x:v>
      </x:c>
      <x:c r="I9" s="30" t="str">
        <x:v>Review independent assurance reports and perform tenant-isolation testing where contractually permitted.</x:v>
      </x:c>
      <x:c r="J9" s="16" t="str">
        <x:v>Not Assessed</x:v>
      </x:c>
      <x:c r="K9" s="41" t="n">
        <x:f>IF(J9="Implemented",1,IF(J9="Partially Implemented",0.5,IF(J9="Planned",0.25,IF(J9="Not Applicable",1,0))))</x:f>
        <x:v>0</x:v>
      </x:c>
      <x:c r="L9" s="30" t="str"/>
      <x:c r="M9" s="30" t="str"/>
      <x:c r="N9" s="49"/>
      <x:c r="O9" s="30" t="str">
        <x:v>Not Assessed</x:v>
      </x:c>
      <x:c r="P9" s="30" t="n">
        <x:f>IF(G9="Critical",5,IF(G9="High",4,IF(G9="Medium",3,2)))</x:f>
        <x:v>5</x:v>
      </x:c>
      <x:c r="Q9" s="45" t="n">
        <x:f>P9*K9</x:f>
        <x:v>0</x:v>
      </x:c>
      <x:c r="R9" s="45" t="n">
        <x:f>P9-Q9</x:f>
        <x:v>5</x:v>
      </x:c>
      <x:c r="S9" s="30" t="str"/>
      <x:c r="T9" s="49"/>
      <x:c r="U9" s="30" t="str">
        <x:v>SRC-01</x:v>
      </x:c>
      <x:c r="V9" s="30" t="str">
        <x:v>https://www.nccoe.nist.gov/publication/1800-28/VolB/index.html</x:v>
      </x:c>
      <x:c r="W9" s="31" t="str"/>
    </x:row>
    <x:row r="10">
      <x:c r="A10" s="15" t="str">
        <x:v>RBI-009</x:v>
      </x:c>
      <x:c r="B10" s="16" t="str">
        <x:v>Architecture</x:v>
      </x:c>
      <x:c r="C10" s="16" t="str">
        <x:v>Data Residency</x:v>
      </x:c>
      <x:c r="D10" s="30" t="str">
        <x:v>Define geographic processing, storage, backup and support locations for browsing content, credentials, files and telemetry.</x:v>
      </x:c>
      <x:c r="E10" s="30" t="str">
        <x:v>Regulatory breach; unauthorized jurisdictional access</x:v>
      </x:c>
      <x:c r="F10" s="16" t="str">
        <x:v>Mandatory</x:v>
      </x:c>
      <x:c r="G10" s="16" t="str">
        <x:v>High</x:v>
      </x:c>
      <x:c r="H10" s="30" t="str">
        <x:v>Regulated Environments</x:v>
      </x:c>
      <x:c r="I10" s="30" t="str">
        <x:v>Review contract, data-flow diagram, subprocessor list and tenant configuration.</x:v>
      </x:c>
      <x:c r="J10" s="16" t="str">
        <x:v>Not Assessed</x:v>
      </x:c>
      <x:c r="K10" s="41" t="n">
        <x:f>IF(J10="Implemented",1,IF(J10="Partially Implemented",0.5,IF(J10="Planned",0.25,IF(J10="Not Applicable",1,0))))</x:f>
        <x:v>0</x:v>
      </x:c>
      <x:c r="L10" s="30" t="str"/>
      <x:c r="M10" s="30" t="str"/>
      <x:c r="N10" s="49"/>
      <x:c r="O10" s="30" t="str">
        <x:v>Not Assessed</x:v>
      </x:c>
      <x:c r="P10" s="30" t="n">
        <x:f>IF(G10="Critical",5,IF(G10="High",4,IF(G10="Medium",3,2)))</x:f>
        <x:v>4</x:v>
      </x:c>
      <x:c r="Q10" s="45" t="n">
        <x:f>P10*K10</x:f>
        <x:v>0</x:v>
      </x:c>
      <x:c r="R10" s="45" t="n">
        <x:f>P10-Q10</x:f>
        <x:v>4</x:v>
      </x:c>
      <x:c r="S10" s="30" t="str"/>
      <x:c r="T10" s="49"/>
      <x:c r="U10" s="30" t="str">
        <x:v>SRC-01</x:v>
      </x:c>
      <x:c r="V10" s="30" t="str">
        <x:v>https://www.nccoe.nist.gov/publication/1800-28/VolB/index.html</x:v>
      </x:c>
      <x:c r="W10" s="31" t="str"/>
    </x:row>
    <x:row r="11">
      <x:c r="A11" s="15" t="str">
        <x:v>RBI-010</x:v>
      </x:c>
      <x:c r="B11" s="16" t="str">
        <x:v>Policy &amp; Access</x:v>
      </x:c>
      <x:c r="C11" s="16" t="str">
        <x:v>Risk-Based Isolation</x:v>
      </x:c>
      <x:c r="D11" s="30" t="str">
        <x:v>Apply isolation according to identity, device posture, destination risk, domain age, category, application sensitivity and user risk.</x:v>
      </x:c>
      <x:c r="E11" s="30" t="str">
        <x:v>Unknown sites; compromised devices; targeted phishing</x:v>
      </x:c>
      <x:c r="F11" s="16" t="str">
        <x:v>Mandatory</x:v>
      </x:c>
      <x:c r="G11" s="16" t="str">
        <x:v>High</x:v>
      </x:c>
      <x:c r="H11" s="30" t="str">
        <x:v>Universal</x:v>
      </x:c>
      <x:c r="I11" s="30" t="str">
        <x:v>Test representative policy combinations and precedence.</x:v>
      </x:c>
      <x:c r="J11" s="16" t="str">
        <x:v>Not Assessed</x:v>
      </x:c>
      <x:c r="K11" s="41" t="n">
        <x:f>IF(J11="Implemented",1,IF(J11="Partially Implemented",0.5,IF(J11="Planned",0.25,IF(J11="Not Applicable",1,0))))</x:f>
        <x:v>0</x:v>
      </x:c>
      <x:c r="L11" s="30" t="str"/>
      <x:c r="M11" s="30" t="str"/>
      <x:c r="N11" s="49"/>
      <x:c r="O11" s="30" t="str">
        <x:v>Not Assessed</x:v>
      </x:c>
      <x:c r="P11" s="30" t="n">
        <x:f>IF(G11="Critical",5,IF(G11="High",4,IF(G11="Medium",3,2)))</x:f>
        <x:v>4</x:v>
      </x:c>
      <x:c r="Q11" s="45" t="n">
        <x:f>P11*K11</x:f>
        <x:v>0</x:v>
      </x:c>
      <x:c r="R11" s="45" t="n">
        <x:f>P11-Q11</x:f>
        <x:v>4</x:v>
      </x:c>
      <x:c r="S11" s="30" t="str"/>
      <x:c r="T11" s="49"/>
      <x:c r="U11" s="30" t="str">
        <x:v>SRC-02</x:v>
      </x:c>
      <x:c r="V11" s="30" t="str">
        <x:v>https://pages.nist.gov/zero-trust-architecture/VolumeA/ProjectOverview.html</x:v>
      </x:c>
      <x:c r="W11" s="31" t="str"/>
    </x:row>
    <x:row r="12">
      <x:c r="A12" s="15" t="str">
        <x:v>RBI-011</x:v>
      </x:c>
      <x:c r="B12" s="16" t="str">
        <x:v>Policy &amp; Access</x:v>
      </x:c>
      <x:c r="C12" s="16" t="str">
        <x:v>Read-Only Mode</x:v>
      </x:c>
      <x:c r="D12" s="30" t="str">
        <x:v>Default suspicious, uncategorized, newly registered and lookalike domains to read-only isolated access.</x:v>
      </x:c>
      <x:c r="E12" s="30" t="str">
        <x:v>Credential phishing; unauthorized actions</x:v>
      </x:c>
      <x:c r="F12" s="16" t="str">
        <x:v>Mandatory</x:v>
      </x:c>
      <x:c r="G12" s="16" t="str">
        <x:v>Critical</x:v>
      </x:c>
      <x:c r="H12" s="30" t="str">
        <x:v>Internet Browsing</x:v>
      </x:c>
      <x:c r="I12" s="30" t="str">
        <x:v>Verify that typing, paste, upload, download and print actions are disabled.</x:v>
      </x:c>
      <x:c r="J12" s="16" t="str">
        <x:v>Not Assessed</x:v>
      </x:c>
      <x:c r="K12" s="41" t="n">
        <x:f>IF(J12="Implemented",1,IF(J12="Partially Implemented",0.5,IF(J12="Planned",0.25,IF(J12="Not Applicable",1,0))))</x:f>
        <x:v>0</x:v>
      </x:c>
      <x:c r="L12" s="30" t="str"/>
      <x:c r="M12" s="30" t="str"/>
      <x:c r="N12" s="49"/>
      <x:c r="O12" s="30" t="str">
        <x:v>Not Assessed</x:v>
      </x:c>
      <x:c r="P12" s="30" t="n">
        <x:f>IF(G12="Critical",5,IF(G12="High",4,IF(G12="Medium",3,2)))</x:f>
        <x:v>5</x:v>
      </x:c>
      <x:c r="Q12" s="45" t="n">
        <x:f>P12*K12</x:f>
        <x:v>0</x:v>
      </x:c>
      <x:c r="R12" s="45" t="n">
        <x:f>P12-Q12</x:f>
        <x:v>5</x:v>
      </x:c>
      <x:c r="S12" s="30" t="str"/>
      <x:c r="T12" s="49"/>
      <x:c r="U12" s="30" t="str">
        <x:v>SRC-26</x:v>
      </x:c>
      <x:c r="V12" s="30" t="str">
        <x:v>https://developers.cloudflare.com/cloudflare-one/remote-browser-isolation/isolation-policies/</x:v>
      </x:c>
      <x:c r="W12" s="31" t="str"/>
    </x:row>
    <x:row r="13">
      <x:c r="A13" s="15" t="str">
        <x:v>RBI-012</x:v>
      </x:c>
      <x:c r="B13" s="16" t="str">
        <x:v>Policy &amp; Access</x:v>
      </x:c>
      <x:c r="C13" s="16" t="str">
        <x:v>Authentication Domains</x:v>
      </x:c>
      <x:c r="D13" s="30" t="str">
        <x:v>Permit credential entry and authentication only on approved organizational domains and approved SaaS tenants.</x:v>
      </x:c>
      <x:c r="E13" s="30" t="str">
        <x:v>Credential phishing; adversary-in-the-middle phishing</x:v>
      </x:c>
      <x:c r="F13" s="16" t="str">
        <x:v>Mandatory</x:v>
      </x:c>
      <x:c r="G13" s="16" t="str">
        <x:v>Critical</x:v>
      </x:c>
      <x:c r="H13" s="30" t="str">
        <x:v>Universal</x:v>
      </x:c>
      <x:c r="I13" s="30" t="str">
        <x:v>Attempt authentication on lookalike, newly registered and unsanctioned tenant domains.</x:v>
      </x:c>
      <x:c r="J13" s="16" t="str">
        <x:v>Not Assessed</x:v>
      </x:c>
      <x:c r="K13" s="41" t="n">
        <x:f>IF(J13="Implemented",1,IF(J13="Partially Implemented",0.5,IF(J13="Planned",0.25,IF(J13="Not Applicable",1,0))))</x:f>
        <x:v>0</x:v>
      </x:c>
      <x:c r="L13" s="30" t="str"/>
      <x:c r="M13" s="30" t="str"/>
      <x:c r="N13" s="49"/>
      <x:c r="O13" s="30" t="str">
        <x:v>Not Assessed</x:v>
      </x:c>
      <x:c r="P13" s="30" t="n">
        <x:f>IF(G13="Critical",5,IF(G13="High",4,IF(G13="Medium",3,2)))</x:f>
        <x:v>5</x:v>
      </x:c>
      <x:c r="Q13" s="45" t="n">
        <x:f>P13*K13</x:f>
        <x:v>0</x:v>
      </x:c>
      <x:c r="R13" s="45" t="n">
        <x:f>P13-Q13</x:f>
        <x:v>5</x:v>
      </x:c>
      <x:c r="S13" s="30" t="str"/>
      <x:c r="T13" s="49"/>
      <x:c r="U13" s="30" t="str">
        <x:v>SRC-02</x:v>
      </x:c>
      <x:c r="V13" s="30" t="str">
        <x:v>https://pages.nist.gov/zero-trust-architecture/VolumeA/ProjectOverview.html</x:v>
      </x:c>
      <x:c r="W13" s="31" t="str"/>
    </x:row>
    <x:row r="14">
      <x:c r="A14" s="15" t="str">
        <x:v>RBI-013</x:v>
      </x:c>
      <x:c r="B14" s="16" t="str">
        <x:v>Policy &amp; Access</x:v>
      </x:c>
      <x:c r="C14" s="16" t="str">
        <x:v>Privileged Browsing</x:v>
      </x:c>
      <x:c r="D14" s="30" t="str">
        <x:v>Separate internet browsing from privileged administration and isolate all external browsing initiated by privileged users.</x:v>
      </x:c>
      <x:c r="E14" s="30" t="str">
        <x:v>Credential theft; administrative workstation compromise</x:v>
      </x:c>
      <x:c r="F14" s="16" t="str">
        <x:v>Mandatory</x:v>
      </x:c>
      <x:c r="G14" s="16" t="str">
        <x:v>Critical</x:v>
      </x:c>
      <x:c r="H14" s="30" t="str">
        <x:v>Privileged Users</x:v>
      </x:c>
      <x:c r="I14" s="30" t="str">
        <x:v>Test privileged access workstation and administrator session routing.</x:v>
      </x:c>
      <x:c r="J14" s="16" t="str">
        <x:v>Not Assessed</x:v>
      </x:c>
      <x:c r="K14" s="41" t="n">
        <x:f>IF(J14="Implemented",1,IF(J14="Partially Implemented",0.5,IF(J14="Planned",0.25,IF(J14="Not Applicable",1,0))))</x:f>
        <x:v>0</x:v>
      </x:c>
      <x:c r="L14" s="30" t="str"/>
      <x:c r="M14" s="30" t="str"/>
      <x:c r="N14" s="49"/>
      <x:c r="O14" s="30" t="str">
        <x:v>Not Assessed</x:v>
      </x:c>
      <x:c r="P14" s="30" t="n">
        <x:f>IF(G14="Critical",5,IF(G14="High",4,IF(G14="Medium",3,2)))</x:f>
        <x:v>5</x:v>
      </x:c>
      <x:c r="Q14" s="45" t="n">
        <x:f>P14*K14</x:f>
        <x:v>0</x:v>
      </x:c>
      <x:c r="R14" s="45" t="n">
        <x:f>P14-Q14</x:f>
        <x:v>5</x:v>
      </x:c>
      <x:c r="S14" s="30" t="str"/>
      <x:c r="T14" s="49"/>
      <x:c r="U14" s="30" t="str">
        <x:v>SRC-02</x:v>
      </x:c>
      <x:c r="V14" s="30" t="str">
        <x:v>https://pages.nist.gov/zero-trust-architecture/VolumeA/ProjectOverview.html</x:v>
      </x:c>
      <x:c r="W14" s="31" t="str"/>
    </x:row>
    <x:row r="15">
      <x:c r="A15" s="15" t="str">
        <x:v>RBI-014</x:v>
      </x:c>
      <x:c r="B15" s="16" t="str">
        <x:v>Policy &amp; Access</x:v>
      </x:c>
      <x:c r="C15" s="16" t="str">
        <x:v>BYOD Access</x:v>
      </x:c>
      <x:c r="D15" s="30" t="str">
        <x:v>Restrict unmanaged devices to isolated, identity-aware and least-privilege application access.</x:v>
      </x:c>
      <x:c r="E15" s="30" t="str">
        <x:v>Data leakage; compromised unmanaged endpoint</x:v>
      </x:c>
      <x:c r="F15" s="16" t="str">
        <x:v>Mandatory</x:v>
      </x:c>
      <x:c r="G15" s="16" t="str">
        <x:v>High</x:v>
      </x:c>
      <x:c r="H15" s="30" t="str">
        <x:v>BYOD / Contractors</x:v>
      </x:c>
      <x:c r="I15" s="30" t="str">
        <x:v>Test unmanaged device access, clipboard, download, print and session controls.</x:v>
      </x:c>
      <x:c r="J15" s="16" t="str">
        <x:v>Not Assessed</x:v>
      </x:c>
      <x:c r="K15" s="41" t="n">
        <x:f>IF(J15="Implemented",1,IF(J15="Partially Implemented",0.5,IF(J15="Planned",0.25,IF(J15="Not Applicable",1,0))))</x:f>
        <x:v>0</x:v>
      </x:c>
      <x:c r="L15" s="30" t="str"/>
      <x:c r="M15" s="30" t="str"/>
      <x:c r="N15" s="49"/>
      <x:c r="O15" s="30" t="str">
        <x:v>Not Assessed</x:v>
      </x:c>
      <x:c r="P15" s="30" t="n">
        <x:f>IF(G15="Critical",5,IF(G15="High",4,IF(G15="Medium",3,2)))</x:f>
        <x:v>4</x:v>
      </x:c>
      <x:c r="Q15" s="45" t="n">
        <x:f>P15*K15</x:f>
        <x:v>0</x:v>
      </x:c>
      <x:c r="R15" s="45" t="n">
        <x:f>P15-Q15</x:f>
        <x:v>4</x:v>
      </x:c>
      <x:c r="S15" s="30" t="str"/>
      <x:c r="T15" s="49"/>
      <x:c r="U15" s="30" t="str">
        <x:v>SRC-02</x:v>
      </x:c>
      <x:c r="V15" s="30" t="str">
        <x:v>https://pages.nist.gov/zero-trust-architecture/VolumeA/ProjectOverview.html</x:v>
      </x:c>
      <x:c r="W15" s="31" t="str"/>
    </x:row>
    <x:row r="16">
      <x:c r="A16" s="15" t="str">
        <x:v>RBI-015</x:v>
      </x:c>
      <x:c r="B16" s="16" t="str">
        <x:v>Policy &amp; Access</x:v>
      </x:c>
      <x:c r="C16" s="16" t="str">
        <x:v>Policy Versioning</x:v>
      </x:c>
      <x:c r="D16" s="30" t="str">
        <x:v>Version, approve and retain RBI policy changes with rollback and separation of duties.</x:v>
      </x:c>
      <x:c r="E16" s="30" t="str">
        <x:v>Unauthorized policy change; control degradation</x:v>
      </x:c>
      <x:c r="F16" s="16" t="str">
        <x:v>Mandatory</x:v>
      </x:c>
      <x:c r="G16" s="16" t="str">
        <x:v>High</x:v>
      </x:c>
      <x:c r="H16" s="30" t="str">
        <x:v>Universal</x:v>
      </x:c>
      <x:c r="I16" s="30" t="str">
        <x:v>Review change history, approval workflow and rollback test.</x:v>
      </x:c>
      <x:c r="J16" s="16" t="str">
        <x:v>Not Assessed</x:v>
      </x:c>
      <x:c r="K16" s="41" t="n">
        <x:f>IF(J16="Implemented",1,IF(J16="Partially Implemented",0.5,IF(J16="Planned",0.25,IF(J16="Not Applicable",1,0))))</x:f>
        <x:v>0</x:v>
      </x:c>
      <x:c r="L16" s="30" t="str"/>
      <x:c r="M16" s="30" t="str"/>
      <x:c r="N16" s="49"/>
      <x:c r="O16" s="30" t="str">
        <x:v>Not Assessed</x:v>
      </x:c>
      <x:c r="P16" s="30" t="n">
        <x:f>IF(G16="Critical",5,IF(G16="High",4,IF(G16="Medium",3,2)))</x:f>
        <x:v>4</x:v>
      </x:c>
      <x:c r="Q16" s="45" t="n">
        <x:f>P16*K16</x:f>
        <x:v>0</x:v>
      </x:c>
      <x:c r="R16" s="45" t="n">
        <x:f>P16-Q16</x:f>
        <x:v>4</x:v>
      </x:c>
      <x:c r="S16" s="30" t="str"/>
      <x:c r="T16" s="49"/>
      <x:c r="U16" s="30" t="str">
        <x:v>SRC-01</x:v>
      </x:c>
      <x:c r="V16" s="30" t="str">
        <x:v>https://www.nccoe.nist.gov/publication/1800-28/VolB/index.html</x:v>
      </x:c>
      <x:c r="W16" s="31" t="str"/>
    </x:row>
    <x:row r="17">
      <x:c r="A17" s="15" t="str">
        <x:v>RBI-016</x:v>
      </x:c>
      <x:c r="B17" s="16" t="str">
        <x:v>Identity</x:v>
      </x:c>
      <x:c r="C17" s="16" t="str">
        <x:v>Phishing-Resistant MFA</x:v>
      </x:c>
      <x:c r="D17" s="30" t="str">
        <x:v>Require FIDO2, passkeys or equivalent phishing-resistant MFA for privileged and sensitive RBI sessions.</x:v>
      </x:c>
      <x:c r="E17" s="30" t="str">
        <x:v>Adversary-in-the-middle phishing; token theft</x:v>
      </x:c>
      <x:c r="F17" s="16" t="str">
        <x:v>Mandatory</x:v>
      </x:c>
      <x:c r="G17" s="16" t="str">
        <x:v>Critical</x:v>
      </x:c>
      <x:c r="H17" s="30" t="str">
        <x:v>Sensitive Access</x:v>
      </x:c>
      <x:c r="I17" s="30" t="str">
        <x:v>Attempt authentication using non-approved MFA methods.</x:v>
      </x:c>
      <x:c r="J17" s="16" t="str">
        <x:v>Not Assessed</x:v>
      </x:c>
      <x:c r="K17" s="41" t="n">
        <x:f>IF(J17="Implemented",1,IF(J17="Partially Implemented",0.5,IF(J17="Planned",0.25,IF(J17="Not Applicable",1,0))))</x:f>
        <x:v>0</x:v>
      </x:c>
      <x:c r="L17" s="30" t="str"/>
      <x:c r="M17" s="30" t="str"/>
      <x:c r="N17" s="49"/>
      <x:c r="O17" s="30" t="str">
        <x:v>Not Assessed</x:v>
      </x:c>
      <x:c r="P17" s="30" t="n">
        <x:f>IF(G17="Critical",5,IF(G17="High",4,IF(G17="Medium",3,2)))</x:f>
        <x:v>5</x:v>
      </x:c>
      <x:c r="Q17" s="45" t="n">
        <x:f>P17*K17</x:f>
        <x:v>0</x:v>
      </x:c>
      <x:c r="R17" s="45" t="n">
        <x:f>P17-Q17</x:f>
        <x:v>5</x:v>
      </x:c>
      <x:c r="S17" s="30" t="str"/>
      <x:c r="T17" s="49"/>
      <x:c r="U17" s="30" t="str">
        <x:v>SRC-02</x:v>
      </x:c>
      <x:c r="V17" s="30" t="str">
        <x:v>https://pages.nist.gov/zero-trust-architecture/VolumeA/ProjectOverview.html</x:v>
      </x:c>
      <x:c r="W17" s="31" t="str"/>
    </x:row>
    <x:row r="18">
      <x:c r="A18" s="15" t="str">
        <x:v>RBI-017</x:v>
      </x:c>
      <x:c r="B18" s="16" t="str">
        <x:v>Identity</x:v>
      </x:c>
      <x:c r="C18" s="16" t="str">
        <x:v>Device Posture</x:v>
      </x:c>
      <x:c r="D18" s="30" t="str">
        <x:v>Evaluate managed status, EDR health, encryption, patch level and device risk before granting full-interaction access.</x:v>
      </x:c>
      <x:c r="E18" s="30" t="str">
        <x:v>Compromised endpoint; unmanaged device</x:v>
      </x:c>
      <x:c r="F18" s="16" t="str">
        <x:v>Mandatory</x:v>
      </x:c>
      <x:c r="G18" s="16" t="str">
        <x:v>High</x:v>
      </x:c>
      <x:c r="H18" s="30" t="str">
        <x:v>Managed Access</x:v>
      </x:c>
      <x:c r="I18" s="30" t="str">
        <x:v>Change posture signals and verify dynamic policy response.</x:v>
      </x:c>
      <x:c r="J18" s="16" t="str">
        <x:v>Not Assessed</x:v>
      </x:c>
      <x:c r="K18" s="41" t="n">
        <x:f>IF(J18="Implemented",1,IF(J18="Partially Implemented",0.5,IF(J18="Planned",0.25,IF(J18="Not Applicable",1,0))))</x:f>
        <x:v>0</x:v>
      </x:c>
      <x:c r="L18" s="30" t="str"/>
      <x:c r="M18" s="30" t="str"/>
      <x:c r="N18" s="49"/>
      <x:c r="O18" s="30" t="str">
        <x:v>Not Assessed</x:v>
      </x:c>
      <x:c r="P18" s="30" t="n">
        <x:f>IF(G18="Critical",5,IF(G18="High",4,IF(G18="Medium",3,2)))</x:f>
        <x:v>4</x:v>
      </x:c>
      <x:c r="Q18" s="45" t="n">
        <x:f>P18*K18</x:f>
        <x:v>0</x:v>
      </x:c>
      <x:c r="R18" s="45" t="n">
        <x:f>P18-Q18</x:f>
        <x:v>4</x:v>
      </x:c>
      <x:c r="S18" s="30" t="str"/>
      <x:c r="T18" s="49"/>
      <x:c r="U18" s="30" t="str">
        <x:v>SRC-02</x:v>
      </x:c>
      <x:c r="V18" s="30" t="str">
        <x:v>https://pages.nist.gov/zero-trust-architecture/VolumeA/ProjectOverview.html</x:v>
      </x:c>
      <x:c r="W18" s="31" t="str"/>
    </x:row>
    <x:row r="19">
      <x:c r="A19" s="15" t="str">
        <x:v>RBI-018</x:v>
      </x:c>
      <x:c r="B19" s="16" t="str">
        <x:v>Identity</x:v>
      </x:c>
      <x:c r="C19" s="16" t="str">
        <x:v>Session Reauthentication</x:v>
      </x:c>
      <x:c r="D19" s="30" t="str">
        <x:v>Require step-up authentication for sensitive downloads, application changes, payments and privileged actions.</x:v>
      </x:c>
      <x:c r="E19" s="30" t="str">
        <x:v>Session hijacking; unauthorized transaction</x:v>
      </x:c>
      <x:c r="F19" s="16" t="str">
        <x:v>Mandatory</x:v>
      </x:c>
      <x:c r="G19" s="16" t="str">
        <x:v>High</x:v>
      </x:c>
      <x:c r="H19" s="30" t="str">
        <x:v>Sensitive Applications</x:v>
      </x:c>
      <x:c r="I19" s="30" t="str">
        <x:v>Test reauthentication and session-binding behavior.</x:v>
      </x:c>
      <x:c r="J19" s="16" t="str">
        <x:v>Not Assessed</x:v>
      </x:c>
      <x:c r="K19" s="41" t="n">
        <x:f>IF(J19="Implemented",1,IF(J19="Partially Implemented",0.5,IF(J19="Planned",0.25,IF(J19="Not Applicable",1,0))))</x:f>
        <x:v>0</x:v>
      </x:c>
      <x:c r="L19" s="30" t="str"/>
      <x:c r="M19" s="30" t="str"/>
      <x:c r="N19" s="49"/>
      <x:c r="O19" s="30" t="str">
        <x:v>Not Assessed</x:v>
      </x:c>
      <x:c r="P19" s="30" t="n">
        <x:f>IF(G19="Critical",5,IF(G19="High",4,IF(G19="Medium",3,2)))</x:f>
        <x:v>4</x:v>
      </x:c>
      <x:c r="Q19" s="45" t="n">
        <x:f>P19*K19</x:f>
        <x:v>0</x:v>
      </x:c>
      <x:c r="R19" s="45" t="n">
        <x:f>P19-Q19</x:f>
        <x:v>4</x:v>
      </x:c>
      <x:c r="S19" s="30" t="str"/>
      <x:c r="T19" s="49"/>
      <x:c r="U19" s="30" t="str">
        <x:v>SRC-02</x:v>
      </x:c>
      <x:c r="V19" s="30" t="str">
        <x:v>https://pages.nist.gov/zero-trust-architecture/VolumeA/ProjectOverview.html</x:v>
      </x:c>
      <x:c r="W19" s="31" t="str"/>
    </x:row>
    <x:row r="20">
      <x:c r="A20" s="15" t="str">
        <x:v>RBI-019</x:v>
      </x:c>
      <x:c r="B20" s="16" t="str">
        <x:v>Identity</x:v>
      </x:c>
      <x:c r="C20" s="16" t="str">
        <x:v>Short-Lived Tokens</x:v>
      </x:c>
      <x:c r="D20" s="30" t="str">
        <x:v>Use short-lived, scoped tokens for isolated applications and revoke them when the RBI session ends or risk changes.</x:v>
      </x:c>
      <x:c r="E20" s="30" t="str">
        <x:v>Token replay; session persistence</x:v>
      </x:c>
      <x:c r="F20" s="16" t="str">
        <x:v>Recommended</x:v>
      </x:c>
      <x:c r="G20" s="16" t="str">
        <x:v>High</x:v>
      </x:c>
      <x:c r="H20" s="30" t="str">
        <x:v>Sensitive Applications</x:v>
      </x:c>
      <x:c r="I20" s="30" t="str">
        <x:v>Inspect token lifetime and revocation after session termination.</x:v>
      </x:c>
      <x:c r="J20" s="16" t="str">
        <x:v>Not Assessed</x:v>
      </x:c>
      <x:c r="K20" s="41" t="n">
        <x:f>IF(J20="Implemented",1,IF(J20="Partially Implemented",0.5,IF(J20="Planned",0.25,IF(J20="Not Applicable",1,0))))</x:f>
        <x:v>0</x:v>
      </x:c>
      <x:c r="L20" s="30" t="str"/>
      <x:c r="M20" s="30" t="str"/>
      <x:c r="N20" s="49"/>
      <x:c r="O20" s="30" t="str">
        <x:v>Not Assessed</x:v>
      </x:c>
      <x:c r="P20" s="30" t="n">
        <x:f>IF(G20="Critical",5,IF(G20="High",4,IF(G20="Medium",3,2)))</x:f>
        <x:v>4</x:v>
      </x:c>
      <x:c r="Q20" s="45" t="n">
        <x:f>P20*K20</x:f>
        <x:v>0</x:v>
      </x:c>
      <x:c r="R20" s="45" t="n">
        <x:f>P20-Q20</x:f>
        <x:v>4</x:v>
      </x:c>
      <x:c r="S20" s="30" t="str"/>
      <x:c r="T20" s="49"/>
      <x:c r="U20" s="30" t="str">
        <x:v>SRC-02</x:v>
      </x:c>
      <x:c r="V20" s="30" t="str">
        <x:v>https://pages.nist.gov/zero-trust-architecture/VolumeA/ProjectOverview.html</x:v>
      </x:c>
      <x:c r="W20" s="31" t="str"/>
    </x:row>
    <x:row r="21">
      <x:c r="A21" s="15" t="str">
        <x:v>RBI-020</x:v>
      </x:c>
      <x:c r="B21" s="16" t="str">
        <x:v>Identity</x:v>
      </x:c>
      <x:c r="C21" s="16" t="str">
        <x:v>Tenant Restrictions</x:v>
      </x:c>
      <x:c r="D21" s="30" t="str">
        <x:v>Restrict approved SaaS services to authorized enterprise tenants and block personal or external tenants where necessary.</x:v>
      </x:c>
      <x:c r="E21" s="30" t="str">
        <x:v>Data exfiltration; shadow SaaS</x:v>
      </x:c>
      <x:c r="F21" s="16" t="str">
        <x:v>Mandatory</x:v>
      </x:c>
      <x:c r="G21" s="16" t="str">
        <x:v>High</x:v>
      </x:c>
      <x:c r="H21" s="30" t="str">
        <x:v>Enterprise SaaS</x:v>
      </x:c>
      <x:c r="I21" s="30" t="str">
        <x:v>Attempt access to personal and unauthorized tenants.</x:v>
      </x:c>
      <x:c r="J21" s="16" t="str">
        <x:v>Not Assessed</x:v>
      </x:c>
      <x:c r="K21" s="41" t="n">
        <x:f>IF(J21="Implemented",1,IF(J21="Partially Implemented",0.5,IF(J21="Planned",0.25,IF(J21="Not Applicable",1,0))))</x:f>
        <x:v>0</x:v>
      </x:c>
      <x:c r="L21" s="30" t="str"/>
      <x:c r="M21" s="30" t="str"/>
      <x:c r="N21" s="49"/>
      <x:c r="O21" s="30" t="str">
        <x:v>Not Assessed</x:v>
      </x:c>
      <x:c r="P21" s="30" t="n">
        <x:f>IF(G21="Critical",5,IF(G21="High",4,IF(G21="Medium",3,2)))</x:f>
        <x:v>4</x:v>
      </x:c>
      <x:c r="Q21" s="45" t="n">
        <x:f>P21*K21</x:f>
        <x:v>0</x:v>
      </x:c>
      <x:c r="R21" s="45" t="n">
        <x:f>P21-Q21</x:f>
        <x:v>4</x:v>
      </x:c>
      <x:c r="S21" s="30" t="str"/>
      <x:c r="T21" s="49"/>
      <x:c r="U21" s="30" t="str">
        <x:v>SRC-26</x:v>
      </x:c>
      <x:c r="V21" s="30" t="str">
        <x:v>https://developers.cloudflare.com/cloudflare-one/remote-browser-isolation/isolation-policies/</x:v>
      </x:c>
      <x:c r="W21" s="31" t="str"/>
    </x:row>
    <x:row r="22">
      <x:c r="A22" s="15" t="str">
        <x:v>RBI-021</x:v>
      </x:c>
      <x:c r="B22" s="16" t="str">
        <x:v>Interaction Controls</x:v>
      </x:c>
      <x:c r="C22" s="16" t="str">
        <x:v>Keyboard</x:v>
      </x:c>
      <x:c r="D22" s="30" t="str">
        <x:v>Control keyboard input independently by user, site, application, data classification and risk.</x:v>
      </x:c>
      <x:c r="E22" s="30" t="str">
        <x:v>Credential theft; unauthorized form submission</x:v>
      </x:c>
      <x:c r="F22" s="16" t="str">
        <x:v>Mandatory</x:v>
      </x:c>
      <x:c r="G22" s="16" t="str">
        <x:v>Critical</x:v>
      </x:c>
      <x:c r="H22" s="30" t="str">
        <x:v>Universal</x:v>
      </x:c>
      <x:c r="I22" s="30" t="str">
        <x:v>Verify no keystrokes reach read-only or blocked destinations.</x:v>
      </x:c>
      <x:c r="J22" s="16" t="str">
        <x:v>Not Assessed</x:v>
      </x:c>
      <x:c r="K22" s="41" t="n">
        <x:f>IF(J22="Implemented",1,IF(J22="Partially Implemented",0.5,IF(J22="Planned",0.25,IF(J22="Not Applicable",1,0))))</x:f>
        <x:v>0</x:v>
      </x:c>
      <x:c r="L22" s="30" t="str"/>
      <x:c r="M22" s="30" t="str"/>
      <x:c r="N22" s="49"/>
      <x:c r="O22" s="30" t="str">
        <x:v>Not Assessed</x:v>
      </x:c>
      <x:c r="P22" s="30" t="n">
        <x:f>IF(G22="Critical",5,IF(G22="High",4,IF(G22="Medium",3,2)))</x:f>
        <x:v>5</x:v>
      </x:c>
      <x:c r="Q22" s="45" t="n">
        <x:f>P22*K22</x:f>
        <x:v>0</x:v>
      </x:c>
      <x:c r="R22" s="45" t="n">
        <x:f>P22-Q22</x:f>
        <x:v>5</x:v>
      </x:c>
      <x:c r="S22" s="30" t="str"/>
      <x:c r="T22" s="49"/>
      <x:c r="U22" s="30" t="str">
        <x:v>SRC-26</x:v>
      </x:c>
      <x:c r="V22" s="30" t="str">
        <x:v>https://developers.cloudflare.com/cloudflare-one/remote-browser-isolation/isolation-policies/</x:v>
      </x:c>
      <x:c r="W22" s="31" t="str"/>
    </x:row>
    <x:row r="23">
      <x:c r="A23" s="15" t="str">
        <x:v>RBI-022</x:v>
      </x:c>
      <x:c r="B23" s="16" t="str">
        <x:v>Interaction Controls</x:v>
      </x:c>
      <x:c r="C23" s="16" t="str">
        <x:v>Clipboard Copy</x:v>
      </x:c>
      <x:c r="D23" s="30" t="str">
        <x:v>Control remote-to-local clipboard operations independently from local-to-remote paste.</x:v>
      </x:c>
      <x:c r="E23" s="30" t="str">
        <x:v>Data exfiltration; sensitive data leakage</x:v>
      </x:c>
      <x:c r="F23" s="16" t="str">
        <x:v>Mandatory</x:v>
      </x:c>
      <x:c r="G23" s="16" t="str">
        <x:v>High</x:v>
      </x:c>
      <x:c r="H23" s="30" t="str">
        <x:v>Universal</x:v>
      </x:c>
      <x:c r="I23" s="30" t="str">
        <x:v>Test text, rich text, images, large data and encoded content.</x:v>
      </x:c>
      <x:c r="J23" s="16" t="str">
        <x:v>Not Assessed</x:v>
      </x:c>
      <x:c r="K23" s="41" t="n">
        <x:f>IF(J23="Implemented",1,IF(J23="Partially Implemented",0.5,IF(J23="Planned",0.25,IF(J23="Not Applicable",1,0))))</x:f>
        <x:v>0</x:v>
      </x:c>
      <x:c r="L23" s="30" t="str"/>
      <x:c r="M23" s="30" t="str"/>
      <x:c r="N23" s="49"/>
      <x:c r="O23" s="30" t="str">
        <x:v>Not Assessed</x:v>
      </x:c>
      <x:c r="P23" s="30" t="n">
        <x:f>IF(G23="Critical",5,IF(G23="High",4,IF(G23="Medium",3,2)))</x:f>
        <x:v>4</x:v>
      </x:c>
      <x:c r="Q23" s="45" t="n">
        <x:f>P23*K23</x:f>
        <x:v>0</x:v>
      </x:c>
      <x:c r="R23" s="45" t="n">
        <x:f>P23-Q23</x:f>
        <x:v>4</x:v>
      </x:c>
      <x:c r="S23" s="30" t="str"/>
      <x:c r="T23" s="49"/>
      <x:c r="U23" s="30" t="str">
        <x:v>SRC-26</x:v>
      </x:c>
      <x:c r="V23" s="30" t="str">
        <x:v>https://developers.cloudflare.com/cloudflare-one/remote-browser-isolation/isolation-policies/</x:v>
      </x:c>
      <x:c r="W23" s="31" t="str"/>
    </x:row>
    <x:row r="24">
      <x:c r="A24" s="15" t="str">
        <x:v>RBI-023</x:v>
      </x:c>
      <x:c r="B24" s="16" t="str">
        <x:v>Interaction Controls</x:v>
      </x:c>
      <x:c r="C24" s="16" t="str">
        <x:v>Clipboard Paste</x:v>
      </x:c>
      <x:c r="D24" s="30" t="str">
        <x:v>Control local-to-remote paste and block secrets, commands and sensitive data from untrusted sites.</x:v>
      </x:c>
      <x:c r="E24" s="30" t="str">
        <x:v>Credential disclosure; ClickFix; data leakage</x:v>
      </x:c>
      <x:c r="F24" s="16" t="str">
        <x:v>Mandatory</x:v>
      </x:c>
      <x:c r="G24" s="16" t="str">
        <x:v>Critical</x:v>
      </x:c>
      <x:c r="H24" s="30" t="str">
        <x:v>Universal</x:v>
      </x:c>
      <x:c r="I24" s="30" t="str">
        <x:v>Test passwords, API keys, PowerShell, Bash and encoded payloads.</x:v>
      </x:c>
      <x:c r="J24" s="16" t="str">
        <x:v>Not Assessed</x:v>
      </x:c>
      <x:c r="K24" s="41" t="n">
        <x:f>IF(J24="Implemented",1,IF(J24="Partially Implemented",0.5,IF(J24="Planned",0.25,IF(J24="Not Applicable",1,0))))</x:f>
        <x:v>0</x:v>
      </x:c>
      <x:c r="L24" s="30" t="str"/>
      <x:c r="M24" s="30" t="str"/>
      <x:c r="N24" s="49"/>
      <x:c r="O24" s="30" t="str">
        <x:v>Not Assessed</x:v>
      </x:c>
      <x:c r="P24" s="30" t="n">
        <x:f>IF(G24="Critical",5,IF(G24="High",4,IF(G24="Medium",3,2)))</x:f>
        <x:v>5</x:v>
      </x:c>
      <x:c r="Q24" s="45" t="n">
        <x:f>P24*K24</x:f>
        <x:v>0</x:v>
      </x:c>
      <x:c r="R24" s="45" t="n">
        <x:f>P24-Q24</x:f>
        <x:v>5</x:v>
      </x:c>
      <x:c r="S24" s="30" t="str"/>
      <x:c r="T24" s="49"/>
      <x:c r="U24" s="30" t="str">
        <x:v>SRC-07</x:v>
      </x:c>
      <x:c r="V24" s="30" t="str">
        <x:v>https://attack.mitre.org/techniques/T1204/004/</x:v>
      </x:c>
      <x:c r="W24" s="31" t="str"/>
    </x:row>
    <x:row r="25">
      <x:c r="A25" s="15" t="str">
        <x:v>RBI-024</x:v>
      </x:c>
      <x:c r="B25" s="16" t="str">
        <x:v>Interaction Controls</x:v>
      </x:c>
      <x:c r="C25" s="16" t="str">
        <x:v>Printing</x:v>
      </x:c>
      <x:c r="D25" s="30" t="str">
        <x:v>Disable or conditionally authorize printing from isolated sessions.</x:v>
      </x:c>
      <x:c r="E25" s="30" t="str">
        <x:v>Data leakage; uncontrolled copies</x:v>
      </x:c>
      <x:c r="F25" s="16" t="str">
        <x:v>Mandatory</x:v>
      </x:c>
      <x:c r="G25" s="16" t="str">
        <x:v>High</x:v>
      </x:c>
      <x:c r="H25" s="30" t="str">
        <x:v>Sensitive Applications</x:v>
      </x:c>
      <x:c r="I25" s="30" t="str">
        <x:v>Test physical and virtual PDF printers.</x:v>
      </x:c>
      <x:c r="J25" s="16" t="str">
        <x:v>Not Assessed</x:v>
      </x:c>
      <x:c r="K25" s="41" t="n">
        <x:f>IF(J25="Implemented",1,IF(J25="Partially Implemented",0.5,IF(J25="Planned",0.25,IF(J25="Not Applicable",1,0))))</x:f>
        <x:v>0</x:v>
      </x:c>
      <x:c r="L25" s="30" t="str"/>
      <x:c r="M25" s="30" t="str"/>
      <x:c r="N25" s="49"/>
      <x:c r="O25" s="30" t="str">
        <x:v>Not Assessed</x:v>
      </x:c>
      <x:c r="P25" s="30" t="n">
        <x:f>IF(G25="Critical",5,IF(G25="High",4,IF(G25="Medium",3,2)))</x:f>
        <x:v>4</x:v>
      </x:c>
      <x:c r="Q25" s="45" t="n">
        <x:f>P25*K25</x:f>
        <x:v>0</x:v>
      </x:c>
      <x:c r="R25" s="45" t="n">
        <x:f>P25-Q25</x:f>
        <x:v>4</x:v>
      </x:c>
      <x:c r="S25" s="30" t="str"/>
      <x:c r="T25" s="49"/>
      <x:c r="U25" s="30" t="str">
        <x:v>SRC-26</x:v>
      </x:c>
      <x:c r="V25" s="30" t="str">
        <x:v>https://developers.cloudflare.com/cloudflare-one/remote-browser-isolation/isolation-policies/</x:v>
      </x:c>
      <x:c r="W25" s="31" t="str"/>
    </x:row>
    <x:row r="26">
      <x:c r="A26" s="15" t="str">
        <x:v>RBI-025</x:v>
      </x:c>
      <x:c r="B26" s="16" t="str">
        <x:v>Interaction Controls</x:v>
      </x:c>
      <x:c r="C26" s="16" t="str">
        <x:v>Screen Capture</x:v>
      </x:c>
      <x:c r="D26" s="30" t="str">
        <x:v>Apply visible and forensic watermarking to sensitive isolated applications and define endpoint screen-capture controls.</x:v>
      </x:c>
      <x:c r="E26" s="30" t="str">
        <x:v>Data leakage; insider activity</x:v>
      </x:c>
      <x:c r="F26" s="16" t="str">
        <x:v>Recommended</x:v>
      </x:c>
      <x:c r="G26" s="16" t="str">
        <x:v>Medium</x:v>
      </x:c>
      <x:c r="H26" s="30" t="str">
        <x:v>Sensitive Applications</x:v>
      </x:c>
      <x:c r="I26" s="30" t="str">
        <x:v>Test OS capture, browser capture and remote collaboration tools.</x:v>
      </x:c>
      <x:c r="J26" s="16" t="str">
        <x:v>Not Assessed</x:v>
      </x:c>
      <x:c r="K26" s="41" t="n">
        <x:f>IF(J26="Implemented",1,IF(J26="Partially Implemented",0.5,IF(J26="Planned",0.25,IF(J26="Not Applicable",1,0))))</x:f>
        <x:v>0</x:v>
      </x:c>
      <x:c r="L26" s="30" t="str"/>
      <x:c r="M26" s="30" t="str"/>
      <x:c r="N26" s="49"/>
      <x:c r="O26" s="30" t="str">
        <x:v>Not Assessed</x:v>
      </x:c>
      <x:c r="P26" s="30" t="n">
        <x:f>IF(G26="Critical",5,IF(G26="High",4,IF(G26="Medium",3,2)))</x:f>
        <x:v>3</x:v>
      </x:c>
      <x:c r="Q26" s="45" t="n">
        <x:f>P26*K26</x:f>
        <x:v>0</x:v>
      </x:c>
      <x:c r="R26" s="45" t="n">
        <x:f>P26-Q26</x:f>
        <x:v>3</x:v>
      </x:c>
      <x:c r="S26" s="30" t="str"/>
      <x:c r="T26" s="49"/>
      <x:c r="U26" s="30" t="str">
        <x:v>SRC-01</x:v>
      </x:c>
      <x:c r="V26" s="30" t="str">
        <x:v>https://www.nccoe.nist.gov/publication/1800-28/VolB/index.html</x:v>
      </x:c>
      <x:c r="W26" s="31" t="str"/>
    </x:row>
    <x:row r="27">
      <x:c r="A27" s="15" t="str">
        <x:v>RBI-026</x:v>
      </x:c>
      <x:c r="B27" s="16" t="str">
        <x:v>Interaction Controls</x:v>
      </x:c>
      <x:c r="C27" s="16" t="str">
        <x:v>External Protocols</x:v>
      </x:c>
      <x:c r="D27" s="30" t="str">
        <x:v>Block isolated pages from launching local protocol handlers, native applications or custom URI schemes without explicit authorization.</x:v>
      </x:c>
      <x:c r="E27" s="30" t="str">
        <x:v>Local code execution; credential theft</x:v>
      </x:c>
      <x:c r="F27" s="16" t="str">
        <x:v>Mandatory</x:v>
      </x:c>
      <x:c r="G27" s="16" t="str">
        <x:v>Critical</x:v>
      </x:c>
      <x:c r="H27" s="30" t="str">
        <x:v>Universal</x:v>
      </x:c>
      <x:c r="I27" s="30" t="str">
        <x:v>Test mailto, file, shell, RDP, SSH and custom protocol links.</x:v>
      </x:c>
      <x:c r="J27" s="16" t="str">
        <x:v>Not Assessed</x:v>
      </x:c>
      <x:c r="K27" s="41" t="n">
        <x:f>IF(J27="Implemented",1,IF(J27="Partially Implemented",0.5,IF(J27="Planned",0.25,IF(J27="Not Applicable",1,0))))</x:f>
        <x:v>0</x:v>
      </x:c>
      <x:c r="L27" s="30" t="str"/>
      <x:c r="M27" s="30" t="str"/>
      <x:c r="N27" s="49"/>
      <x:c r="O27" s="30" t="str">
        <x:v>Not Assessed</x:v>
      </x:c>
      <x:c r="P27" s="30" t="n">
        <x:f>IF(G27="Critical",5,IF(G27="High",4,IF(G27="Medium",3,2)))</x:f>
        <x:v>5</x:v>
      </x:c>
      <x:c r="Q27" s="45" t="n">
        <x:f>P27*K27</x:f>
        <x:v>0</x:v>
      </x:c>
      <x:c r="R27" s="45" t="n">
        <x:f>P27-Q27</x:f>
        <x:v>5</x:v>
      </x:c>
      <x:c r="S27" s="30" t="str"/>
      <x:c r="T27" s="49"/>
      <x:c r="U27" s="30" t="str">
        <x:v>SRC-03</x:v>
      </x:c>
      <x:c r="V27" s="30" t="str">
        <x:v>https://attack.mitre.org/mitigations/M1048/</x:v>
      </x:c>
      <x:c r="W27" s="31" t="str"/>
    </x:row>
    <x:row r="28">
      <x:c r="A28" s="15" t="str">
        <x:v>RBI-027</x:v>
      </x:c>
      <x:c r="B28" s="16" t="str">
        <x:v>Interaction Controls</x:v>
      </x:c>
      <x:c r="C28" s="16" t="str">
        <x:v>Camera and Microphone</x:v>
      </x:c>
      <x:c r="D28" s="30" t="str">
        <x:v>Disable camera and microphone redirection by default and permit only approved applications.</x:v>
      </x:c>
      <x:c r="E28" s="30" t="str">
        <x:v>Eavesdropping; privacy loss</x:v>
      </x:c>
      <x:c r="F28" s="16" t="str">
        <x:v>Mandatory</x:v>
      </x:c>
      <x:c r="G28" s="16" t="str">
        <x:v>High</x:v>
      </x:c>
      <x:c r="H28" s="30" t="str">
        <x:v>Universal</x:v>
      </x:c>
      <x:c r="I28" s="30" t="str">
        <x:v>Test permission prompts and direct device redirection.</x:v>
      </x:c>
      <x:c r="J28" s="16" t="str">
        <x:v>Not Assessed</x:v>
      </x:c>
      <x:c r="K28" s="41" t="n">
        <x:f>IF(J28="Implemented",1,IF(J28="Partially Implemented",0.5,IF(J28="Planned",0.25,IF(J28="Not Applicable",1,0))))</x:f>
        <x:v>0</x:v>
      </x:c>
      <x:c r="L28" s="30" t="str"/>
      <x:c r="M28" s="30" t="str"/>
      <x:c r="N28" s="49"/>
      <x:c r="O28" s="30" t="str">
        <x:v>Not Assessed</x:v>
      </x:c>
      <x:c r="P28" s="30" t="n">
        <x:f>IF(G28="Critical",5,IF(G28="High",4,IF(G28="Medium",3,2)))</x:f>
        <x:v>4</x:v>
      </x:c>
      <x:c r="Q28" s="45" t="n">
        <x:f>P28*K28</x:f>
        <x:v>0</x:v>
      </x:c>
      <x:c r="R28" s="45" t="n">
        <x:f>P28-Q28</x:f>
        <x:v>4</x:v>
      </x:c>
      <x:c r="S28" s="30" t="str"/>
      <x:c r="T28" s="49"/>
      <x:c r="U28" s="30" t="str">
        <x:v>SRC-27</x:v>
      </x:c>
      <x:c r="V28" s="30" t="str">
        <x:v>https://developers.cloudflare.com/cloudflare-one/remote-browser-isolation/known-limitations/</x:v>
      </x:c>
      <x:c r="W28" s="31" t="str"/>
    </x:row>
    <x:row r="29">
      <x:c r="A29" s="15" t="str">
        <x:v>RBI-028</x:v>
      </x:c>
      <x:c r="B29" s="16" t="str">
        <x:v>Interaction Controls</x:v>
      </x:c>
      <x:c r="C29" s="16" t="str">
        <x:v>Screen Sharing</x:v>
      </x:c>
      <x:c r="D29" s="30" t="str">
        <x:v>Disable screen sharing from untrusted websites and require explicit approval for sanctioned applications.</x:v>
      </x:c>
      <x:c r="E29" s="30" t="str">
        <x:v>Data leakage; social engineering</x:v>
      </x:c>
      <x:c r="F29" s="16" t="str">
        <x:v>Mandatory</x:v>
      </x:c>
      <x:c r="G29" s="16" t="str">
        <x:v>High</x:v>
      </x:c>
      <x:c r="H29" s="30" t="str">
        <x:v>Universal</x:v>
      </x:c>
      <x:c r="I29" s="30" t="str">
        <x:v>Test display-capture APIs and conferencing applications.</x:v>
      </x:c>
      <x:c r="J29" s="16" t="str">
        <x:v>Not Assessed</x:v>
      </x:c>
      <x:c r="K29" s="41" t="n">
        <x:f>IF(J29="Implemented",1,IF(J29="Partially Implemented",0.5,IF(J29="Planned",0.25,IF(J29="Not Applicable",1,0))))</x:f>
        <x:v>0</x:v>
      </x:c>
      <x:c r="L29" s="30" t="str"/>
      <x:c r="M29" s="30" t="str"/>
      <x:c r="N29" s="49"/>
      <x:c r="O29" s="30" t="str">
        <x:v>Not Assessed</x:v>
      </x:c>
      <x:c r="P29" s="30" t="n">
        <x:f>IF(G29="Critical",5,IF(G29="High",4,IF(G29="Medium",3,2)))</x:f>
        <x:v>4</x:v>
      </x:c>
      <x:c r="Q29" s="45" t="n">
        <x:f>P29*K29</x:f>
        <x:v>0</x:v>
      </x:c>
      <x:c r="R29" s="45" t="n">
        <x:f>P29-Q29</x:f>
        <x:v>4</x:v>
      </x:c>
      <x:c r="S29" s="30" t="str"/>
      <x:c r="T29" s="49"/>
      <x:c r="U29" s="30" t="str">
        <x:v>SRC-27</x:v>
      </x:c>
      <x:c r="V29" s="30" t="str">
        <x:v>https://developers.cloudflare.com/cloudflare-one/remote-browser-isolation/known-limitations/</x:v>
      </x:c>
      <x:c r="W29" s="31" t="str"/>
    </x:row>
    <x:row r="30">
      <x:c r="A30" s="15" t="str">
        <x:v>RBI-029</x:v>
      </x:c>
      <x:c r="B30" s="16" t="str">
        <x:v>Files &amp; Content</x:v>
      </x:c>
      <x:c r="C30" s="16" t="str">
        <x:v>Download Policy</x:v>
      </x:c>
      <x:c r="D30" s="30" t="str">
        <x:v>Block downloads by default from unknown or high-risk sites and support remote viewing as the preferred action.</x:v>
      </x:c>
      <x:c r="E30" s="30" t="str">
        <x:v>Malware delivery; HTML smuggling</x:v>
      </x:c>
      <x:c r="F30" s="16" t="str">
        <x:v>Mandatory</x:v>
      </x:c>
      <x:c r="G30" s="16" t="str">
        <x:v>Critical</x:v>
      </x:c>
      <x:c r="H30" s="30" t="str">
        <x:v>Internet Browsing</x:v>
      </x:c>
      <x:c r="I30" s="30" t="str">
        <x:v>Test direct, redirected, Blob, data URL and script-generated downloads.</x:v>
      </x:c>
      <x:c r="J30" s="16" t="str">
        <x:v>Not Assessed</x:v>
      </x:c>
      <x:c r="K30" s="41" t="n">
        <x:f>IF(J30="Implemented",1,IF(J30="Partially Implemented",0.5,IF(J30="Planned",0.25,IF(J30="Not Applicable",1,0))))</x:f>
        <x:v>0</x:v>
      </x:c>
      <x:c r="L30" s="30" t="str"/>
      <x:c r="M30" s="30" t="str"/>
      <x:c r="N30" s="49"/>
      <x:c r="O30" s="30" t="str">
        <x:v>Not Assessed</x:v>
      </x:c>
      <x:c r="P30" s="30" t="n">
        <x:f>IF(G30="Critical",5,IF(G30="High",4,IF(G30="Medium",3,2)))</x:f>
        <x:v>5</x:v>
      </x:c>
      <x:c r="Q30" s="45" t="n">
        <x:f>P30*K30</x:f>
        <x:v>0</x:v>
      </x:c>
      <x:c r="R30" s="45" t="n">
        <x:f>P30-Q30</x:f>
        <x:v>5</x:v>
      </x:c>
      <x:c r="S30" s="30" t="str"/>
      <x:c r="T30" s="49"/>
      <x:c r="U30" s="30" t="str">
        <x:v>SRC-06</x:v>
      </x:c>
      <x:c r="V30" s="30" t="str">
        <x:v>https://attack.mitre.org/techniques/T1027/006/</x:v>
      </x:c>
      <x:c r="W30" s="31" t="str"/>
    </x:row>
    <x:row r="31">
      <x:c r="A31" s="15" t="str">
        <x:v>RBI-030</x:v>
      </x:c>
      <x:c r="B31" s="16" t="str">
        <x:v>Files &amp; Content</x:v>
      </x:c>
      <x:c r="C31" s="16" t="str">
        <x:v>Upload Policy</x:v>
      </x:c>
      <x:c r="D31" s="30" t="str">
        <x:v>Control uploads by destination, user, file type, size, classification and data-loss policy.</x:v>
      </x:c>
      <x:c r="E31" s="30" t="str">
        <x:v>Data exfiltration; unauthorized cloud upload</x:v>
      </x:c>
      <x:c r="F31" s="16" t="str">
        <x:v>Mandatory</x:v>
      </x:c>
      <x:c r="G31" s="16" t="str">
        <x:v>Critical</x:v>
      </x:c>
      <x:c r="H31" s="30" t="str">
        <x:v>Universal</x:v>
      </x:c>
      <x:c r="I31" s="30" t="str">
        <x:v>Test forms, drag-and-drop, clipboard files, multipart and API uploads.</x:v>
      </x:c>
      <x:c r="J31" s="16" t="str">
        <x:v>Not Assessed</x:v>
      </x:c>
      <x:c r="K31" s="41" t="n">
        <x:f>IF(J31="Implemented",1,IF(J31="Partially Implemented",0.5,IF(J31="Planned",0.25,IF(J31="Not Applicable",1,0))))</x:f>
        <x:v>0</x:v>
      </x:c>
      <x:c r="L31" s="30" t="str"/>
      <x:c r="M31" s="30" t="str"/>
      <x:c r="N31" s="49"/>
      <x:c r="O31" s="30" t="str">
        <x:v>Not Assessed</x:v>
      </x:c>
      <x:c r="P31" s="30" t="n">
        <x:f>IF(G31="Critical",5,IF(G31="High",4,IF(G31="Medium",3,2)))</x:f>
        <x:v>5</x:v>
      </x:c>
      <x:c r="Q31" s="45" t="n">
        <x:f>P31*K31</x:f>
        <x:v>0</x:v>
      </x:c>
      <x:c r="R31" s="45" t="n">
        <x:f>P31-Q31</x:f>
        <x:v>5</x:v>
      </x:c>
      <x:c r="S31" s="30" t="str"/>
      <x:c r="T31" s="49"/>
      <x:c r="U31" s="30" t="str">
        <x:v>SRC-26</x:v>
      </x:c>
      <x:c r="V31" s="30" t="str">
        <x:v>https://developers.cloudflare.com/cloudflare-one/remote-browser-isolation/isolation-policies/</x:v>
      </x:c>
      <x:c r="W31" s="31" t="str"/>
    </x:row>
    <x:row r="32">
      <x:c r="A32" s="15" t="str">
        <x:v>RBI-031</x:v>
      </x:c>
      <x:c r="B32" s="16" t="str">
        <x:v>Files &amp; Content</x:v>
      </x:c>
      <x:c r="C32" s="16" t="str">
        <x:v>Remote Viewing</x:v>
      </x:c>
      <x:c r="D32" s="30" t="str">
        <x:v>Render supported documents in the remote environment without transferring the original file to the endpoint.</x:v>
      </x:c>
      <x:c r="E32" s="30" t="str">
        <x:v>Malicious documents; exploit delivery</x:v>
      </x:c>
      <x:c r="F32" s="16" t="str">
        <x:v>Mandatory</x:v>
      </x:c>
      <x:c r="G32" s="16" t="str">
        <x:v>High</x:v>
      </x:c>
      <x:c r="H32" s="30" t="str">
        <x:v>Internet Browsing</x:v>
      </x:c>
      <x:c r="I32" s="30" t="str">
        <x:v>Test office documents, PDF, archives and unsupported types.</x:v>
      </x:c>
      <x:c r="J32" s="16" t="str">
        <x:v>Not Assessed</x:v>
      </x:c>
      <x:c r="K32" s="41" t="n">
        <x:f>IF(J32="Implemented",1,IF(J32="Partially Implemented",0.5,IF(J32="Planned",0.25,IF(J32="Not Applicable",1,0))))</x:f>
        <x:v>0</x:v>
      </x:c>
      <x:c r="L32" s="30" t="str"/>
      <x:c r="M32" s="30" t="str"/>
      <x:c r="N32" s="49"/>
      <x:c r="O32" s="30" t="str">
        <x:v>Not Assessed</x:v>
      </x:c>
      <x:c r="P32" s="30" t="n">
        <x:f>IF(G32="Critical",5,IF(G32="High",4,IF(G32="Medium",3,2)))</x:f>
        <x:v>4</x:v>
      </x:c>
      <x:c r="Q32" s="45" t="n">
        <x:f>P32*K32</x:f>
        <x:v>0</x:v>
      </x:c>
      <x:c r="R32" s="45" t="n">
        <x:f>P32-Q32</x:f>
        <x:v>4</x:v>
      </x:c>
      <x:c r="S32" s="30" t="str"/>
      <x:c r="T32" s="49"/>
      <x:c r="U32" s="30" t="str">
        <x:v>SRC-01</x:v>
      </x:c>
      <x:c r="V32" s="30" t="str">
        <x:v>https://www.nccoe.nist.gov/publication/1800-28/VolB/index.html</x:v>
      </x:c>
      <x:c r="W32" s="31" t="str"/>
    </x:row>
    <x:row r="33">
      <x:c r="A33" s="15" t="str">
        <x:v>RBI-032</x:v>
      </x:c>
      <x:c r="B33" s="16" t="str">
        <x:v>Files &amp; Content</x:v>
      </x:c>
      <x:c r="C33" s="16" t="str">
        <x:v>CDR and Sandbox</x:v>
      </x:c>
      <x:c r="D33" s="30" t="str">
        <x:v>Scan, sandbox and apply Content Disarm and Reconstruction before releasing files to endpoints.</x:v>
      </x:c>
      <x:c r="E33" s="30" t="str">
        <x:v>Malware; embedded active content</x:v>
      </x:c>
      <x:c r="F33" s="16" t="str">
        <x:v>Mandatory</x:v>
      </x:c>
      <x:c r="G33" s="16" t="str">
        <x:v>High</x:v>
      </x:c>
      <x:c r="H33" s="30" t="str">
        <x:v>Downloaded Files</x:v>
      </x:c>
      <x:c r="I33" s="30" t="str">
        <x:v>Submit known benign, malicious and evasive samples and validate disposition.</x:v>
      </x:c>
      <x:c r="J33" s="16" t="str">
        <x:v>Not Assessed</x:v>
      </x:c>
      <x:c r="K33" s="41" t="n">
        <x:f>IF(J33="Implemented",1,IF(J33="Partially Implemented",0.5,IF(J33="Planned",0.25,IF(J33="Not Applicable",1,0))))</x:f>
        <x:v>0</x:v>
      </x:c>
      <x:c r="L33" s="30" t="str"/>
      <x:c r="M33" s="30" t="str"/>
      <x:c r="N33" s="49"/>
      <x:c r="O33" s="30" t="str">
        <x:v>Not Assessed</x:v>
      </x:c>
      <x:c r="P33" s="30" t="n">
        <x:f>IF(G33="Critical",5,IF(G33="High",4,IF(G33="Medium",3,2)))</x:f>
        <x:v>4</x:v>
      </x:c>
      <x:c r="Q33" s="45" t="n">
        <x:f>P33*K33</x:f>
        <x:v>0</x:v>
      </x:c>
      <x:c r="R33" s="45" t="n">
        <x:f>P33-Q33</x:f>
        <x:v>4</x:v>
      </x:c>
      <x:c r="S33" s="30" t="str"/>
      <x:c r="T33" s="49"/>
      <x:c r="U33" s="30" t="str">
        <x:v>SRC-01</x:v>
      </x:c>
      <x:c r="V33" s="30" t="str">
        <x:v>https://www.nccoe.nist.gov/publication/1800-28/VolB/index.html</x:v>
      </x:c>
      <x:c r="W33" s="31" t="str"/>
    </x:row>
    <x:row r="34">
      <x:c r="A34" s="15" t="str">
        <x:v>RBI-033</x:v>
      </x:c>
      <x:c r="B34" s="16" t="str">
        <x:v>Files &amp; Content</x:v>
      </x:c>
      <x:c r="C34" s="16" t="str">
        <x:v>Type Validation</x:v>
      </x:c>
      <x:c r="D34" s="30" t="str">
        <x:v>Validate extension, MIME type, magic bytes, archive structure and embedded content before file release.</x:v>
      </x:c>
      <x:c r="E34" s="30" t="str">
        <x:v>File-type spoofing; polyglot files</x:v>
      </x:c>
      <x:c r="F34" s="16" t="str">
        <x:v>Mandatory</x:v>
      </x:c>
      <x:c r="G34" s="16" t="str">
        <x:v>High</x:v>
      </x:c>
      <x:c r="H34" s="30" t="str">
        <x:v>Downloaded Files</x:v>
      </x:c>
      <x:c r="I34" s="30" t="str">
        <x:v>Test mismatched and polyglot file samples.</x:v>
      </x:c>
      <x:c r="J34" s="16" t="str">
        <x:v>Not Assessed</x:v>
      </x:c>
      <x:c r="K34" s="41" t="n">
        <x:f>IF(J34="Implemented",1,IF(J34="Partially Implemented",0.5,IF(J34="Planned",0.25,IF(J34="Not Applicable",1,0))))</x:f>
        <x:v>0</x:v>
      </x:c>
      <x:c r="L34" s="30" t="str"/>
      <x:c r="M34" s="30" t="str"/>
      <x:c r="N34" s="49"/>
      <x:c r="O34" s="30" t="str">
        <x:v>Not Assessed</x:v>
      </x:c>
      <x:c r="P34" s="30" t="n">
        <x:f>IF(G34="Critical",5,IF(G34="High",4,IF(G34="Medium",3,2)))</x:f>
        <x:v>4</x:v>
      </x:c>
      <x:c r="Q34" s="45" t="n">
        <x:f>P34*K34</x:f>
        <x:v>0</x:v>
      </x:c>
      <x:c r="R34" s="45" t="n">
        <x:f>P34-Q34</x:f>
        <x:v>4</x:v>
      </x:c>
      <x:c r="S34" s="30" t="str"/>
      <x:c r="T34" s="49"/>
      <x:c r="U34" s="30" t="str">
        <x:v>SRC-01</x:v>
      </x:c>
      <x:c r="V34" s="30" t="str">
        <x:v>https://www.nccoe.nist.gov/publication/1800-28/VolB/index.html</x:v>
      </x:c>
      <x:c r="W34" s="31" t="str"/>
    </x:row>
    <x:row r="35">
      <x:c r="A35" s="15" t="str">
        <x:v>RBI-034</x:v>
      </x:c>
      <x:c r="B35" s="16" t="str">
        <x:v>Files &amp; Content</x:v>
      </x:c>
      <x:c r="C35" s="16" t="str">
        <x:v>High-Risk Types</x:v>
      </x:c>
      <x:c r="D35" s="30" t="str">
        <x:v>Block or require escalation for executables, scripts, shortcuts, disk images, browser extensions and password-protected archives.</x:v>
      </x:c>
      <x:c r="E35" s="30" t="str">
        <x:v>Malware delivery; extension installation</x:v>
      </x:c>
      <x:c r="F35" s="16" t="str">
        <x:v>Mandatory</x:v>
      </x:c>
      <x:c r="G35" s="16" t="str">
        <x:v>Critical</x:v>
      </x:c>
      <x:c r="H35" s="30" t="str">
        <x:v>Universal</x:v>
      </x:c>
      <x:c r="I35" s="30" t="str">
        <x:v>Test each prohibited file class and nested archives.</x:v>
      </x:c>
      <x:c r="J35" s="16" t="str">
        <x:v>Not Assessed</x:v>
      </x:c>
      <x:c r="K35" s="41" t="n">
        <x:f>IF(J35="Implemented",1,IF(J35="Partially Implemented",0.5,IF(J35="Planned",0.25,IF(J35="Not Applicable",1,0))))</x:f>
        <x:v>0</x:v>
      </x:c>
      <x:c r="L35" s="30" t="str"/>
      <x:c r="M35" s="30" t="str"/>
      <x:c r="N35" s="49"/>
      <x:c r="O35" s="30" t="str">
        <x:v>Not Assessed</x:v>
      </x:c>
      <x:c r="P35" s="30" t="n">
        <x:f>IF(G35="Critical",5,IF(G35="High",4,IF(G35="Medium",3,2)))</x:f>
        <x:v>5</x:v>
      </x:c>
      <x:c r="Q35" s="45" t="n">
        <x:f>P35*K35</x:f>
        <x:v>0</x:v>
      </x:c>
      <x:c r="R35" s="45" t="n">
        <x:f>P35-Q35</x:f>
        <x:v>5</x:v>
      </x:c>
      <x:c r="S35" s="30" t="str"/>
      <x:c r="T35" s="49"/>
      <x:c r="U35" s="30" t="str">
        <x:v>SRC-08</x:v>
      </x:c>
      <x:c r="V35" s="30" t="str">
        <x:v>https://attack.mitre.org/techniques/T1176/001/</x:v>
      </x:c>
      <x:c r="W35" s="31" t="str"/>
    </x:row>
    <x:row r="36">
      <x:c r="A36" s="15" t="str">
        <x:v>RBI-035</x:v>
      </x:c>
      <x:c r="B36" s="16" t="str">
        <x:v>Files &amp; Content</x:v>
      </x:c>
      <x:c r="C36" s="16" t="str">
        <x:v>Size Limits</x:v>
      </x:c>
      <x:c r="D36" s="30" t="str">
        <x:v>Enforce configurable upload, download, archive-expansion and decompression limits.</x:v>
      </x:c>
      <x:c r="E36" s="30" t="str">
        <x:v>Resource exhaustion; decompression bombs; covert transfer</x:v>
      </x:c>
      <x:c r="F36" s="16" t="str">
        <x:v>Mandatory</x:v>
      </x:c>
      <x:c r="G36" s="16" t="str">
        <x:v>High</x:v>
      </x:c>
      <x:c r="H36" s="30" t="str">
        <x:v>Universal</x:v>
      </x:c>
      <x:c r="I36" s="30" t="str">
        <x:v>Test boundary sizes, nested archives and highly compressed content.</x:v>
      </x:c>
      <x:c r="J36" s="16" t="str">
        <x:v>Not Assessed</x:v>
      </x:c>
      <x:c r="K36" s="41" t="n">
        <x:f>IF(J36="Implemented",1,IF(J36="Partially Implemented",0.5,IF(J36="Planned",0.25,IF(J36="Not Applicable",1,0))))</x:f>
        <x:v>0</x:v>
      </x:c>
      <x:c r="L36" s="30" t="str"/>
      <x:c r="M36" s="30" t="str"/>
      <x:c r="N36" s="49"/>
      <x:c r="O36" s="30" t="str">
        <x:v>Not Assessed</x:v>
      </x:c>
      <x:c r="P36" s="30" t="n">
        <x:f>IF(G36="Critical",5,IF(G36="High",4,IF(G36="Medium",3,2)))</x:f>
        <x:v>4</x:v>
      </x:c>
      <x:c r="Q36" s="45" t="n">
        <x:f>P36*K36</x:f>
        <x:v>0</x:v>
      </x:c>
      <x:c r="R36" s="45" t="n">
        <x:f>P36-Q36</x:f>
        <x:v>4</x:v>
      </x:c>
      <x:c r="S36" s="30" t="str"/>
      <x:c r="T36" s="49"/>
      <x:c r="U36" s="30" t="str">
        <x:v>SRC-01</x:v>
      </x:c>
      <x:c r="V36" s="30" t="str">
        <x:v>https://www.nccoe.nist.gov/publication/1800-28/VolB/index.html</x:v>
      </x:c>
      <x:c r="W36" s="31" t="str"/>
    </x:row>
    <x:row r="37">
      <x:c r="A37" s="15" t="str">
        <x:v>RBI-036</x:v>
      </x:c>
      <x:c r="B37" s="16" t="str">
        <x:v>Files &amp; Content</x:v>
      </x:c>
      <x:c r="C37" s="16" t="str">
        <x:v>Generated Files</x:v>
      </x:c>
      <x:c r="D37" s="30" t="str">
        <x:v>Apply identical controls to files generated inside the browser through Blob, Canvas, SVG, WebAssembly or client-side JavaScript.</x:v>
      </x:c>
      <x:c r="E37" s="30" t="str">
        <x:v>HTML smuggling; data exfiltration</x:v>
      </x:c>
      <x:c r="F37" s="16" t="str">
        <x:v>Mandatory</x:v>
      </x:c>
      <x:c r="G37" s="16" t="str">
        <x:v>Critical</x:v>
      </x:c>
      <x:c r="H37" s="30" t="str">
        <x:v>Universal</x:v>
      </x:c>
      <x:c r="I37" s="30" t="str">
        <x:v>Generate files through each browser API and validate the control path.</x:v>
      </x:c>
      <x:c r="J37" s="16" t="str">
        <x:v>Not Assessed</x:v>
      </x:c>
      <x:c r="K37" s="41" t="n">
        <x:f>IF(J37="Implemented",1,IF(J37="Partially Implemented",0.5,IF(J37="Planned",0.25,IF(J37="Not Applicable",1,0))))</x:f>
        <x:v>0</x:v>
      </x:c>
      <x:c r="L37" s="30" t="str"/>
      <x:c r="M37" s="30" t="str"/>
      <x:c r="N37" s="49"/>
      <x:c r="O37" s="30" t="str">
        <x:v>Not Assessed</x:v>
      </x:c>
      <x:c r="P37" s="30" t="n">
        <x:f>IF(G37="Critical",5,IF(G37="High",4,IF(G37="Medium",3,2)))</x:f>
        <x:v>5</x:v>
      </x:c>
      <x:c r="Q37" s="45" t="n">
        <x:f>P37*K37</x:f>
        <x:v>0</x:v>
      </x:c>
      <x:c r="R37" s="45" t="n">
        <x:f>P37-Q37</x:f>
        <x:v>5</x:v>
      </x:c>
      <x:c r="S37" s="30" t="str"/>
      <x:c r="T37" s="49"/>
      <x:c r="U37" s="30" t="str">
        <x:v>SRC-06</x:v>
      </x:c>
      <x:c r="V37" s="30" t="str">
        <x:v>https://attack.mitre.org/techniques/T1027/006/</x:v>
      </x:c>
      <x:c r="W37" s="31" t="str"/>
    </x:row>
    <x:row r="38">
      <x:c r="A38" s="15" t="str">
        <x:v>RBI-037</x:v>
      </x:c>
      <x:c r="B38" s="16" t="str">
        <x:v>Files &amp; Content</x:v>
      </x:c>
      <x:c r="C38" s="16" t="str">
        <x:v>Metadata Logging</x:v>
      </x:c>
      <x:c r="D38" s="30" t="str">
        <x:v>Record file name, type, size, hash, source URL, user, policy decision and analysis result.</x:v>
      </x:c>
      <x:c r="E38" s="30" t="str">
        <x:v>Investigation gaps; undetected malware</x:v>
      </x:c>
      <x:c r="F38" s="16" t="str">
        <x:v>Mandatory</x:v>
      </x:c>
      <x:c r="G38" s="16" t="str">
        <x:v>High</x:v>
      </x:c>
      <x:c r="H38" s="30" t="str">
        <x:v>Universal</x:v>
      </x:c>
      <x:c r="I38" s="30" t="str">
        <x:v>Review SIEM events for test file transfers.</x:v>
      </x:c>
      <x:c r="J38" s="16" t="str">
        <x:v>Not Assessed</x:v>
      </x:c>
      <x:c r="K38" s="41" t="n">
        <x:f>IF(J38="Implemented",1,IF(J38="Partially Implemented",0.5,IF(J38="Planned",0.25,IF(J38="Not Applicable",1,0))))</x:f>
        <x:v>0</x:v>
      </x:c>
      <x:c r="L38" s="30" t="str"/>
      <x:c r="M38" s="30" t="str"/>
      <x:c r="N38" s="49"/>
      <x:c r="O38" s="30" t="str">
        <x:v>Not Assessed</x:v>
      </x:c>
      <x:c r="P38" s="30" t="n">
        <x:f>IF(G38="Critical",5,IF(G38="High",4,IF(G38="Medium",3,2)))</x:f>
        <x:v>4</x:v>
      </x:c>
      <x:c r="Q38" s="45" t="n">
        <x:f>P38*K38</x:f>
        <x:v>0</x:v>
      </x:c>
      <x:c r="R38" s="45" t="n">
        <x:f>P38-Q38</x:f>
        <x:v>4</x:v>
      </x:c>
      <x:c r="S38" s="30" t="str"/>
      <x:c r="T38" s="49"/>
      <x:c r="U38" s="30" t="str">
        <x:v>SRC-01</x:v>
      </x:c>
      <x:c r="V38" s="30" t="str">
        <x:v>https://www.nccoe.nist.gov/publication/1800-28/VolB/index.html</x:v>
      </x:c>
      <x:c r="W38" s="31" t="str"/>
    </x:row>
    <x:row r="39">
      <x:c r="A39" s="15" t="str">
        <x:v>RBI-038</x:v>
      </x:c>
      <x:c r="B39" s="16" t="str">
        <x:v>Browser Runtime</x:v>
      </x:c>
      <x:c r="C39" s="16" t="str">
        <x:v>WebAssembly</x:v>
      </x:c>
      <x:c r="D39" s="30" t="str">
        <x:v>Execute WebAssembly exclusively in the remote browser or block it for untrusted destinations.</x:v>
      </x:c>
      <x:c r="E39" s="30" t="str">
        <x:v>WASM malware; cryptomining; browser exploitation</x:v>
      </x:c>
      <x:c r="F39" s="16" t="str">
        <x:v>Mandatory</x:v>
      </x:c>
      <x:c r="G39" s="16" t="str">
        <x:v>Critical</x:v>
      </x:c>
      <x:c r="H39" s="30" t="str">
        <x:v>Universal</x:v>
      </x:c>
      <x:c r="I39" s="30" t="str">
        <x:v>Confirm .wasm modules are not delivered or instantiated locally.</x:v>
      </x:c>
      <x:c r="J39" s="16" t="str">
        <x:v>Not Assessed</x:v>
      </x:c>
      <x:c r="K39" s="41" t="n">
        <x:f>IF(J39="Implemented",1,IF(J39="Partially Implemented",0.5,IF(J39="Planned",0.25,IF(J39="Not Applicable",1,0))))</x:f>
        <x:v>0</x:v>
      </x:c>
      <x:c r="L39" s="30" t="str"/>
      <x:c r="M39" s="30" t="str"/>
      <x:c r="N39" s="49"/>
      <x:c r="O39" s="30" t="str">
        <x:v>Not Assessed</x:v>
      </x:c>
      <x:c r="P39" s="30" t="n">
        <x:f>IF(G39="Critical",5,IF(G39="High",4,IF(G39="Medium",3,2)))</x:f>
        <x:v>5</x:v>
      </x:c>
      <x:c r="Q39" s="45" t="n">
        <x:f>P39*K39</x:f>
        <x:v>0</x:v>
      </x:c>
      <x:c r="R39" s="45" t="n">
        <x:f>P39-Q39</x:f>
        <x:v>5</x:v>
      </x:c>
      <x:c r="S39" s="30" t="str"/>
      <x:c r="T39" s="49"/>
      <x:c r="U39" s="30" t="str">
        <x:v>SRC-23</x:v>
      </x:c>
      <x:c r="V39" s="30" t="str">
        <x:v>https://www.w3.org/TR/wasm-core-2/</x:v>
      </x:c>
      <x:c r="W39" s="31" t="str"/>
    </x:row>
    <x:row r="40">
      <x:c r="A40" s="15" t="str">
        <x:v>RBI-039</x:v>
      </x:c>
      <x:c r="B40" s="16" t="str">
        <x:v>Browser Runtime</x:v>
      </x:c>
      <x:c r="C40" s="16" t="str">
        <x:v>JavaScript JIT</x:v>
      </x:c>
      <x:c r="D40" s="30" t="str">
        <x:v>Support risk-based control of JavaScript JIT and other high-risk optimization features.</x:v>
      </x:c>
      <x:c r="E40" s="30" t="str">
        <x:v>Browser exploitation; JIT spraying</x:v>
      </x:c>
      <x:c r="F40" s="16" t="str">
        <x:v>Recommended</x:v>
      </x:c>
      <x:c r="G40" s="16" t="str">
        <x:v>High</x:v>
      </x:c>
      <x:c r="H40" s="30" t="str">
        <x:v>High-Security Profiles</x:v>
      </x:c>
      <x:c r="I40" s="30" t="str">
        <x:v>Test application compatibility and exploit-surface policy.</x:v>
      </x:c>
      <x:c r="J40" s="16" t="str">
        <x:v>Not Assessed</x:v>
      </x:c>
      <x:c r="K40" s="41" t="n">
        <x:f>IF(J40="Implemented",1,IF(J40="Partially Implemented",0.5,IF(J40="Planned",0.25,IF(J40="Not Applicable",1,0))))</x:f>
        <x:v>0</x:v>
      </x:c>
      <x:c r="L40" s="30" t="str"/>
      <x:c r="M40" s="30" t="str"/>
      <x:c r="N40" s="49"/>
      <x:c r="O40" s="30" t="str">
        <x:v>Not Assessed</x:v>
      </x:c>
      <x:c r="P40" s="30" t="n">
        <x:f>IF(G40="Critical",5,IF(G40="High",4,IF(G40="Medium",3,2)))</x:f>
        <x:v>4</x:v>
      </x:c>
      <x:c r="Q40" s="45" t="n">
        <x:f>P40*K40</x:f>
        <x:v>0</x:v>
      </x:c>
      <x:c r="R40" s="45" t="n">
        <x:f>P40-Q40</x:f>
        <x:v>4</x:v>
      </x:c>
      <x:c r="S40" s="30" t="str"/>
      <x:c r="T40" s="49"/>
      <x:c r="U40" s="30" t="str">
        <x:v>SRC-03</x:v>
      </x:c>
      <x:c r="V40" s="30" t="str">
        <x:v>https://attack.mitre.org/mitigations/M1048/</x:v>
      </x:c>
      <x:c r="W40" s="31" t="str"/>
    </x:row>
    <x:row r="41">
      <x:c r="A41" s="15" t="str">
        <x:v>RBI-040</x:v>
      </x:c>
      <x:c r="B41" s="16" t="str">
        <x:v>Browser Runtime</x:v>
      </x:c>
      <x:c r="C41" s="16" t="str">
        <x:v>WebGPU and WebGL</x:v>
      </x:c>
      <x:c r="D41" s="30" t="str">
        <x:v>Disable WebGPU and WebGL by default for untrusted sites or execute them only in a hardened remote GPU environment.</x:v>
      </x:c>
      <x:c r="E41" s="30" t="str">
        <x:v>GPU-driver exploitation; fingerprinting; resource abuse</x:v>
      </x:c>
      <x:c r="F41" s="16" t="str">
        <x:v>Mandatory</x:v>
      </x:c>
      <x:c r="G41" s="16" t="str">
        <x:v>High</x:v>
      </x:c>
      <x:c r="H41" s="30" t="str">
        <x:v>Universal</x:v>
      </x:c>
      <x:c r="I41" s="30" t="str">
        <x:v>Test WebGPU, WebGL and shader workloads.</x:v>
      </x:c>
      <x:c r="J41" s="16" t="str">
        <x:v>Not Assessed</x:v>
      </x:c>
      <x:c r="K41" s="41" t="n">
        <x:f>IF(J41="Implemented",1,IF(J41="Partially Implemented",0.5,IF(J41="Planned",0.25,IF(J41="Not Applicable",1,0))))</x:f>
        <x:v>0</x:v>
      </x:c>
      <x:c r="L41" s="30" t="str"/>
      <x:c r="M41" s="30" t="str"/>
      <x:c r="N41" s="49"/>
      <x:c r="O41" s="30" t="str">
        <x:v>Not Assessed</x:v>
      </x:c>
      <x:c r="P41" s="30" t="n">
        <x:f>IF(G41="Critical",5,IF(G41="High",4,IF(G41="Medium",3,2)))</x:f>
        <x:v>4</x:v>
      </x:c>
      <x:c r="Q41" s="45" t="n">
        <x:f>P41*K41</x:f>
        <x:v>0</x:v>
      </x:c>
      <x:c r="R41" s="45" t="n">
        <x:f>P41-Q41</x:f>
        <x:v>4</x:v>
      </x:c>
      <x:c r="S41" s="30" t="str"/>
      <x:c r="T41" s="49"/>
      <x:c r="U41" s="30" t="str">
        <x:v>SRC-27</x:v>
      </x:c>
      <x:c r="V41" s="30" t="str">
        <x:v>https://developers.cloudflare.com/cloudflare-one/remote-browser-isolation/known-limitations/</x:v>
      </x:c>
      <x:c r="W41" s="31" t="str"/>
    </x:row>
    <x:row r="42">
      <x:c r="A42" s="15" t="str">
        <x:v>RBI-041</x:v>
      </x:c>
      <x:c r="B42" s="16" t="str">
        <x:v>Browser Runtime</x:v>
      </x:c>
      <x:c r="C42" s="16" t="str">
        <x:v>Service Workers</x:v>
      </x:c>
      <x:c r="D42" s="30" t="str">
        <x:v>Keep Service Workers and Progressive Web Application state remote and remove them when the session ends.</x:v>
      </x:c>
      <x:c r="E42" s="30" t="str">
        <x:v>Persistence; request interception; malicious cache</x:v>
      </x:c>
      <x:c r="F42" s="16" t="str">
        <x:v>Mandatory</x:v>
      </x:c>
      <x:c r="G42" s="16" t="str">
        <x:v>High</x:v>
      </x:c>
      <x:c r="H42" s="30" t="str">
        <x:v>Universal</x:v>
      </x:c>
      <x:c r="I42" s="30" t="str">
        <x:v>Register a Service Worker and verify no local or cross-session persistence.</x:v>
      </x:c>
      <x:c r="J42" s="16" t="str">
        <x:v>Not Assessed</x:v>
      </x:c>
      <x:c r="K42" s="41" t="n">
        <x:f>IF(J42="Implemented",1,IF(J42="Partially Implemented",0.5,IF(J42="Planned",0.25,IF(J42="Not Applicable",1,0))))</x:f>
        <x:v>0</x:v>
      </x:c>
      <x:c r="L42" s="30" t="str"/>
      <x:c r="M42" s="30" t="str"/>
      <x:c r="N42" s="49"/>
      <x:c r="O42" s="30" t="str">
        <x:v>Not Assessed</x:v>
      </x:c>
      <x:c r="P42" s="30" t="n">
        <x:f>IF(G42="Critical",5,IF(G42="High",4,IF(G42="Medium",3,2)))</x:f>
        <x:v>4</x:v>
      </x:c>
      <x:c r="Q42" s="45" t="n">
        <x:f>P42*K42</x:f>
        <x:v>0</x:v>
      </x:c>
      <x:c r="R42" s="45" t="n">
        <x:f>P42-Q42</x:f>
        <x:v>4</x:v>
      </x:c>
      <x:c r="S42" s="30" t="str"/>
      <x:c r="T42" s="49"/>
      <x:c r="U42" s="30" t="str">
        <x:v>SRC-03</x:v>
      </x:c>
      <x:c r="V42" s="30" t="str">
        <x:v>https://attack.mitre.org/mitigations/M1048/</x:v>
      </x:c>
      <x:c r="W42" s="31" t="str"/>
    </x:row>
    <x:row r="43">
      <x:c r="A43" s="15" t="str">
        <x:v>RBI-042</x:v>
      </x:c>
      <x:c r="B43" s="16" t="str">
        <x:v>Browser Runtime</x:v>
      </x:c>
      <x:c r="C43" s="16" t="str">
        <x:v>WebUSB and WebBluetooth</x:v>
      </x:c>
      <x:c r="D43" s="30" t="str">
        <x:v>Disable local device access and redirection for WebUSB and WebBluetooth unless narrowly approved.</x:v>
      </x:c>
      <x:c r="E43" s="30" t="str">
        <x:v>Hardware access; wallet or device abuse</x:v>
      </x:c>
      <x:c r="F43" s="16" t="str">
        <x:v>Mandatory</x:v>
      </x:c>
      <x:c r="G43" s="16" t="str">
        <x:v>High</x:v>
      </x:c>
      <x:c r="H43" s="30" t="str">
        <x:v>Universal</x:v>
      </x:c>
      <x:c r="I43" s="30" t="str">
        <x:v>Test device enumeration and connection from isolated sites.</x:v>
      </x:c>
      <x:c r="J43" s="16" t="str">
        <x:v>Not Assessed</x:v>
      </x:c>
      <x:c r="K43" s="41" t="n">
        <x:f>IF(J43="Implemented",1,IF(J43="Partially Implemented",0.5,IF(J43="Planned",0.25,IF(J43="Not Applicable",1,0))))</x:f>
        <x:v>0</x:v>
      </x:c>
      <x:c r="L43" s="30" t="str"/>
      <x:c r="M43" s="30" t="str"/>
      <x:c r="N43" s="49"/>
      <x:c r="O43" s="30" t="str">
        <x:v>Not Assessed</x:v>
      </x:c>
      <x:c r="P43" s="30" t="n">
        <x:f>IF(G43="Critical",5,IF(G43="High",4,IF(G43="Medium",3,2)))</x:f>
        <x:v>4</x:v>
      </x:c>
      <x:c r="Q43" s="45" t="n">
        <x:f>P43*K43</x:f>
        <x:v>0</x:v>
      </x:c>
      <x:c r="R43" s="45" t="n">
        <x:f>P43-Q43</x:f>
        <x:v>4</x:v>
      </x:c>
      <x:c r="S43" s="30" t="str"/>
      <x:c r="T43" s="49"/>
      <x:c r="U43" s="30" t="str">
        <x:v>SRC-03</x:v>
      </x:c>
      <x:c r="V43" s="30" t="str">
        <x:v>https://attack.mitre.org/mitigations/M1048/</x:v>
      </x:c>
      <x:c r="W43" s="31" t="str"/>
    </x:row>
    <x:row r="44">
      <x:c r="A44" s="15" t="str">
        <x:v>RBI-043</x:v>
      </x:c>
      <x:c r="B44" s="16" t="str">
        <x:v>Browser Runtime</x:v>
      </x:c>
      <x:c r="C44" s="16" t="str">
        <x:v>Notifications</x:v>
      </x:c>
      <x:c r="D44" s="30" t="str">
        <x:v>Block browser push notifications from unknown sites and centrally govern approved notification origins.</x:v>
      </x:c>
      <x:c r="E44" s="30" t="str">
        <x:v>Social engineering; persistence; malicious redirects</x:v>
      </x:c>
      <x:c r="F44" s="16" t="str">
        <x:v>Mandatory</x:v>
      </x:c>
      <x:c r="G44" s="16" t="str">
        <x:v>Medium</x:v>
      </x:c>
      <x:c r="H44" s="30" t="str">
        <x:v>Universal</x:v>
      </x:c>
      <x:c r="I44" s="30" t="str">
        <x:v>Attempt to grant and use push notification permission.</x:v>
      </x:c>
      <x:c r="J44" s="16" t="str">
        <x:v>Not Assessed</x:v>
      </x:c>
      <x:c r="K44" s="41" t="n">
        <x:f>IF(J44="Implemented",1,IF(J44="Partially Implemented",0.5,IF(J44="Planned",0.25,IF(J44="Not Applicable",1,0))))</x:f>
        <x:v>0</x:v>
      </x:c>
      <x:c r="L44" s="30" t="str"/>
      <x:c r="M44" s="30" t="str"/>
      <x:c r="N44" s="49"/>
      <x:c r="O44" s="30" t="str">
        <x:v>Not Assessed</x:v>
      </x:c>
      <x:c r="P44" s="30" t="n">
        <x:f>IF(G44="Critical",5,IF(G44="High",4,IF(G44="Medium",3,2)))</x:f>
        <x:v>3</x:v>
      </x:c>
      <x:c r="Q44" s="45" t="n">
        <x:f>P44*K44</x:f>
        <x:v>0</x:v>
      </x:c>
      <x:c r="R44" s="45" t="n">
        <x:f>P44-Q44</x:f>
        <x:v>3</x:v>
      </x:c>
      <x:c r="S44" s="30" t="str"/>
      <x:c r="T44" s="49"/>
      <x:c r="U44" s="30" t="str">
        <x:v>SRC-04</x:v>
      </x:c>
      <x:c r="V44" s="30" t="str">
        <x:v>https://attack.mitre.org/techniques/T1189/</x:v>
      </x:c>
      <x:c r="W44" s="31" t="str"/>
    </x:row>
    <x:row r="45">
      <x:c r="A45" s="15" t="str">
        <x:v>RBI-044</x:v>
      </x:c>
      <x:c r="B45" s="16" t="str">
        <x:v>Browser Runtime</x:v>
      </x:c>
      <x:c r="C45" s="16" t="str">
        <x:v>Local File Access</x:v>
      </x:c>
      <x:c r="D45" s="30" t="str">
        <x:v>Prevent isolated sites and remote browser extensions from accessing local files except through controlled upload workflows.</x:v>
      </x:c>
      <x:c r="E45" s="30" t="str">
        <x:v>Local data theft; file discovery</x:v>
      </x:c>
      <x:c r="F45" s="16" t="str">
        <x:v>Mandatory</x:v>
      </x:c>
      <x:c r="G45" s="16" t="str">
        <x:v>Critical</x:v>
      </x:c>
      <x:c r="H45" s="30" t="str">
        <x:v>Universal</x:v>
      </x:c>
      <x:c r="I45" s="30" t="str">
        <x:v>Test file:// access, drag-and-drop, file pickers and native messaging.</x:v>
      </x:c>
      <x:c r="J45" s="16" t="str">
        <x:v>Not Assessed</x:v>
      </x:c>
      <x:c r="K45" s="41" t="n">
        <x:f>IF(J45="Implemented",1,IF(J45="Partially Implemented",0.5,IF(J45="Planned",0.25,IF(J45="Not Applicable",1,0))))</x:f>
        <x:v>0</x:v>
      </x:c>
      <x:c r="L45" s="30" t="str"/>
      <x:c r="M45" s="30" t="str"/>
      <x:c r="N45" s="49"/>
      <x:c r="O45" s="30" t="str">
        <x:v>Not Assessed</x:v>
      </x:c>
      <x:c r="P45" s="30" t="n">
        <x:f>IF(G45="Critical",5,IF(G45="High",4,IF(G45="Medium",3,2)))</x:f>
        <x:v>5</x:v>
      </x:c>
      <x:c r="Q45" s="45" t="n">
        <x:f>P45*K45</x:f>
        <x:v>0</x:v>
      </x:c>
      <x:c r="R45" s="45" t="n">
        <x:f>P45-Q45</x:f>
        <x:v>5</x:v>
      </x:c>
      <x:c r="S45" s="30" t="str"/>
      <x:c r="T45" s="49"/>
      <x:c r="U45" s="30" t="str">
        <x:v>SRC-03</x:v>
      </x:c>
      <x:c r="V45" s="30" t="str">
        <x:v>https://attack.mitre.org/mitigations/M1048/</x:v>
      </x:c>
      <x:c r="W45" s="31" t="str"/>
    </x:row>
    <x:row r="46">
      <x:c r="A46" s="15" t="str">
        <x:v>RBI-045</x:v>
      </x:c>
      <x:c r="B46" s="16" t="str">
        <x:v>Browser Runtime</x:v>
      </x:c>
      <x:c r="C46" s="16" t="str">
        <x:v>Browser Updates</x:v>
      </x:c>
      <x:c r="D46" s="30" t="str">
        <x:v>Patch remote browsers and rendering components within defined vulnerability-severity service levels.</x:v>
      </x:c>
      <x:c r="E46" s="30" t="str">
        <x:v>Browser zero-day exploitation</x:v>
      </x:c>
      <x:c r="F46" s="16" t="str">
        <x:v>Mandatory</x:v>
      </x:c>
      <x:c r="G46" s="16" t="str">
        <x:v>Critical</x:v>
      </x:c>
      <x:c r="H46" s="30" t="str">
        <x:v>Universal</x:v>
      </x:c>
      <x:c r="I46" s="30" t="str">
        <x:v>Review patch latency metrics and emergency update procedures.</x:v>
      </x:c>
      <x:c r="J46" s="16" t="str">
        <x:v>Not Assessed</x:v>
      </x:c>
      <x:c r="K46" s="41" t="n">
        <x:f>IF(J46="Implemented",1,IF(J46="Partially Implemented",0.5,IF(J46="Planned",0.25,IF(J46="Not Applicable",1,0))))</x:f>
        <x:v>0</x:v>
      </x:c>
      <x:c r="L46" s="30" t="str"/>
      <x:c r="M46" s="30" t="str"/>
      <x:c r="N46" s="49"/>
      <x:c r="O46" s="30" t="str">
        <x:v>Not Assessed</x:v>
      </x:c>
      <x:c r="P46" s="30" t="n">
        <x:f>IF(G46="Critical",5,IF(G46="High",4,IF(G46="Medium",3,2)))</x:f>
        <x:v>5</x:v>
      </x:c>
      <x:c r="Q46" s="45" t="n">
        <x:f>P46*K46</x:f>
        <x:v>0</x:v>
      </x:c>
      <x:c r="R46" s="45" t="n">
        <x:f>P46-Q46</x:f>
        <x:v>5</x:v>
      </x:c>
      <x:c r="S46" s="30" t="str"/>
      <x:c r="T46" s="49"/>
      <x:c r="U46" s="30" t="str">
        <x:v>SRC-03</x:v>
      </x:c>
      <x:c r="V46" s="30" t="str">
        <x:v>https://attack.mitre.org/mitigations/M1048/</x:v>
      </x:c>
      <x:c r="W46" s="31" t="str"/>
    </x:row>
    <x:row r="47">
      <x:c r="A47" s="15" t="str">
        <x:v>RBI-046</x:v>
      </x:c>
      <x:c r="B47" s="16" t="str">
        <x:v>HTTP/2 &amp; HTTP/3</x:v>
      </x:c>
      <x:c r="C47" s="16" t="str">
        <x:v>Protocol Parity</x:v>
      </x:c>
      <x:c r="D47" s="30" t="str">
        <x:v>Apply equivalent security policy to HTTP/1.1, HTTP/2 and HTTP/3 traffic.</x:v>
      </x:c>
      <x:c r="E47" s="30" t="str">
        <x:v>Protocol downgrade or bypass</x:v>
      </x:c>
      <x:c r="F47" s="16" t="str">
        <x:v>Mandatory</x:v>
      </x:c>
      <x:c r="G47" s="16" t="str">
        <x:v>Critical</x:v>
      </x:c>
      <x:c r="H47" s="30" t="str">
        <x:v>Universal</x:v>
      </x:c>
      <x:c r="I47" s="30" t="str">
        <x:v>Compare policy outcomes for identical requests over all supported versions.</x:v>
      </x:c>
      <x:c r="J47" s="16" t="str">
        <x:v>Not Assessed</x:v>
      </x:c>
      <x:c r="K47" s="41" t="n">
        <x:f>IF(J47="Implemented",1,IF(J47="Partially Implemented",0.5,IF(J47="Planned",0.25,IF(J47="Not Applicable",1,0))))</x:f>
        <x:v>0</x:v>
      </x:c>
      <x:c r="L47" s="30" t="str"/>
      <x:c r="M47" s="30" t="str"/>
      <x:c r="N47" s="49"/>
      <x:c r="O47" s="30" t="str">
        <x:v>Not Assessed</x:v>
      </x:c>
      <x:c r="P47" s="30" t="n">
        <x:f>IF(G47="Critical",5,IF(G47="High",4,IF(G47="Medium",3,2)))</x:f>
        <x:v>5</x:v>
      </x:c>
      <x:c r="Q47" s="45" t="n">
        <x:f>P47*K47</x:f>
        <x:v>0</x:v>
      </x:c>
      <x:c r="R47" s="45" t="n">
        <x:f>P47-Q47</x:f>
        <x:v>5</x:v>
      </x:c>
      <x:c r="S47" s="30" t="str"/>
      <x:c r="T47" s="49"/>
      <x:c r="U47" s="30" t="str">
        <x:v>SRC-11</x:v>
      </x:c>
      <x:c r="V47" s="30" t="str">
        <x:v>https://www.rfc-editor.org/rfc/rfc9113.html</x:v>
      </x:c>
      <x:c r="W47" s="31" t="str"/>
    </x:row>
    <x:row r="48">
      <x:c r="A48" s="15" t="str">
        <x:v>RBI-047</x:v>
      </x:c>
      <x:c r="B48" s="16" t="str">
        <x:v>HTTP/2 &amp; HTTP/3</x:v>
      </x:c>
      <x:c r="C48" s="16" t="str">
        <x:v>Native Parsing</x:v>
      </x:c>
      <x:c r="D48" s="30" t="str">
        <x:v>Parse HTTP/2 frames, pseudo-headers and streams natively rather than treating the connection as one opaque TLS flow.</x:v>
      </x:c>
      <x:c r="E48" s="30" t="str">
        <x:v>Tunneling; stream-level bypass; parser ambiguity</x:v>
      </x:c>
      <x:c r="F48" s="16" t="str">
        <x:v>Mandatory</x:v>
      </x:c>
      <x:c r="G48" s="16" t="str">
        <x:v>Critical</x:v>
      </x:c>
      <x:c r="H48" s="30" t="str">
        <x:v>Universal</x:v>
      </x:c>
      <x:c r="I48" s="30" t="str">
        <x:v>Send mixed allowed and denied streams over one connection.</x:v>
      </x:c>
      <x:c r="J48" s="16" t="str">
        <x:v>Not Assessed</x:v>
      </x:c>
      <x:c r="K48" s="41" t="n">
        <x:f>IF(J48="Implemented",1,IF(J48="Partially Implemented",0.5,IF(J48="Planned",0.25,IF(J48="Not Applicable",1,0))))</x:f>
        <x:v>0</x:v>
      </x:c>
      <x:c r="L48" s="30" t="str"/>
      <x:c r="M48" s="30" t="str"/>
      <x:c r="N48" s="49"/>
      <x:c r="O48" s="30" t="str">
        <x:v>Not Assessed</x:v>
      </x:c>
      <x:c r="P48" s="30" t="n">
        <x:f>IF(G48="Critical",5,IF(G48="High",4,IF(G48="Medium",3,2)))</x:f>
        <x:v>5</x:v>
      </x:c>
      <x:c r="Q48" s="45" t="n">
        <x:f>P48*K48</x:f>
        <x:v>0</x:v>
      </x:c>
      <x:c r="R48" s="45" t="n">
        <x:f>P48-Q48</x:f>
        <x:v>5</x:v>
      </x:c>
      <x:c r="S48" s="30" t="str"/>
      <x:c r="T48" s="49"/>
      <x:c r="U48" s="30" t="str">
        <x:v>SRC-11</x:v>
      </x:c>
      <x:c r="V48" s="30" t="str">
        <x:v>https://www.rfc-editor.org/rfc/rfc9113.html</x:v>
      </x:c>
      <x:c r="W48" s="31" t="str"/>
    </x:row>
    <x:row r="49">
      <x:c r="A49" s="15" t="str">
        <x:v>RBI-048</x:v>
      </x:c>
      <x:c r="B49" s="16" t="str">
        <x:v>HTTP/2 &amp; HTTP/3</x:v>
      </x:c>
      <x:c r="C49" s="16" t="str">
        <x:v>QUIC Governance</x:v>
      </x:c>
      <x:c r="D49" s="30" t="str">
        <x:v>Support native HTTP/3 and QUIC policy enforcement or block direct UDP/443 from endpoints.</x:v>
      </x:c>
      <x:c r="E49" s="30" t="str">
        <x:v>HTTP/3 bypass; unmanaged QUIC</x:v>
      </x:c>
      <x:c r="F49" s="16" t="str">
        <x:v>Mandatory</x:v>
      </x:c>
      <x:c r="G49" s="16" t="str">
        <x:v>Critical</x:v>
      </x:c>
      <x:c r="H49" s="30" t="str">
        <x:v>Universal</x:v>
      </x:c>
      <x:c r="I49" s="30" t="str">
        <x:v>Attempt direct QUIC to sanctioned and unsanctioned destinations.</x:v>
      </x:c>
      <x:c r="J49" s="16" t="str">
        <x:v>Not Assessed</x:v>
      </x:c>
      <x:c r="K49" s="41" t="n">
        <x:f>IF(J49="Implemented",1,IF(J49="Partially Implemented",0.5,IF(J49="Planned",0.25,IF(J49="Not Applicable",1,0))))</x:f>
        <x:v>0</x:v>
      </x:c>
      <x:c r="L49" s="30" t="str"/>
      <x:c r="M49" s="30" t="str"/>
      <x:c r="N49" s="49"/>
      <x:c r="O49" s="30" t="str">
        <x:v>Not Assessed</x:v>
      </x:c>
      <x:c r="P49" s="30" t="n">
        <x:f>IF(G49="Critical",5,IF(G49="High",4,IF(G49="Medium",3,2)))</x:f>
        <x:v>5</x:v>
      </x:c>
      <x:c r="Q49" s="45" t="n">
        <x:f>P49*K49</x:f>
        <x:v>0</x:v>
      </x:c>
      <x:c r="R49" s="45" t="n">
        <x:f>P49-Q49</x:f>
        <x:v>5</x:v>
      </x:c>
      <x:c r="S49" s="30" t="str"/>
      <x:c r="T49" s="49"/>
      <x:c r="U49" s="30" t="str">
        <x:v>SRC-12</x:v>
      </x:c>
      <x:c r="V49" s="30" t="str">
        <x:v>https://www.rfc-editor.org/rfc/rfc9114.html</x:v>
      </x:c>
      <x:c r="W49" s="31" t="str"/>
    </x:row>
    <x:row r="50">
      <x:c r="A50" s="15" t="str">
        <x:v>RBI-049</x:v>
      </x:c>
      <x:c r="B50" s="16" t="str">
        <x:v>HTTP/2 &amp; HTTP/3</x:v>
      </x:c>
      <x:c r="C50" s="16" t="str">
        <x:v>Extended CONNECT</x:v>
      </x:c>
      <x:c r="D50" s="30" t="str">
        <x:v>Disable Extended CONNECT by default and authorize it only by protocol, destination, application and user.</x:v>
      </x:c>
      <x:c r="E50" s="30" t="str">
        <x:v>WebSocket or arbitrary tunnel over HTTP/2 or HTTP/3</x:v>
      </x:c>
      <x:c r="F50" s="16" t="str">
        <x:v>Mandatory</x:v>
      </x:c>
      <x:c r="G50" s="16" t="str">
        <x:v>Critical</x:v>
      </x:c>
      <x:c r="H50" s="30" t="str">
        <x:v>Universal</x:v>
      </x:c>
      <x:c r="I50" s="30" t="str">
        <x:v>Attempt Extended CONNECT with approved and unapproved :protocol values.</x:v>
      </x:c>
      <x:c r="J50" s="16" t="str">
        <x:v>Not Assessed</x:v>
      </x:c>
      <x:c r="K50" s="41" t="n">
        <x:f>IF(J50="Implemented",1,IF(J50="Partially Implemented",0.5,IF(J50="Planned",0.25,IF(J50="Not Applicable",1,0))))</x:f>
        <x:v>0</x:v>
      </x:c>
      <x:c r="L50" s="30" t="str"/>
      <x:c r="M50" s="30" t="str"/>
      <x:c r="N50" s="49"/>
      <x:c r="O50" s="30" t="str">
        <x:v>Not Assessed</x:v>
      </x:c>
      <x:c r="P50" s="30" t="n">
        <x:f>IF(G50="Critical",5,IF(G50="High",4,IF(G50="Medium",3,2)))</x:f>
        <x:v>5</x:v>
      </x:c>
      <x:c r="Q50" s="45" t="n">
        <x:f>P50*K50</x:f>
        <x:v>0</x:v>
      </x:c>
      <x:c r="R50" s="45" t="n">
        <x:f>P50-Q50</x:f>
        <x:v>5</x:v>
      </x:c>
      <x:c r="S50" s="30" t="str"/>
      <x:c r="T50" s="49"/>
      <x:c r="U50" s="30" t="str">
        <x:v>SRC-14</x:v>
      </x:c>
      <x:c r="V50" s="30" t="str">
        <x:v>https://www.rfc-editor.org/rfc/rfc8441.html</x:v>
      </x:c>
      <x:c r="W50" s="31" t="str"/>
    </x:row>
    <x:row r="51">
      <x:c r="A51" s="15" t="str">
        <x:v>RBI-050</x:v>
      </x:c>
      <x:c r="B51" s="16" t="str">
        <x:v>HTTP/2 &amp; HTTP/3</x:v>
      </x:c>
      <x:c r="C51" s="16" t="str">
        <x:v>CONNECT-UDP</x:v>
      </x:c>
      <x:c r="D51" s="30" t="str">
        <x:v>Block CONNECT-UDP and MASQUE by default unless required by an explicitly approved enterprise service.</x:v>
      </x:c>
      <x:c r="E51" s="30" t="str">
        <x:v>UDP tunneling; VPN bypass; covert channel</x:v>
      </x:c>
      <x:c r="F51" s="16" t="str">
        <x:v>Mandatory</x:v>
      </x:c>
      <x:c r="G51" s="16" t="str">
        <x:v>Critical</x:v>
      </x:c>
      <x:c r="H51" s="30" t="str">
        <x:v>Universal</x:v>
      </x:c>
      <x:c r="I51" s="30" t="str">
        <x:v>Attempt CONNECT-UDP to external, internal and special-use destinations.</x:v>
      </x:c>
      <x:c r="J51" s="16" t="str">
        <x:v>Not Assessed</x:v>
      </x:c>
      <x:c r="K51" s="41" t="n">
        <x:f>IF(J51="Implemented",1,IF(J51="Partially Implemented",0.5,IF(J51="Planned",0.25,IF(J51="Not Applicable",1,0))))</x:f>
        <x:v>0</x:v>
      </x:c>
      <x:c r="L51" s="30" t="str"/>
      <x:c r="M51" s="30" t="str"/>
      <x:c r="N51" s="49"/>
      <x:c r="O51" s="30" t="str">
        <x:v>Not Assessed</x:v>
      </x:c>
      <x:c r="P51" s="30" t="n">
        <x:f>IF(G51="Critical",5,IF(G51="High",4,IF(G51="Medium",3,2)))</x:f>
        <x:v>5</x:v>
      </x:c>
      <x:c r="Q51" s="45" t="n">
        <x:f>P51*K51</x:f>
        <x:v>0</x:v>
      </x:c>
      <x:c r="R51" s="45" t="n">
        <x:f>P51-Q51</x:f>
        <x:v>5</x:v>
      </x:c>
      <x:c r="S51" s="30" t="str"/>
      <x:c r="T51" s="49"/>
      <x:c r="U51" s="30" t="str">
        <x:v>SRC-17</x:v>
      </x:c>
      <x:c r="V51" s="30" t="str">
        <x:v>https://www.rfc-editor.org/rfc/rfc9298.html</x:v>
      </x:c>
      <x:c r="W51" s="31" t="str"/>
    </x:row>
    <x:row r="52">
      <x:c r="A52" s="15" t="str">
        <x:v>RBI-051</x:v>
      </x:c>
      <x:c r="B52" s="16" t="str">
        <x:v>HTTP/2 &amp; HTTP/3</x:v>
      </x:c>
      <x:c r="C52" s="16" t="str">
        <x:v>CONNECT-IP</x:v>
      </x:c>
      <x:c r="D52" s="30" t="str">
        <x:v>Block CONNECT-IP by default and prevent arbitrary IP packet tunneling through permitted web services.</x:v>
      </x:c>
      <x:c r="E52" s="30" t="str">
        <x:v>IP tunneling; policy bypass; VPN</x:v>
      </x:c>
      <x:c r="F52" s="16" t="str">
        <x:v>Mandatory</x:v>
      </x:c>
      <x:c r="G52" s="16" t="str">
        <x:v>Critical</x:v>
      </x:c>
      <x:c r="H52" s="30" t="str">
        <x:v>Universal</x:v>
      </x:c>
      <x:c r="I52" s="30" t="str">
        <x:v>Attempt CONNECT-IP for TCP, UDP and private-address destinations.</x:v>
      </x:c>
      <x:c r="J52" s="16" t="str">
        <x:v>Not Assessed</x:v>
      </x:c>
      <x:c r="K52" s="41" t="n">
        <x:f>IF(J52="Implemented",1,IF(J52="Partially Implemented",0.5,IF(J52="Planned",0.25,IF(J52="Not Applicable",1,0))))</x:f>
        <x:v>0</x:v>
      </x:c>
      <x:c r="L52" s="30" t="str"/>
      <x:c r="M52" s="30" t="str"/>
      <x:c r="N52" s="49"/>
      <x:c r="O52" s="30" t="str">
        <x:v>Not Assessed</x:v>
      </x:c>
      <x:c r="P52" s="30" t="n">
        <x:f>IF(G52="Critical",5,IF(G52="High",4,IF(G52="Medium",3,2)))</x:f>
        <x:v>5</x:v>
      </x:c>
      <x:c r="Q52" s="45" t="n">
        <x:f>P52*K52</x:f>
        <x:v>0</x:v>
      </x:c>
      <x:c r="R52" s="45" t="n">
        <x:f>P52-Q52</x:f>
        <x:v>5</x:v>
      </x:c>
      <x:c r="S52" s="30" t="str"/>
      <x:c r="T52" s="49"/>
      <x:c r="U52" s="30" t="str">
        <x:v>SRC-18</x:v>
      </x:c>
      <x:c r="V52" s="30" t="str">
        <x:v>https://www.rfc-editor.org/rfc/rfc9484.html</x:v>
      </x:c>
      <x:c r="W52" s="31" t="str"/>
    </x:row>
    <x:row r="53">
      <x:c r="A53" s="15" t="str">
        <x:v>RBI-052</x:v>
      </x:c>
      <x:c r="B53" s="16" t="str">
        <x:v>HTTP/2 &amp; HTTP/3</x:v>
      </x:c>
      <x:c r="C53" s="16" t="str">
        <x:v>HTTP Datagrams</x:v>
      </x:c>
      <x:c r="D53" s="30" t="str">
        <x:v>Recognize, authorize, rate-limit and log HTTP Datagrams and Capsule Protocol messages.</x:v>
      </x:c>
      <x:c r="E53" s="30" t="str">
        <x:v>Opaque datagram tunnel; data exfiltration</x:v>
      </x:c>
      <x:c r="F53" s="16" t="str">
        <x:v>Mandatory</x:v>
      </x:c>
      <x:c r="G53" s="16" t="str">
        <x:v>High</x:v>
      </x:c>
      <x:c r="H53" s="30" t="str">
        <x:v>Universal</x:v>
      </x:c>
      <x:c r="I53" s="30" t="str">
        <x:v>Generate datagram and capsule traffic under HTTP/2 and HTTP/3.</x:v>
      </x:c>
      <x:c r="J53" s="16" t="str">
        <x:v>Not Assessed</x:v>
      </x:c>
      <x:c r="K53" s="41" t="n">
        <x:f>IF(J53="Implemented",1,IF(J53="Partially Implemented",0.5,IF(J53="Planned",0.25,IF(J53="Not Applicable",1,0))))</x:f>
        <x:v>0</x:v>
      </x:c>
      <x:c r="L53" s="30" t="str"/>
      <x:c r="M53" s="30" t="str"/>
      <x:c r="N53" s="49"/>
      <x:c r="O53" s="30" t="str">
        <x:v>Not Assessed</x:v>
      </x:c>
      <x:c r="P53" s="30" t="n">
        <x:f>IF(G53="Critical",5,IF(G53="High",4,IF(G53="Medium",3,2)))</x:f>
        <x:v>4</x:v>
      </x:c>
      <x:c r="Q53" s="45" t="n">
        <x:f>P53*K53</x:f>
        <x:v>0</x:v>
      </x:c>
      <x:c r="R53" s="45" t="n">
        <x:f>P53-Q53</x:f>
        <x:v>4</x:v>
      </x:c>
      <x:c r="S53" s="30" t="str"/>
      <x:c r="T53" s="49"/>
      <x:c r="U53" s="30" t="str">
        <x:v>SRC-16</x:v>
      </x:c>
      <x:c r="V53" s="30" t="str">
        <x:v>https://www.rfc-editor.org/rfc/rfc9297.html</x:v>
      </x:c>
      <x:c r="W53" s="31" t="str"/>
    </x:row>
    <x:row r="54">
      <x:c r="A54" s="15" t="str">
        <x:v>RBI-053</x:v>
      </x:c>
      <x:c r="B54" s="16" t="str">
        <x:v>HTTP/2 &amp; HTTP/3</x:v>
      </x:c>
      <x:c r="C54" s="16" t="str">
        <x:v>Alt-Svc</x:v>
      </x:c>
      <x:c r="D54" s="30" t="str">
        <x:v>Validate and govern Alt-Svc advertisements, alternate ports and cached alternate-service state.</x:v>
      </x:c>
      <x:c r="E54" s="30" t="str">
        <x:v>HTTP/3 redirection outside policy</x:v>
      </x:c>
      <x:c r="F54" s="16" t="str">
        <x:v>Mandatory</x:v>
      </x:c>
      <x:c r="G54" s="16" t="str">
        <x:v>High</x:v>
      </x:c>
      <x:c r="H54" s="30" t="str">
        <x:v>Universal</x:v>
      </x:c>
      <x:c r="I54" s="30" t="str">
        <x:v>Advertise alternate hosts and ports and verify policy continuity.</x:v>
      </x:c>
      <x:c r="J54" s="16" t="str">
        <x:v>Not Assessed</x:v>
      </x:c>
      <x:c r="K54" s="41" t="n">
        <x:f>IF(J54="Implemented",1,IF(J54="Partially Implemented",0.5,IF(J54="Planned",0.25,IF(J54="Not Applicable",1,0))))</x:f>
        <x:v>0</x:v>
      </x:c>
      <x:c r="L54" s="30" t="str"/>
      <x:c r="M54" s="30" t="str"/>
      <x:c r="N54" s="49"/>
      <x:c r="O54" s="30" t="str">
        <x:v>Not Assessed</x:v>
      </x:c>
      <x:c r="P54" s="30" t="n">
        <x:f>IF(G54="Critical",5,IF(G54="High",4,IF(G54="Medium",3,2)))</x:f>
        <x:v>4</x:v>
      </x:c>
      <x:c r="Q54" s="45" t="n">
        <x:f>P54*K54</x:f>
        <x:v>0</x:v>
      </x:c>
      <x:c r="R54" s="45" t="n">
        <x:f>P54-Q54</x:f>
        <x:v>4</x:v>
      </x:c>
      <x:c r="S54" s="30" t="str"/>
      <x:c r="T54" s="49"/>
      <x:c r="U54" s="30" t="str">
        <x:v>SRC-12</x:v>
      </x:c>
      <x:c r="V54" s="30" t="str">
        <x:v>https://www.rfc-editor.org/rfc/rfc9114.html</x:v>
      </x:c>
      <x:c r="W54" s="31" t="str"/>
    </x:row>
    <x:row r="55">
      <x:c r="A55" s="15" t="str">
        <x:v>RBI-054</x:v>
      </x:c>
      <x:c r="B55" s="16" t="str">
        <x:v>HTTP/2 &amp; HTTP/3</x:v>
      </x:c>
      <x:c r="C55" s="16" t="str">
        <x:v>0-RTT</x:v>
      </x:c>
      <x:c r="D55" s="30" t="str">
        <x:v>Disable QUIC 0-RTT for authentication, payments, configuration changes and other non-idempotent actions.</x:v>
      </x:c>
      <x:c r="E55" s="30" t="str">
        <x:v>Replay; duplicate transaction</x:v>
      </x:c>
      <x:c r="F55" s="16" t="str">
        <x:v>Mandatory</x:v>
      </x:c>
      <x:c r="G55" s="16" t="str">
        <x:v>High</x:v>
      </x:c>
      <x:c r="H55" s="30" t="str">
        <x:v>Sensitive Applications</x:v>
      </x:c>
      <x:c r="I55" s="30" t="str">
        <x:v>Replay captured early data and verify rejection.</x:v>
      </x:c>
      <x:c r="J55" s="16" t="str">
        <x:v>Not Assessed</x:v>
      </x:c>
      <x:c r="K55" s="41" t="n">
        <x:f>IF(J55="Implemented",1,IF(J55="Partially Implemented",0.5,IF(J55="Planned",0.25,IF(J55="Not Applicable",1,0))))</x:f>
        <x:v>0</x:v>
      </x:c>
      <x:c r="L55" s="30" t="str"/>
      <x:c r="M55" s="30" t="str"/>
      <x:c r="N55" s="49"/>
      <x:c r="O55" s="30" t="str">
        <x:v>Not Assessed</x:v>
      </x:c>
      <x:c r="P55" s="30" t="n">
        <x:f>IF(G55="Critical",5,IF(G55="High",4,IF(G55="Medium",3,2)))</x:f>
        <x:v>4</x:v>
      </x:c>
      <x:c r="Q55" s="45" t="n">
        <x:f>P55*K55</x:f>
        <x:v>0</x:v>
      </x:c>
      <x:c r="R55" s="45" t="n">
        <x:f>P55-Q55</x:f>
        <x:v>4</x:v>
      </x:c>
      <x:c r="S55" s="30" t="str"/>
      <x:c r="T55" s="49"/>
      <x:c r="U55" s="30" t="str">
        <x:v>SRC-21</x:v>
      </x:c>
      <x:c r="V55" s="30" t="str">
        <x:v>https://www.rfc-editor.org/rfc/rfc9308.html</x:v>
      </x:c>
      <x:c r="W55" s="31" t="str"/>
    </x:row>
    <x:row r="56">
      <x:c r="A56" s="15" t="str">
        <x:v>RBI-055</x:v>
      </x:c>
      <x:c r="B56" s="16" t="str">
        <x:v>HTTP/2 &amp; HTTP/3</x:v>
      </x:c>
      <x:c r="C56" s="16" t="str">
        <x:v>Connection Migration</x:v>
      </x:c>
      <x:c r="D56" s="30" t="str">
        <x:v>Bind access decisions to identity and device posture rather than source IP alone and reassess risk after QUIC path migration.</x:v>
      </x:c>
      <x:c r="E56" s="30" t="str">
        <x:v>Session transfer; network change bypass</x:v>
      </x:c>
      <x:c r="F56" s="16" t="str">
        <x:v>Mandatory</x:v>
      </x:c>
      <x:c r="G56" s="16" t="str">
        <x:v>High</x:v>
      </x:c>
      <x:c r="H56" s="30" t="str">
        <x:v>Universal</x:v>
      </x:c>
      <x:c r="I56" s="30" t="str">
        <x:v>Move a live QUIC session between networks and evaluate policy.</x:v>
      </x:c>
      <x:c r="J56" s="16" t="str">
        <x:v>Not Assessed</x:v>
      </x:c>
      <x:c r="K56" s="41" t="n">
        <x:f>IF(J56="Implemented",1,IF(J56="Partially Implemented",0.5,IF(J56="Planned",0.25,IF(J56="Not Applicable",1,0))))</x:f>
        <x:v>0</x:v>
      </x:c>
      <x:c r="L56" s="30" t="str"/>
      <x:c r="M56" s="30" t="str"/>
      <x:c r="N56" s="49"/>
      <x:c r="O56" s="30" t="str">
        <x:v>Not Assessed</x:v>
      </x:c>
      <x:c r="P56" s="30" t="n">
        <x:f>IF(G56="Critical",5,IF(G56="High",4,IF(G56="Medium",3,2)))</x:f>
        <x:v>4</x:v>
      </x:c>
      <x:c r="Q56" s="45" t="n">
        <x:f>P56*K56</x:f>
        <x:v>0</x:v>
      </x:c>
      <x:c r="R56" s="45" t="n">
        <x:f>P56-Q56</x:f>
        <x:v>4</x:v>
      </x:c>
      <x:c r="S56" s="30" t="str"/>
      <x:c r="T56" s="49"/>
      <x:c r="U56" s="30" t="str">
        <x:v>SRC-13</x:v>
      </x:c>
      <x:c r="V56" s="30" t="str">
        <x:v>https://www.rfc-editor.org/rfc/rfc9000.html</x:v>
      </x:c>
      <x:c r="W56" s="31" t="str"/>
    </x:row>
    <x:row r="57">
      <x:c r="A57" s="15" t="str">
        <x:v>RBI-056</x:v>
      </x:c>
      <x:c r="B57" s="16" t="str">
        <x:v>HTTP/2 &amp; HTTP/3</x:v>
      </x:c>
      <x:c r="C57" s="16" t="str">
        <x:v>Rapid Reset</x:v>
      </x:c>
      <x:c r="D57" s="30" t="str">
        <x:v>Patch HTTP/2 infrastructure and rate-limit stream creation, cancellation and reset behavior.</x:v>
      </x:c>
      <x:c r="E57" s="30" t="str">
        <x:v>HTTP/2 Rapid Reset; resource exhaustion</x:v>
      </x:c>
      <x:c r="F57" s="16" t="str">
        <x:v>Mandatory</x:v>
      </x:c>
      <x:c r="G57" s="16" t="str">
        <x:v>Critical</x:v>
      </x:c>
      <x:c r="H57" s="30" t="str">
        <x:v>RBI Infrastructure</x:v>
      </x:c>
      <x:c r="I57" s="30" t="str">
        <x:v>Run controlled rapid-reset and high-concurrency tests.</x:v>
      </x:c>
      <x:c r="J57" s="16" t="str">
        <x:v>Not Assessed</x:v>
      </x:c>
      <x:c r="K57" s="41" t="n">
        <x:f>IF(J57="Implemented",1,IF(J57="Partially Implemented",0.5,IF(J57="Planned",0.25,IF(J57="Not Applicable",1,0))))</x:f>
        <x:v>0</x:v>
      </x:c>
      <x:c r="L57" s="30" t="str"/>
      <x:c r="M57" s="30" t="str"/>
      <x:c r="N57" s="49"/>
      <x:c r="O57" s="30" t="str">
        <x:v>Not Assessed</x:v>
      </x:c>
      <x:c r="P57" s="30" t="n">
        <x:f>IF(G57="Critical",5,IF(G57="High",4,IF(G57="Medium",3,2)))</x:f>
        <x:v>5</x:v>
      </x:c>
      <x:c r="Q57" s="45" t="n">
        <x:f>P57*K57</x:f>
        <x:v>0</x:v>
      </x:c>
      <x:c r="R57" s="45" t="n">
        <x:f>P57-Q57</x:f>
        <x:v>5</x:v>
      </x:c>
      <x:c r="S57" s="30" t="str"/>
      <x:c r="T57" s="49"/>
      <x:c r="U57" s="30" t="str">
        <x:v>SRC-22</x:v>
      </x:c>
      <x:c r="V57" s="30" t="str">
        <x:v>https://www.cisa.gov/news-events/alerts/2023/10/10/http2-rapid-reset-vulnerability-cve-2023-44487</x:v>
      </x:c>
      <x:c r="W57" s="31" t="str"/>
    </x:row>
    <x:row r="58">
      <x:c r="A58" s="15" t="str">
        <x:v>RBI-057</x:v>
      </x:c>
      <x:c r="B58" s="16" t="str">
        <x:v>HTTP/2 &amp; HTTP/3</x:v>
      </x:c>
      <x:c r="C58" s="16" t="str">
        <x:v>Request Smuggling</x:v>
      </x:c>
      <x:c r="D58" s="30" t="str">
        <x:v>Use strict canonical parsing and test HTTP/2 to HTTP/1.1 translation for request-smuggling ambiguities.</x:v>
      </x:c>
      <x:c r="E58" s="30" t="str">
        <x:v>Request smuggling; security control bypass</x:v>
      </x:c>
      <x:c r="F58" s="16" t="str">
        <x:v>Mandatory</x:v>
      </x:c>
      <x:c r="G58" s="16" t="str">
        <x:v>Critical</x:v>
      </x:c>
      <x:c r="H58" s="30" t="str">
        <x:v>RBI Infrastructure</x:v>
      </x:c>
      <x:c r="I58" s="30" t="str">
        <x:v>Test malformed pseudo-headers, duplicate framing and downgrade paths.</x:v>
      </x:c>
      <x:c r="J58" s="16" t="str">
        <x:v>Not Assessed</x:v>
      </x:c>
      <x:c r="K58" s="41" t="n">
        <x:f>IF(J58="Implemented",1,IF(J58="Partially Implemented",0.5,IF(J58="Planned",0.25,IF(J58="Not Applicable",1,0))))</x:f>
        <x:v>0</x:v>
      </x:c>
      <x:c r="L58" s="30" t="str"/>
      <x:c r="M58" s="30" t="str"/>
      <x:c r="N58" s="49"/>
      <x:c r="O58" s="30" t="str">
        <x:v>Not Assessed</x:v>
      </x:c>
      <x:c r="P58" s="30" t="n">
        <x:f>IF(G58="Critical",5,IF(G58="High",4,IF(G58="Medium",3,2)))</x:f>
        <x:v>5</x:v>
      </x:c>
      <x:c r="Q58" s="45" t="n">
        <x:f>P58*K58</x:f>
        <x:v>0</x:v>
      </x:c>
      <x:c r="R58" s="45" t="n">
        <x:f>P58-Q58</x:f>
        <x:v>5</x:v>
      </x:c>
      <x:c r="S58" s="30" t="str"/>
      <x:c r="T58" s="49"/>
      <x:c r="U58" s="30" t="str">
        <x:v>SRC-11</x:v>
      </x:c>
      <x:c r="V58" s="30" t="str">
        <x:v>https://www.rfc-editor.org/rfc/rfc9113.html</x:v>
      </x:c>
      <x:c r="W58" s="31" t="str"/>
    </x:row>
    <x:row r="59">
      <x:c r="A59" s="15" t="str">
        <x:v>RBI-058</x:v>
      </x:c>
      <x:c r="B59" s="16" t="str">
        <x:v>HTTP/2 &amp; HTTP/3</x:v>
      </x:c>
      <x:c r="C59" s="16" t="str">
        <x:v>Resource Quotas</x:v>
      </x:c>
      <x:c r="D59" s="30" t="str">
        <x:v>Limit concurrent streams, header size, QPACK state, request rate and per-session resource consumption.</x:v>
      </x:c>
      <x:c r="E59" s="30" t="str">
        <x:v>DoS; compression abuse; memory exhaustion</x:v>
      </x:c>
      <x:c r="F59" s="16" t="str">
        <x:v>Mandatory</x:v>
      </x:c>
      <x:c r="G59" s="16" t="str">
        <x:v>High</x:v>
      </x:c>
      <x:c r="H59" s="30" t="str">
        <x:v>RBI Infrastructure</x:v>
      </x:c>
      <x:c r="I59" s="30" t="str">
        <x:v>Stress-test protocol and tenant-level quotas.</x:v>
      </x:c>
      <x:c r="J59" s="16" t="str">
        <x:v>Not Assessed</x:v>
      </x:c>
      <x:c r="K59" s="41" t="n">
        <x:f>IF(J59="Implemented",1,IF(J59="Partially Implemented",0.5,IF(J59="Planned",0.25,IF(J59="Not Applicable",1,0))))</x:f>
        <x:v>0</x:v>
      </x:c>
      <x:c r="L59" s="30" t="str"/>
      <x:c r="M59" s="30" t="str"/>
      <x:c r="N59" s="49"/>
      <x:c r="O59" s="30" t="str">
        <x:v>Not Assessed</x:v>
      </x:c>
      <x:c r="P59" s="30" t="n">
        <x:f>IF(G59="Critical",5,IF(G59="High",4,IF(G59="Medium",3,2)))</x:f>
        <x:v>4</x:v>
      </x:c>
      <x:c r="Q59" s="45" t="n">
        <x:f>P59*K59</x:f>
        <x:v>0</x:v>
      </x:c>
      <x:c r="R59" s="45" t="n">
        <x:f>P59-Q59</x:f>
        <x:v>4</x:v>
      </x:c>
      <x:c r="S59" s="30" t="str"/>
      <x:c r="T59" s="49"/>
      <x:c r="U59" s="30" t="str">
        <x:v>SRC-11</x:v>
      </x:c>
      <x:c r="V59" s="30" t="str">
        <x:v>https://www.rfc-editor.org/rfc/rfc9113.html</x:v>
      </x:c>
      <x:c r="W59" s="31" t="str"/>
    </x:row>
    <x:row r="60">
      <x:c r="A60" s="15" t="str">
        <x:v>RBI-059</x:v>
      </x:c>
      <x:c r="B60" s="16" t="str">
        <x:v>Tunneling &amp; Egress</x:v>
      </x:c>
      <x:c r="C60" s="16" t="str">
        <x:v>HTTP CONNECT</x:v>
      </x:c>
      <x:c r="D60" s="30" t="str">
        <x:v>Restrict HTTP CONNECT by user, destination, port, category and application and reject private or special-use targets.</x:v>
      </x:c>
      <x:c r="E60" s="30" t="str">
        <x:v>Proxy tunneling; internal access; policy bypass</x:v>
      </x:c>
      <x:c r="F60" s="16" t="str">
        <x:v>Mandatory</x:v>
      </x:c>
      <x:c r="G60" s="16" t="str">
        <x:v>Critical</x:v>
      </x:c>
      <x:c r="H60" s="30" t="str">
        <x:v>Universal</x:v>
      </x:c>
      <x:c r="I60" s="30" t="str">
        <x:v>Attempt CONNECT to IP literals, private ranges and non-standard ports.</x:v>
      </x:c>
      <x:c r="J60" s="16" t="str">
        <x:v>Not Assessed</x:v>
      </x:c>
      <x:c r="K60" s="41" t="n">
        <x:f>IF(J60="Implemented",1,IF(J60="Partially Implemented",0.5,IF(J60="Planned",0.25,IF(J60="Not Applicable",1,0))))</x:f>
        <x:v>0</x:v>
      </x:c>
      <x:c r="L60" s="30" t="str"/>
      <x:c r="M60" s="30" t="str"/>
      <x:c r="N60" s="49"/>
      <x:c r="O60" s="30" t="str">
        <x:v>Not Assessed</x:v>
      </x:c>
      <x:c r="P60" s="30" t="n">
        <x:f>IF(G60="Critical",5,IF(G60="High",4,IF(G60="Medium",3,2)))</x:f>
        <x:v>5</x:v>
      </x:c>
      <x:c r="Q60" s="45" t="n">
        <x:f>P60*K60</x:f>
        <x:v>0</x:v>
      </x:c>
      <x:c r="R60" s="45" t="n">
        <x:f>P60-Q60</x:f>
        <x:v>5</x:v>
      </x:c>
      <x:c r="S60" s="30" t="str"/>
      <x:c r="T60" s="49"/>
      <x:c r="U60" s="30" t="str">
        <x:v>SRC-05</x:v>
      </x:c>
      <x:c r="V60" s="30" t="str">
        <x:v>https://attack.mitre.org/techniques/T1071/001/</x:v>
      </x:c>
      <x:c r="W60" s="31" t="str"/>
    </x:row>
    <x:row r="61">
      <x:c r="A61" s="15" t="str">
        <x:v>RBI-060</x:v>
      </x:c>
      <x:c r="B61" s="16" t="str">
        <x:v>Tunneling &amp; Egress</x:v>
      </x:c>
      <x:c r="C61" s="16" t="str">
        <x:v>WebSocket</x:v>
      </x:c>
      <x:c r="D61" s="30" t="str">
        <x:v>Authorize WebSocket handshakes, origins, subprotocols and destinations and enforce duration and message-size limits.</x:v>
      </x:c>
      <x:c r="E61" s="30" t="str">
        <x:v>C2; interactive shell; data exfiltration</x:v>
      </x:c>
      <x:c r="F61" s="16" t="str">
        <x:v>Mandatory</x:v>
      </x:c>
      <x:c r="G61" s="16" t="str">
        <x:v>High</x:v>
      </x:c>
      <x:c r="H61" s="30" t="str">
        <x:v>Universal</x:v>
      </x:c>
      <x:c r="I61" s="30" t="str">
        <x:v>Test WebSocket over HTTP/1.1, HTTP/2 and HTTP/3.</x:v>
      </x:c>
      <x:c r="J61" s="16" t="str">
        <x:v>Not Assessed</x:v>
      </x:c>
      <x:c r="K61" s="41" t="n">
        <x:f>IF(J61="Implemented",1,IF(J61="Partially Implemented",0.5,IF(J61="Planned",0.25,IF(J61="Not Applicable",1,0))))</x:f>
        <x:v>0</x:v>
      </x:c>
      <x:c r="L61" s="30" t="str"/>
      <x:c r="M61" s="30" t="str"/>
      <x:c r="N61" s="49"/>
      <x:c r="O61" s="30" t="str">
        <x:v>Not Assessed</x:v>
      </x:c>
      <x:c r="P61" s="30" t="n">
        <x:f>IF(G61="Critical",5,IF(G61="High",4,IF(G61="Medium",3,2)))</x:f>
        <x:v>4</x:v>
      </x:c>
      <x:c r="Q61" s="45" t="n">
        <x:f>P61*K61</x:f>
        <x:v>0</x:v>
      </x:c>
      <x:c r="R61" s="45" t="n">
        <x:f>P61-Q61</x:f>
        <x:v>4</x:v>
      </x:c>
      <x:c r="S61" s="30" t="str"/>
      <x:c r="T61" s="49"/>
      <x:c r="U61" s="30" t="str">
        <x:v>SRC-14</x:v>
      </x:c>
      <x:c r="V61" s="30" t="str">
        <x:v>https://www.rfc-editor.org/rfc/rfc8441.html</x:v>
      </x:c>
      <x:c r="W61" s="31" t="str"/>
    </x:row>
    <x:row r="62">
      <x:c r="A62" s="15" t="str">
        <x:v>RBI-061</x:v>
      </x:c>
      <x:c r="B62" s="16" t="str">
        <x:v>Tunneling &amp; Egress</x:v>
      </x:c>
      <x:c r="C62" s="16" t="str">
        <x:v>WebTransport</x:v>
      </x:c>
      <x:c r="D62" s="30" t="str">
        <x:v>Disable WebTransport for unknown sites and allow it only for approved origins with stream and datagram limits.</x:v>
      </x:c>
      <x:c r="E62" s="30" t="str">
        <x:v>Low-level tunnel; data exfiltration</x:v>
      </x:c>
      <x:c r="F62" s="16" t="str">
        <x:v>Mandatory</x:v>
      </x:c>
      <x:c r="G62" s="16" t="str">
        <x:v>High</x:v>
      </x:c>
      <x:c r="H62" s="30" t="str">
        <x:v>Universal</x:v>
      </x:c>
      <x:c r="I62" s="30" t="str">
        <x:v>Attempt WebTransport to approved and unapproved origins.</x:v>
      </x:c>
      <x:c r="J62" s="16" t="str">
        <x:v>Not Assessed</x:v>
      </x:c>
      <x:c r="K62" s="41" t="n">
        <x:f>IF(J62="Implemented",1,IF(J62="Partially Implemented",0.5,IF(J62="Planned",0.25,IF(J62="Not Applicable",1,0))))</x:f>
        <x:v>0</x:v>
      </x:c>
      <x:c r="L62" s="30" t="str"/>
      <x:c r="M62" s="30" t="str"/>
      <x:c r="N62" s="49"/>
      <x:c r="O62" s="30" t="str">
        <x:v>Not Assessed</x:v>
      </x:c>
      <x:c r="P62" s="30" t="n">
        <x:f>IF(G62="Critical",5,IF(G62="High",4,IF(G62="Medium",3,2)))</x:f>
        <x:v>4</x:v>
      </x:c>
      <x:c r="Q62" s="45" t="n">
        <x:f>P62*K62</x:f>
        <x:v>0</x:v>
      </x:c>
      <x:c r="R62" s="45" t="n">
        <x:f>P62-Q62</x:f>
        <x:v>4</x:v>
      </x:c>
      <x:c r="S62" s="30" t="str"/>
      <x:c r="T62" s="49"/>
      <x:c r="U62" s="30" t="str">
        <x:v>SRC-12</x:v>
      </x:c>
      <x:c r="V62" s="30" t="str">
        <x:v>https://www.rfc-editor.org/rfc/rfc9114.html</x:v>
      </x:c>
      <x:c r="W62" s="31" t="str"/>
    </x:row>
    <x:row r="63">
      <x:c r="A63" s="15" t="str">
        <x:v>RBI-062</x:v>
      </x:c>
      <x:c r="B63" s="16" t="str">
        <x:v>Tunneling &amp; Egress</x:v>
      </x:c>
      <x:c r="C63" s="16" t="str">
        <x:v>Server-Sent Events</x:v>
      </x:c>
      <x:c r="D63" s="30" t="str">
        <x:v>Monitor long-lived Server-Sent Events and long-polling channels for beaconing and unusual data transfer.</x:v>
      </x:c>
      <x:c r="E63" s="30" t="str">
        <x:v>Low-and-slow C2; persistent channel</x:v>
      </x:c>
      <x:c r="F63" s="16" t="str">
        <x:v>Recommended</x:v>
      </x:c>
      <x:c r="G63" s="16" t="str">
        <x:v>Medium</x:v>
      </x:c>
      <x:c r="H63" s="30" t="str">
        <x:v>Universal</x:v>
      </x:c>
      <x:c r="I63" s="30" t="str">
        <x:v>Generate low-volume persistent event streams and validate detection.</x:v>
      </x:c>
      <x:c r="J63" s="16" t="str">
        <x:v>Not Assessed</x:v>
      </x:c>
      <x:c r="K63" s="41" t="n">
        <x:f>IF(J63="Implemented",1,IF(J63="Partially Implemented",0.5,IF(J63="Planned",0.25,IF(J63="Not Applicable",1,0))))</x:f>
        <x:v>0</x:v>
      </x:c>
      <x:c r="L63" s="30" t="str"/>
      <x:c r="M63" s="30" t="str"/>
      <x:c r="N63" s="49"/>
      <x:c r="O63" s="30" t="str">
        <x:v>Not Assessed</x:v>
      </x:c>
      <x:c r="P63" s="30" t="n">
        <x:f>IF(G63="Critical",5,IF(G63="High",4,IF(G63="Medium",3,2)))</x:f>
        <x:v>3</x:v>
      </x:c>
      <x:c r="Q63" s="45" t="n">
        <x:f>P63*K63</x:f>
        <x:v>0</x:v>
      </x:c>
      <x:c r="R63" s="45" t="n">
        <x:f>P63-Q63</x:f>
        <x:v>3</x:v>
      </x:c>
      <x:c r="S63" s="30" t="str"/>
      <x:c r="T63" s="49"/>
      <x:c r="U63" s="30" t="str">
        <x:v>SRC-05</x:v>
      </x:c>
      <x:c r="V63" s="30" t="str">
        <x:v>https://attack.mitre.org/techniques/T1071/001/</x:v>
      </x:c>
      <x:c r="W63" s="31" t="str"/>
    </x:row>
    <x:row r="64">
      <x:c r="A64" s="15" t="str">
        <x:v>RBI-063</x:v>
      </x:c>
      <x:c r="B64" s="16" t="str">
        <x:v>Tunneling &amp; Egress</x:v>
      </x:c>
      <x:c r="C64" s="16" t="str">
        <x:v>WebRTC</x:v>
      </x:c>
      <x:c r="D64" s="30" t="str">
        <x:v>Disable WebRTC for untrusted sites and prevent local peer-to-peer channels outside the RBI transport.</x:v>
      </x:c>
      <x:c r="E64" s="30" t="str">
        <x:v>Peer-to-peer exfiltration; alternate channel</x:v>
      </x:c>
      <x:c r="F64" s="16" t="str">
        <x:v>Mandatory</x:v>
      </x:c>
      <x:c r="G64" s="16" t="str">
        <x:v>High</x:v>
      </x:c>
      <x:c r="H64" s="30" t="str">
        <x:v>Universal</x:v>
      </x:c>
      <x:c r="I64" s="30" t="str">
        <x:v>Test RTCDataChannel, audio, video and ICE connectivity.</x:v>
      </x:c>
      <x:c r="J64" s="16" t="str">
        <x:v>Not Assessed</x:v>
      </x:c>
      <x:c r="K64" s="41" t="n">
        <x:f>IF(J64="Implemented",1,IF(J64="Partially Implemented",0.5,IF(J64="Planned",0.25,IF(J64="Not Applicable",1,0))))</x:f>
        <x:v>0</x:v>
      </x:c>
      <x:c r="L64" s="30" t="str"/>
      <x:c r="M64" s="30" t="str"/>
      <x:c r="N64" s="49"/>
      <x:c r="O64" s="30" t="str">
        <x:v>Not Assessed</x:v>
      </x:c>
      <x:c r="P64" s="30" t="n">
        <x:f>IF(G64="Critical",5,IF(G64="High",4,IF(G64="Medium",3,2)))</x:f>
        <x:v>4</x:v>
      </x:c>
      <x:c r="Q64" s="45" t="n">
        <x:f>P64*K64</x:f>
        <x:v>0</x:v>
      </x:c>
      <x:c r="R64" s="45" t="n">
        <x:f>P64-Q64</x:f>
        <x:v>4</x:v>
      </x:c>
      <x:c r="S64" s="30" t="str"/>
      <x:c r="T64" s="49"/>
      <x:c r="U64" s="30" t="str">
        <x:v>SRC-27</x:v>
      </x:c>
      <x:c r="V64" s="30" t="str">
        <x:v>https://developers.cloudflare.com/cloudflare-one/remote-browser-isolation/known-limitations/</x:v>
      </x:c>
      <x:c r="W64" s="31" t="str"/>
    </x:row>
    <x:row r="65">
      <x:c r="A65" s="15" t="str">
        <x:v>RBI-064</x:v>
      </x:c>
      <x:c r="B65" s="16" t="str">
        <x:v>Tunneling &amp; Egress</x:v>
      </x:c>
      <x:c r="C65" s="16" t="str">
        <x:v>STUN and TURN</x:v>
      </x:c>
      <x:c r="D65" s="30" t="str">
        <x:v>Restrict STUN and TURN to approved enterprise services and block arbitrary relay destinations.</x:v>
      </x:c>
      <x:c r="E65" s="30" t="str">
        <x:v>Relay abuse; local IP discovery; covert traffic</x:v>
      </x:c>
      <x:c r="F65" s="16" t="str">
        <x:v>Mandatory</x:v>
      </x:c>
      <x:c r="G65" s="16" t="str">
        <x:v>High</x:v>
      </x:c>
      <x:c r="H65" s="30" t="str">
        <x:v>Universal</x:v>
      </x:c>
      <x:c r="I65" s="30" t="str">
        <x:v>Attempt public STUN and TURN access and arbitrary relay use.</x:v>
      </x:c>
      <x:c r="J65" s="16" t="str">
        <x:v>Not Assessed</x:v>
      </x:c>
      <x:c r="K65" s="41" t="n">
        <x:f>IF(J65="Implemented",1,IF(J65="Partially Implemented",0.5,IF(J65="Planned",0.25,IF(J65="Not Applicable",1,0))))</x:f>
        <x:v>0</x:v>
      </x:c>
      <x:c r="L65" s="30" t="str"/>
      <x:c r="M65" s="30" t="str"/>
      <x:c r="N65" s="49"/>
      <x:c r="O65" s="30" t="str">
        <x:v>Not Assessed</x:v>
      </x:c>
      <x:c r="P65" s="30" t="n">
        <x:f>IF(G65="Critical",5,IF(G65="High",4,IF(G65="Medium",3,2)))</x:f>
        <x:v>4</x:v>
      </x:c>
      <x:c r="Q65" s="45" t="n">
        <x:f>P65*K65</x:f>
        <x:v>0</x:v>
      </x:c>
      <x:c r="R65" s="45" t="n">
        <x:f>P65-Q65</x:f>
        <x:v>4</x:v>
      </x:c>
      <x:c r="S65" s="30" t="str"/>
      <x:c r="T65" s="49"/>
      <x:c r="U65" s="30" t="str">
        <x:v>SRC-27</x:v>
      </x:c>
      <x:c r="V65" s="30" t="str">
        <x:v>https://developers.cloudflare.com/cloudflare-one/remote-browser-isolation/known-limitations/</x:v>
      </x:c>
      <x:c r="W65" s="31" t="str"/>
    </x:row>
    <x:row r="66">
      <x:c r="A66" s="15" t="str">
        <x:v>RBI-065</x:v>
      </x:c>
      <x:c r="B66" s="16" t="str">
        <x:v>Tunneling &amp; Egress</x:v>
      </x:c>
      <x:c r="C66" s="16" t="str">
        <x:v>VPN and Proxy Services</x:v>
      </x:c>
      <x:c r="D66" s="30" t="str">
        <x:v>Block unsanctioned VPNs, anonymizers, nested proxies and browser-based tunneling services.</x:v>
      </x:c>
      <x:c r="E66" s="30" t="str">
        <x:v>Control bypass; anonymized exfiltration</x:v>
      </x:c>
      <x:c r="F66" s="16" t="str">
        <x:v>Mandatory</x:v>
      </x:c>
      <x:c r="G66" s="16" t="str">
        <x:v>Critical</x:v>
      </x:c>
      <x:c r="H66" s="30" t="str">
        <x:v>Universal</x:v>
      </x:c>
      <x:c r="I66" s="30" t="str">
        <x:v>Test representative consumer VPN, proxy and tunnel applications.</x:v>
      </x:c>
      <x:c r="J66" s="16" t="str">
        <x:v>Not Assessed</x:v>
      </x:c>
      <x:c r="K66" s="41" t="n">
        <x:f>IF(J66="Implemented",1,IF(J66="Partially Implemented",0.5,IF(J66="Planned",0.25,IF(J66="Not Applicable",1,0))))</x:f>
        <x:v>0</x:v>
      </x:c>
      <x:c r="L66" s="30" t="str"/>
      <x:c r="M66" s="30" t="str"/>
      <x:c r="N66" s="49"/>
      <x:c r="O66" s="30" t="str">
        <x:v>Not Assessed</x:v>
      </x:c>
      <x:c r="P66" s="30" t="n">
        <x:f>IF(G66="Critical",5,IF(G66="High",4,IF(G66="Medium",3,2)))</x:f>
        <x:v>5</x:v>
      </x:c>
      <x:c r="Q66" s="45" t="n">
        <x:f>P66*K66</x:f>
        <x:v>0</x:v>
      </x:c>
      <x:c r="R66" s="45" t="n">
        <x:f>P66-Q66</x:f>
        <x:v>5</x:v>
      </x:c>
      <x:c r="S66" s="30" t="str"/>
      <x:c r="T66" s="49"/>
      <x:c r="U66" s="30" t="str">
        <x:v>SRC-05</x:v>
      </x:c>
      <x:c r="V66" s="30" t="str">
        <x:v>https://attack.mitre.org/techniques/T1071/001/</x:v>
      </x:c>
      <x:c r="W66" s="31" t="str"/>
    </x:row>
    <x:row r="67">
      <x:c r="A67" s="15" t="str">
        <x:v>RBI-066</x:v>
      </x:c>
      <x:c r="B67" s="16" t="str">
        <x:v>Tunneling &amp; Egress</x:v>
      </x:c>
      <x:c r="C67" s="16" t="str">
        <x:v>Domain Fronting</x:v>
      </x:c>
      <x:c r="D67" s="30" t="str">
        <x:v>Correlate destination IP, certificate, SNI or ECH policy context, HTTP authority, DNS and final origin.</x:v>
      </x:c>
      <x:c r="E67" s="30" t="str">
        <x:v>Domain fronting; trusted-service abuse</x:v>
      </x:c>
      <x:c r="F67" s="16" t="str">
        <x:v>Mandatory</x:v>
      </x:c>
      <x:c r="G67" s="16" t="str">
        <x:v>High</x:v>
      </x:c>
      <x:c r="H67" s="30" t="str">
        <x:v>Universal</x:v>
      </x:c>
      <x:c r="I67" s="30" t="str">
        <x:v>Test mismatched authorities and CDN-hosted rare domains.</x:v>
      </x:c>
      <x:c r="J67" s="16" t="str">
        <x:v>Not Assessed</x:v>
      </x:c>
      <x:c r="K67" s="41" t="n">
        <x:f>IF(J67="Implemented",1,IF(J67="Partially Implemented",0.5,IF(J67="Planned",0.25,IF(J67="Not Applicable",1,0))))</x:f>
        <x:v>0</x:v>
      </x:c>
      <x:c r="L67" s="30" t="str"/>
      <x:c r="M67" s="30" t="str"/>
      <x:c r="N67" s="49"/>
      <x:c r="O67" s="30" t="str">
        <x:v>Not Assessed</x:v>
      </x:c>
      <x:c r="P67" s="30" t="n">
        <x:f>IF(G67="Critical",5,IF(G67="High",4,IF(G67="Medium",3,2)))</x:f>
        <x:v>4</x:v>
      </x:c>
      <x:c r="Q67" s="45" t="n">
        <x:f>P67*K67</x:f>
        <x:v>0</x:v>
      </x:c>
      <x:c r="R67" s="45" t="n">
        <x:f>P67-Q67</x:f>
        <x:v>4</x:v>
      </x:c>
      <x:c r="S67" s="30" t="str"/>
      <x:c r="T67" s="49"/>
      <x:c r="U67" s="30" t="str">
        <x:v>SRC-05</x:v>
      </x:c>
      <x:c r="V67" s="30" t="str">
        <x:v>https://attack.mitre.org/techniques/T1071/001/</x:v>
      </x:c>
      <x:c r="W67" s="31" t="str"/>
    </x:row>
    <x:row r="68">
      <x:c r="A68" s="15" t="str">
        <x:v>RBI-067</x:v>
      </x:c>
      <x:c r="B68" s="16" t="str">
        <x:v>Tunneling &amp; Egress</x:v>
      </x:c>
      <x:c r="C68" s="16" t="str">
        <x:v>Special-Use Networks</x:v>
      </x:c>
      <x:c r="D68" s="30" t="str">
        <x:v>Block remote browser access to loopback, link-local, cloud metadata, private and reserved address ranges unless explicitly required.</x:v>
      </x:c>
      <x:c r="E68" s="30" t="str">
        <x:v>SSRF-like access; internal reconnaissance</x:v>
      </x:c>
      <x:c r="F68" s="16" t="str">
        <x:v>Mandatory</x:v>
      </x:c>
      <x:c r="G68" s="16" t="str">
        <x:v>Critical</x:v>
      </x:c>
      <x:c r="H68" s="30" t="str">
        <x:v>Cloud RBI</x:v>
      </x:c>
      <x:c r="I68" s="30" t="str">
        <x:v>Attempt access to private, metadata and link-local addresses.</x:v>
      </x:c>
      <x:c r="J68" s="16" t="str">
        <x:v>Not Assessed</x:v>
      </x:c>
      <x:c r="K68" s="41" t="n">
        <x:f>IF(J68="Implemented",1,IF(J68="Partially Implemented",0.5,IF(J68="Planned",0.25,IF(J68="Not Applicable",1,0))))</x:f>
        <x:v>0</x:v>
      </x:c>
      <x:c r="L68" s="30" t="str"/>
      <x:c r="M68" s="30" t="str"/>
      <x:c r="N68" s="49"/>
      <x:c r="O68" s="30" t="str">
        <x:v>Not Assessed</x:v>
      </x:c>
      <x:c r="P68" s="30" t="n">
        <x:f>IF(G68="Critical",5,IF(G68="High",4,IF(G68="Medium",3,2)))</x:f>
        <x:v>5</x:v>
      </x:c>
      <x:c r="Q68" s="45" t="n">
        <x:f>P68*K68</x:f>
        <x:v>0</x:v>
      </x:c>
      <x:c r="R68" s="45" t="n">
        <x:f>P68-Q68</x:f>
        <x:v>5</x:v>
      </x:c>
      <x:c r="S68" s="30" t="str"/>
      <x:c r="T68" s="49"/>
      <x:c r="U68" s="30" t="str">
        <x:v>SRC-03</x:v>
      </x:c>
      <x:c r="V68" s="30" t="str">
        <x:v>https://attack.mitre.org/mitigations/M1048/</x:v>
      </x:c>
      <x:c r="W68" s="31" t="str"/>
    </x:row>
    <x:row r="69">
      <x:c r="A69" s="15" t="str">
        <x:v>RBI-068</x:v>
      </x:c>
      <x:c r="B69" s="16" t="str">
        <x:v>Tunneling &amp; Egress</x:v>
      </x:c>
      <x:c r="C69" s="16" t="str">
        <x:v>Traffic Analytics</x:v>
      </x:c>
      <x:c r="D69" s="30" t="str">
        <x:v>Detect periodic beaconing, low-and-slow channels, unusual upload-to-download ratios, rare destinations and long-lived sessions.</x:v>
      </x:c>
      <x:c r="E69" s="30" t="str">
        <x:v>Covert C2; slow exfiltration</x:v>
      </x:c>
      <x:c r="F69" s="16" t="str">
        <x:v>Mandatory</x:v>
      </x:c>
      <x:c r="G69" s="16" t="str">
        <x:v>High</x:v>
      </x:c>
      <x:c r="H69" s="30" t="str">
        <x:v>Universal</x:v>
      </x:c>
      <x:c r="I69" s="30" t="str">
        <x:v>Replay representative slow and low communication patterns.</x:v>
      </x:c>
      <x:c r="J69" s="16" t="str">
        <x:v>Not Assessed</x:v>
      </x:c>
      <x:c r="K69" s="41" t="n">
        <x:f>IF(J69="Implemented",1,IF(J69="Partially Implemented",0.5,IF(J69="Planned",0.25,IF(J69="Not Applicable",1,0))))</x:f>
        <x:v>0</x:v>
      </x:c>
      <x:c r="L69" s="30" t="str"/>
      <x:c r="M69" s="30" t="str"/>
      <x:c r="N69" s="49"/>
      <x:c r="O69" s="30" t="str">
        <x:v>Not Assessed</x:v>
      </x:c>
      <x:c r="P69" s="30" t="n">
        <x:f>IF(G69="Critical",5,IF(G69="High",4,IF(G69="Medium",3,2)))</x:f>
        <x:v>4</x:v>
      </x:c>
      <x:c r="Q69" s="45" t="n">
        <x:f>P69*K69</x:f>
        <x:v>0</x:v>
      </x:c>
      <x:c r="R69" s="45" t="n">
        <x:f>P69-Q69</x:f>
        <x:v>4</x:v>
      </x:c>
      <x:c r="S69" s="30" t="str"/>
      <x:c r="T69" s="49"/>
      <x:c r="U69" s="30" t="str">
        <x:v>SRC-05</x:v>
      </x:c>
      <x:c r="V69" s="30" t="str">
        <x:v>https://attack.mitre.org/techniques/T1071/001/</x:v>
      </x:c>
      <x:c r="W69" s="31" t="str"/>
    </x:row>
    <x:row r="70">
      <x:c r="A70" s="15" t="str">
        <x:v>RBI-069</x:v>
      </x:c>
      <x:c r="B70" s="16" t="str">
        <x:v>DNS Security</x:v>
      </x:c>
      <x:c r="C70" s="16" t="str">
        <x:v>Approved Resolvers</x:v>
      </x:c>
      <x:c r="D70" s="30" t="str">
        <x:v>Force RBI and endpoint browsers to use approved enterprise resolvers.</x:v>
      </x:c>
      <x:c r="E70" s="30" t="str">
        <x:v>DNS policy bypass; unlogged resolution</x:v>
      </x:c>
      <x:c r="F70" s="16" t="str">
        <x:v>Mandatory</x:v>
      </x:c>
      <x:c r="G70" s="16" t="str">
        <x:v>Critical</x:v>
      </x:c>
      <x:c r="H70" s="30" t="str">
        <x:v>Universal</x:v>
      </x:c>
      <x:c r="I70" s="30" t="str">
        <x:v>Attempt system, browser and application resolver changes.</x:v>
      </x:c>
      <x:c r="J70" s="16" t="str">
        <x:v>Not Assessed</x:v>
      </x:c>
      <x:c r="K70" s="41" t="n">
        <x:f>IF(J70="Implemented",1,IF(J70="Partially Implemented",0.5,IF(J70="Planned",0.25,IF(J70="Not Applicable",1,0))))</x:f>
        <x:v>0</x:v>
      </x:c>
      <x:c r="L70" s="30" t="str"/>
      <x:c r="M70" s="30" t="str"/>
      <x:c r="N70" s="49"/>
      <x:c r="O70" s="30" t="str">
        <x:v>Not Assessed</x:v>
      </x:c>
      <x:c r="P70" s="30" t="n">
        <x:f>IF(G70="Critical",5,IF(G70="High",4,IF(G70="Medium",3,2)))</x:f>
        <x:v>5</x:v>
      </x:c>
      <x:c r="Q70" s="45" t="n">
        <x:f>P70*K70</x:f>
        <x:v>0</x:v>
      </x:c>
      <x:c r="R70" s="45" t="n">
        <x:f>P70-Q70</x:f>
        <x:v>5</x:v>
      </x:c>
      <x:c r="S70" s="30" t="str"/>
      <x:c r="T70" s="49"/>
      <x:c r="U70" s="30" t="str">
        <x:v>SRC-19</x:v>
      </x:c>
      <x:c r="V70" s="30" t="str">
        <x:v>https://www.rfc-editor.org/rfc/rfc8484.html</x:v>
      </x:c>
      <x:c r="W70" s="31" t="str"/>
    </x:row>
    <x:row r="71">
      <x:c r="A71" s="15" t="str">
        <x:v>RBI-070</x:v>
      </x:c>
      <x:c r="B71" s="16" t="str">
        <x:v>DNS Security</x:v>
      </x:c>
      <x:c r="C71" s="16" t="str">
        <x:v>DoH</x:v>
      </x:c>
      <x:c r="D71" s="30" t="str">
        <x:v>Block unauthorized DNS over HTTPS and disable automatic browser resolver selection.</x:v>
      </x:c>
      <x:c r="E71" s="30" t="str">
        <x:v>Encrypted DNS bypass; DNS tunneling</x:v>
      </x:c>
      <x:c r="F71" s="16" t="str">
        <x:v>Mandatory</x:v>
      </x:c>
      <x:c r="G71" s="16" t="str">
        <x:v>Critical</x:v>
      </x:c>
      <x:c r="H71" s="30" t="str">
        <x:v>Universal</x:v>
      </x:c>
      <x:c r="I71" s="30" t="str">
        <x:v>Attempt known and custom DoH endpoints.</x:v>
      </x:c>
      <x:c r="J71" s="16" t="str">
        <x:v>Not Assessed</x:v>
      </x:c>
      <x:c r="K71" s="41" t="n">
        <x:f>IF(J71="Implemented",1,IF(J71="Partially Implemented",0.5,IF(J71="Planned",0.25,IF(J71="Not Applicable",1,0))))</x:f>
        <x:v>0</x:v>
      </x:c>
      <x:c r="L71" s="30" t="str"/>
      <x:c r="M71" s="30" t="str"/>
      <x:c r="N71" s="49"/>
      <x:c r="O71" s="30" t="str">
        <x:v>Not Assessed</x:v>
      </x:c>
      <x:c r="P71" s="30" t="n">
        <x:f>IF(G71="Critical",5,IF(G71="High",4,IF(G71="Medium",3,2)))</x:f>
        <x:v>5</x:v>
      </x:c>
      <x:c r="Q71" s="45" t="n">
        <x:f>P71*K71</x:f>
        <x:v>0</x:v>
      </x:c>
      <x:c r="R71" s="45" t="n">
        <x:f>P71-Q71</x:f>
        <x:v>5</x:v>
      </x:c>
      <x:c r="S71" s="30" t="str"/>
      <x:c r="T71" s="49"/>
      <x:c r="U71" s="30" t="str">
        <x:v>SRC-19</x:v>
      </x:c>
      <x:c r="V71" s="30" t="str">
        <x:v>https://www.rfc-editor.org/rfc/rfc8484.html</x:v>
      </x:c>
      <x:c r="W71" s="31" t="str"/>
    </x:row>
    <x:row r="72">
      <x:c r="A72" s="15" t="str">
        <x:v>RBI-071</x:v>
      </x:c>
      <x:c r="B72" s="16" t="str">
        <x:v>DNS Security</x:v>
      </x:c>
      <x:c r="C72" s="16" t="str">
        <x:v>DoQ</x:v>
      </x:c>
      <x:c r="D72" s="30" t="str">
        <x:v>Block unauthorized DNS over QUIC and govern UDP-based resolver traffic.</x:v>
      </x:c>
      <x:c r="E72" s="30" t="str">
        <x:v>Encrypted DNS bypass; QUIC tunnel</x:v>
      </x:c>
      <x:c r="F72" s="16" t="str">
        <x:v>Mandatory</x:v>
      </x:c>
      <x:c r="G72" s="16" t="str">
        <x:v>Critical</x:v>
      </x:c>
      <x:c r="H72" s="30" t="str">
        <x:v>Universal</x:v>
      </x:c>
      <x:c r="I72" s="30" t="str">
        <x:v>Attempt DoQ to public and custom resolvers.</x:v>
      </x:c>
      <x:c r="J72" s="16" t="str">
        <x:v>Not Assessed</x:v>
      </x:c>
      <x:c r="K72" s="41" t="n">
        <x:f>IF(J72="Implemented",1,IF(J72="Partially Implemented",0.5,IF(J72="Planned",0.25,IF(J72="Not Applicable",1,0))))</x:f>
        <x:v>0</x:v>
      </x:c>
      <x:c r="L72" s="30" t="str"/>
      <x:c r="M72" s="30" t="str"/>
      <x:c r="N72" s="49"/>
      <x:c r="O72" s="30" t="str">
        <x:v>Not Assessed</x:v>
      </x:c>
      <x:c r="P72" s="30" t="n">
        <x:f>IF(G72="Critical",5,IF(G72="High",4,IF(G72="Medium",3,2)))</x:f>
        <x:v>5</x:v>
      </x:c>
      <x:c r="Q72" s="45" t="n">
        <x:f>P72*K72</x:f>
        <x:v>0</x:v>
      </x:c>
      <x:c r="R72" s="45" t="n">
        <x:f>P72-Q72</x:f>
        <x:v>5</x:v>
      </x:c>
      <x:c r="S72" s="30" t="str"/>
      <x:c r="T72" s="49"/>
      <x:c r="U72" s="30" t="str">
        <x:v>SRC-20</x:v>
      </x:c>
      <x:c r="V72" s="30" t="str">
        <x:v>https://www.rfc-editor.org/rfc/rfc9250.html</x:v>
      </x:c>
      <x:c r="W72" s="31" t="str"/>
    </x:row>
    <x:row r="73">
      <x:c r="A73" s="15" t="str">
        <x:v>RBI-072</x:v>
      </x:c>
      <x:c r="B73" s="16" t="str">
        <x:v>DNS Security</x:v>
      </x:c>
      <x:c r="C73" s="16" t="str">
        <x:v>DNS Tunneling</x:v>
      </x:c>
      <x:c r="D73" s="30" t="str">
        <x:v>Detect long or high-entropy labels, excessive unique subdomains, unusual record types and regular beaconing.</x:v>
      </x:c>
      <x:c r="E73" s="30" t="str">
        <x:v>DNS C2; data exfiltration</x:v>
      </x:c>
      <x:c r="F73" s="16" t="str">
        <x:v>Mandatory</x:v>
      </x:c>
      <x:c r="G73" s="16" t="str">
        <x:v>High</x:v>
      </x:c>
      <x:c r="H73" s="30" t="str">
        <x:v>Universal</x:v>
      </x:c>
      <x:c r="I73" s="30" t="str">
        <x:v>Replay representative DNS tunneling traffic.</x:v>
      </x:c>
      <x:c r="J73" s="16" t="str">
        <x:v>Not Assessed</x:v>
      </x:c>
      <x:c r="K73" s="41" t="n">
        <x:f>IF(J73="Implemented",1,IF(J73="Partially Implemented",0.5,IF(J73="Planned",0.25,IF(J73="Not Applicable",1,0))))</x:f>
        <x:v>0</x:v>
      </x:c>
      <x:c r="L73" s="30" t="str"/>
      <x:c r="M73" s="30" t="str"/>
      <x:c r="N73" s="49"/>
      <x:c r="O73" s="30" t="str">
        <x:v>Not Assessed</x:v>
      </x:c>
      <x:c r="P73" s="30" t="n">
        <x:f>IF(G73="Critical",5,IF(G73="High",4,IF(G73="Medium",3,2)))</x:f>
        <x:v>4</x:v>
      </x:c>
      <x:c r="Q73" s="45" t="n">
        <x:f>P73*K73</x:f>
        <x:v>0</x:v>
      </x:c>
      <x:c r="R73" s="45" t="n">
        <x:f>P73-Q73</x:f>
        <x:v>4</x:v>
      </x:c>
      <x:c r="S73" s="30" t="str"/>
      <x:c r="T73" s="49"/>
      <x:c r="U73" s="30" t="str">
        <x:v>SRC-05</x:v>
      </x:c>
      <x:c r="V73" s="30" t="str">
        <x:v>https://attack.mitre.org/techniques/T1071/001/</x:v>
      </x:c>
      <x:c r="W73" s="31" t="str"/>
    </x:row>
    <x:row r="74">
      <x:c r="A74" s="15" t="str">
        <x:v>RBI-073</x:v>
      </x:c>
      <x:c r="B74" s="16" t="str">
        <x:v>DNS Security</x:v>
      </x:c>
      <x:c r="C74" s="16" t="str">
        <x:v>Split DNS</x:v>
      </x:c>
      <x:c r="D74" s="30" t="str">
        <x:v>Preserve internal and external DNS policy separation and prevent isolated internet sessions from resolving internal-only names.</x:v>
      </x:c>
      <x:c r="E74" s="30" t="str">
        <x:v>Internal discovery; data leakage</x:v>
      </x:c>
      <x:c r="F74" s="16" t="str">
        <x:v>Mandatory</x:v>
      </x:c>
      <x:c r="G74" s="16" t="str">
        <x:v>High</x:v>
      </x:c>
      <x:c r="H74" s="30" t="str">
        <x:v>Hybrid Environments</x:v>
      </x:c>
      <x:c r="I74" s="30" t="str">
        <x:v>Attempt internal-name resolution from internet isolation profiles.</x:v>
      </x:c>
      <x:c r="J74" s="16" t="str">
        <x:v>Not Assessed</x:v>
      </x:c>
      <x:c r="K74" s="41" t="n">
        <x:f>IF(J74="Implemented",1,IF(J74="Partially Implemented",0.5,IF(J74="Planned",0.25,IF(J74="Not Applicable",1,0))))</x:f>
        <x:v>0</x:v>
      </x:c>
      <x:c r="L74" s="30" t="str"/>
      <x:c r="M74" s="30" t="str"/>
      <x:c r="N74" s="49"/>
      <x:c r="O74" s="30" t="str">
        <x:v>Not Assessed</x:v>
      </x:c>
      <x:c r="P74" s="30" t="n">
        <x:f>IF(G74="Critical",5,IF(G74="High",4,IF(G74="Medium",3,2)))</x:f>
        <x:v>4</x:v>
      </x:c>
      <x:c r="Q74" s="45" t="n">
        <x:f>P74*K74</x:f>
        <x:v>0</x:v>
      </x:c>
      <x:c r="R74" s="45" t="n">
        <x:f>P74-Q74</x:f>
        <x:v>4</x:v>
      </x:c>
      <x:c r="S74" s="30" t="str"/>
      <x:c r="T74" s="49"/>
      <x:c r="U74" s="30" t="str">
        <x:v>SRC-02</x:v>
      </x:c>
      <x:c r="V74" s="30" t="str">
        <x:v>https://pages.nist.gov/zero-trust-architecture/VolumeA/ProjectOverview.html</x:v>
      </x:c>
      <x:c r="W74" s="31" t="str"/>
    </x:row>
    <x:row r="75">
      <x:c r="A75" s="15" t="str">
        <x:v>RBI-074</x:v>
      </x:c>
      <x:c r="B75" s="16" t="str">
        <x:v>AI &amp; Agentic Browsing</x:v>
      </x:c>
      <x:c r="C75" s="16" t="str">
        <x:v>AI Application Discovery</x:v>
      </x:c>
      <x:c r="D75" s="30" t="str">
        <x:v>Discover and classify public, enterprise and embedded AI applications accessed through the browser.</x:v>
      </x:c>
      <x:c r="E75" s="30" t="str">
        <x:v>Shadow AI; unsanctioned data processing</x:v>
      </x:c>
      <x:c r="F75" s="16" t="str">
        <x:v>Mandatory</x:v>
      </x:c>
      <x:c r="G75" s="16" t="str">
        <x:v>High</x:v>
      </x:c>
      <x:c r="H75" s="30" t="str">
        <x:v>AI Users</x:v>
      </x:c>
      <x:c r="I75" s="30" t="str">
        <x:v>Review discovered AI services and compare with sanctioned inventory.</x:v>
      </x:c>
      <x:c r="J75" s="16" t="str">
        <x:v>Not Assessed</x:v>
      </x:c>
      <x:c r="K75" s="41" t="n">
        <x:f>IF(J75="Implemented",1,IF(J75="Partially Implemented",0.5,IF(J75="Planned",0.25,IF(J75="Not Applicable",1,0))))</x:f>
        <x:v>0</x:v>
      </x:c>
      <x:c r="L75" s="30" t="str"/>
      <x:c r="M75" s="30" t="str"/>
      <x:c r="N75" s="49"/>
      <x:c r="O75" s="30" t="str">
        <x:v>Not Assessed</x:v>
      </x:c>
      <x:c r="P75" s="30" t="n">
        <x:f>IF(G75="Critical",5,IF(G75="High",4,IF(G75="Medium",3,2)))</x:f>
        <x:v>4</x:v>
      </x:c>
      <x:c r="Q75" s="45" t="n">
        <x:f>P75*K75</x:f>
        <x:v>0</x:v>
      </x:c>
      <x:c r="R75" s="45" t="n">
        <x:f>P75-Q75</x:f>
        <x:v>4</x:v>
      </x:c>
      <x:c r="S75" s="30" t="str"/>
      <x:c r="T75" s="49"/>
      <x:c r="U75" s="30" t="str">
        <x:v>SRC-24</x:v>
      </x:c>
      <x:c r="V75" s="30" t="str">
        <x:v>https://genai.owasp.org/llmrisk/llm01-prompt-injection/</x:v>
      </x:c>
      <x:c r="W75" s="31" t="str"/>
    </x:row>
    <x:row r="76">
      <x:c r="A76" s="15" t="str">
        <x:v>RBI-075</x:v>
      </x:c>
      <x:c r="B76" s="16" t="str">
        <x:v>AI &amp; Agentic Browsing</x:v>
      </x:c>
      <x:c r="C76" s="16" t="str">
        <x:v>Prompt DLP</x:v>
      </x:c>
      <x:c r="D76" s="30" t="str">
        <x:v>Inspect prompts, clipboard operations and uploads for secrets, source code, regulated data and sensitive records.</x:v>
      </x:c>
      <x:c r="E76" s="30" t="str">
        <x:v>Sensitive data disclosure to AI</x:v>
      </x:c>
      <x:c r="F76" s="16" t="str">
        <x:v>Mandatory</x:v>
      </x:c>
      <x:c r="G76" s="16" t="str">
        <x:v>Critical</x:v>
      </x:c>
      <x:c r="H76" s="30" t="str">
        <x:v>AI Users</x:v>
      </x:c>
      <x:c r="I76" s="30" t="str">
        <x:v>Submit controlled test secrets and classified patterns.</x:v>
      </x:c>
      <x:c r="J76" s="16" t="str">
        <x:v>Not Assessed</x:v>
      </x:c>
      <x:c r="K76" s="41" t="n">
        <x:f>IF(J76="Implemented",1,IF(J76="Partially Implemented",0.5,IF(J76="Planned",0.25,IF(J76="Not Applicable",1,0))))</x:f>
        <x:v>0</x:v>
      </x:c>
      <x:c r="L76" s="30" t="str"/>
      <x:c r="M76" s="30" t="str"/>
      <x:c r="N76" s="49"/>
      <x:c r="O76" s="30" t="str">
        <x:v>Not Assessed</x:v>
      </x:c>
      <x:c r="P76" s="30" t="n">
        <x:f>IF(G76="Critical",5,IF(G76="High",4,IF(G76="Medium",3,2)))</x:f>
        <x:v>5</x:v>
      </x:c>
      <x:c r="Q76" s="45" t="n">
        <x:f>P76*K76</x:f>
        <x:v>0</x:v>
      </x:c>
      <x:c r="R76" s="45" t="n">
        <x:f>P76-Q76</x:f>
        <x:v>5</x:v>
      </x:c>
      <x:c r="S76" s="30" t="str"/>
      <x:c r="T76" s="49"/>
      <x:c r="U76" s="30" t="str">
        <x:v>SRC-26</x:v>
      </x:c>
      <x:c r="V76" s="30" t="str">
        <x:v>https://developers.cloudflare.com/cloudflare-one/remote-browser-isolation/isolation-policies/</x:v>
      </x:c>
      <x:c r="W76" s="31" t="str"/>
    </x:row>
    <x:row r="77">
      <x:c r="A77" s="15" t="str">
        <x:v>RBI-076</x:v>
      </x:c>
      <x:c r="B77" s="16" t="str">
        <x:v>AI &amp; Agentic Browsing</x:v>
      </x:c>
      <x:c r="C77" s="16" t="str">
        <x:v>AI Tenant Control</x:v>
      </x:c>
      <x:c r="D77" s="30" t="str">
        <x:v>Restrict AI access to approved enterprise tenants and contractual data-handling configurations.</x:v>
      </x:c>
      <x:c r="E77" s="30" t="str">
        <x:v>Shadow AI; model training on sensitive data</x:v>
      </x:c>
      <x:c r="F77" s="16" t="str">
        <x:v>Mandatory</x:v>
      </x:c>
      <x:c r="G77" s="16" t="str">
        <x:v>Critical</x:v>
      </x:c>
      <x:c r="H77" s="30" t="str">
        <x:v>AI Users</x:v>
      </x:c>
      <x:c r="I77" s="30" t="str">
        <x:v>Attempt personal and unsanctioned tenant access.</x:v>
      </x:c>
      <x:c r="J77" s="16" t="str">
        <x:v>Not Assessed</x:v>
      </x:c>
      <x:c r="K77" s="41" t="n">
        <x:f>IF(J77="Implemented",1,IF(J77="Partially Implemented",0.5,IF(J77="Planned",0.25,IF(J77="Not Applicable",1,0))))</x:f>
        <x:v>0</x:v>
      </x:c>
      <x:c r="L77" s="30" t="str"/>
      <x:c r="M77" s="30" t="str"/>
      <x:c r="N77" s="49"/>
      <x:c r="O77" s="30" t="str">
        <x:v>Not Assessed</x:v>
      </x:c>
      <x:c r="P77" s="30" t="n">
        <x:f>IF(G77="Critical",5,IF(G77="High",4,IF(G77="Medium",3,2)))</x:f>
        <x:v>5</x:v>
      </x:c>
      <x:c r="Q77" s="45" t="n">
        <x:f>P77*K77</x:f>
        <x:v>0</x:v>
      </x:c>
      <x:c r="R77" s="45" t="n">
        <x:f>P77-Q77</x:f>
        <x:v>5</x:v>
      </x:c>
      <x:c r="S77" s="30" t="str"/>
      <x:c r="T77" s="49"/>
      <x:c r="U77" s="30" t="str">
        <x:v>SRC-02</x:v>
      </x:c>
      <x:c r="V77" s="30" t="str">
        <x:v>https://pages.nist.gov/zero-trust-architecture/VolumeA/ProjectOverview.html</x:v>
      </x:c>
      <x:c r="W77" s="31" t="str"/>
    </x:row>
    <x:row r="78">
      <x:c r="A78" s="15" t="str">
        <x:v>RBI-077</x:v>
      </x:c>
      <x:c r="B78" s="16" t="str">
        <x:v>AI &amp; Agentic Browsing</x:v>
      </x:c>
      <x:c r="C78" s="16" t="str">
        <x:v>Indirect Prompt Injection</x:v>
      </x:c>
      <x:c r="D78" s="30" t="str">
        <x:v>Treat all retrieved web content as untrusted data and separate it from system, developer and user instructions.</x:v>
      </x:c>
      <x:c r="E78" s="30" t="str">
        <x:v>Indirect prompt injection; goal hijacking</x:v>
      </x:c>
      <x:c r="F78" s="16" t="str">
        <x:v>Mandatory</x:v>
      </x:c>
      <x:c r="G78" s="16" t="str">
        <x:v>Critical</x:v>
      </x:c>
      <x:c r="H78" s="30" t="str">
        <x:v>AI Agents</x:v>
      </x:c>
      <x:c r="I78" s="30" t="str">
        <x:v>Use visible, hidden, image and document-based prompt-injection tests.</x:v>
      </x:c>
      <x:c r="J78" s="16" t="str">
        <x:v>Not Assessed</x:v>
      </x:c>
      <x:c r="K78" s="41" t="n">
        <x:f>IF(J78="Implemented",1,IF(J78="Partially Implemented",0.5,IF(J78="Planned",0.25,IF(J78="Not Applicable",1,0))))</x:f>
        <x:v>0</x:v>
      </x:c>
      <x:c r="L78" s="30" t="str"/>
      <x:c r="M78" s="30" t="str"/>
      <x:c r="N78" s="49"/>
      <x:c r="O78" s="30" t="str">
        <x:v>Not Assessed</x:v>
      </x:c>
      <x:c r="P78" s="30" t="n">
        <x:f>IF(G78="Critical",5,IF(G78="High",4,IF(G78="Medium",3,2)))</x:f>
        <x:v>5</x:v>
      </x:c>
      <x:c r="Q78" s="45" t="n">
        <x:f>P78*K78</x:f>
        <x:v>0</x:v>
      </x:c>
      <x:c r="R78" s="45" t="n">
        <x:f>P78-Q78</x:f>
        <x:v>5</x:v>
      </x:c>
      <x:c r="S78" s="30" t="str"/>
      <x:c r="T78" s="49"/>
      <x:c r="U78" s="30" t="str">
        <x:v>SRC-24</x:v>
      </x:c>
      <x:c r="V78" s="30" t="str">
        <x:v>https://genai.owasp.org/llmrisk/llm01-prompt-injection/</x:v>
      </x:c>
      <x:c r="W78" s="31" t="str"/>
    </x:row>
    <x:row r="79">
      <x:c r="A79" s="15" t="str">
        <x:v>RBI-078</x:v>
      </x:c>
      <x:c r="B79" s="16" t="str">
        <x:v>AI &amp; Agentic Browsing</x:v>
      </x:c>
      <x:c r="C79" s="16" t="str">
        <x:v>Action Authorization</x:v>
      </x:c>
      <x:c r="D79" s="30" t="str">
        <x:v>Use an external deterministic policy engine before every consequential AI-agent action.</x:v>
      </x:c>
      <x:c r="E79" s="30" t="str">
        <x:v>Excessive agency; unauthorized action</x:v>
      </x:c>
      <x:c r="F79" s="16" t="str">
        <x:v>Mandatory</x:v>
      </x:c>
      <x:c r="G79" s="16" t="str">
        <x:v>Critical</x:v>
      </x:c>
      <x:c r="H79" s="30" t="str">
        <x:v>AI Agents</x:v>
      </x:c>
      <x:c r="I79" s="30" t="str">
        <x:v>Attempt out-of-scope actions and verify policy denial.</x:v>
      </x:c>
      <x:c r="J79" s="16" t="str">
        <x:v>Not Assessed</x:v>
      </x:c>
      <x:c r="K79" s="41" t="n">
        <x:f>IF(J79="Implemented",1,IF(J79="Partially Implemented",0.5,IF(J79="Planned",0.25,IF(J79="Not Applicable",1,0))))</x:f>
        <x:v>0</x:v>
      </x:c>
      <x:c r="L79" s="30" t="str"/>
      <x:c r="M79" s="30" t="str"/>
      <x:c r="N79" s="49"/>
      <x:c r="O79" s="30" t="str">
        <x:v>Not Assessed</x:v>
      </x:c>
      <x:c r="P79" s="30" t="n">
        <x:f>IF(G79="Critical",5,IF(G79="High",4,IF(G79="Medium",3,2)))</x:f>
        <x:v>5</x:v>
      </x:c>
      <x:c r="Q79" s="45" t="n">
        <x:f>P79*K79</x:f>
        <x:v>0</x:v>
      </x:c>
      <x:c r="R79" s="45" t="n">
        <x:f>P79-Q79</x:f>
        <x:v>5</x:v>
      </x:c>
      <x:c r="S79" s="30" t="str">
        <x:v>Use OPA or an equivalent external policy decision point.</x:v>
      </x:c>
      <x:c r="T79" s="49"/>
      <x:c r="U79" s="30" t="str">
        <x:v>SRC-24</x:v>
      </x:c>
      <x:c r="V79" s="30" t="str">
        <x:v>https://genai.owasp.org/llmrisk/llm01-prompt-injection/</x:v>
      </x:c>
      <x:c r="W79" s="31" t="str"/>
    </x:row>
    <x:row r="80">
      <x:c r="A80" s="15" t="str">
        <x:v>RBI-079</x:v>
      </x:c>
      <x:c r="B80" s="16" t="str">
        <x:v>AI &amp; Agentic Browsing</x:v>
      </x:c>
      <x:c r="C80" s="16" t="str">
        <x:v>Human Approval</x:v>
      </x:c>
      <x:c r="D80" s="30" t="str">
        <x:v>Require human approval for payments, credential use, code execution, account changes and external communications.</x:v>
      </x:c>
      <x:c r="E80" s="30" t="str">
        <x:v>Agent misuse; business-process compromise</x:v>
      </x:c>
      <x:c r="F80" s="16" t="str">
        <x:v>Mandatory</x:v>
      </x:c>
      <x:c r="G80" s="16" t="str">
        <x:v>Critical</x:v>
      </x:c>
      <x:c r="H80" s="30" t="str">
        <x:v>AI Agents</x:v>
      </x:c>
      <x:c r="I80" s="30" t="str">
        <x:v>Test each high-impact action with and without approval.</x:v>
      </x:c>
      <x:c r="J80" s="16" t="str">
        <x:v>Not Assessed</x:v>
      </x:c>
      <x:c r="K80" s="41" t="n">
        <x:f>IF(J80="Implemented",1,IF(J80="Partially Implemented",0.5,IF(J80="Planned",0.25,IF(J80="Not Applicable",1,0))))</x:f>
        <x:v>0</x:v>
      </x:c>
      <x:c r="L80" s="30" t="str"/>
      <x:c r="M80" s="30" t="str"/>
      <x:c r="N80" s="49"/>
      <x:c r="O80" s="30" t="str">
        <x:v>Not Assessed</x:v>
      </x:c>
      <x:c r="P80" s="30" t="n">
        <x:f>IF(G80="Critical",5,IF(G80="High",4,IF(G80="Medium",3,2)))</x:f>
        <x:v>5</x:v>
      </x:c>
      <x:c r="Q80" s="45" t="n">
        <x:f>P80*K80</x:f>
        <x:v>0</x:v>
      </x:c>
      <x:c r="R80" s="45" t="n">
        <x:f>P80-Q80</x:f>
        <x:v>5</x:v>
      </x:c>
      <x:c r="S80" s="30" t="str"/>
      <x:c r="T80" s="49"/>
      <x:c r="U80" s="30" t="str">
        <x:v>SRC-24</x:v>
      </x:c>
      <x:c r="V80" s="30" t="str">
        <x:v>https://genai.owasp.org/llmrisk/llm01-prompt-injection/</x:v>
      </x:c>
      <x:c r="W80" s="31" t="str"/>
    </x:row>
    <x:row r="81">
      <x:c r="A81" s="15" t="str">
        <x:v>RBI-080</x:v>
      </x:c>
      <x:c r="B81" s="16" t="str">
        <x:v>AI &amp; Agentic Browsing</x:v>
      </x:c>
      <x:c r="C81" s="16" t="str">
        <x:v>Task Isolation</x:v>
      </x:c>
      <x:c r="D81" s="30" t="str">
        <x:v>Create a separate ephemeral browser session, identity and credential scope for each agent task.</x:v>
      </x:c>
      <x:c r="E81" s="30" t="str">
        <x:v>Cross-task leakage; persistent compromise</x:v>
      </x:c>
      <x:c r="F81" s="16" t="str">
        <x:v>Mandatory</x:v>
      </x:c>
      <x:c r="G81" s="16" t="str">
        <x:v>High</x:v>
      </x:c>
      <x:c r="H81" s="30" t="str">
        <x:v>AI Agents</x:v>
      </x:c>
      <x:c r="I81" s="30" t="str">
        <x:v>Test cross-task cookies, files, memory and authorization.</x:v>
      </x:c>
      <x:c r="J81" s="16" t="str">
        <x:v>Not Assessed</x:v>
      </x:c>
      <x:c r="K81" s="41" t="n">
        <x:f>IF(J81="Implemented",1,IF(J81="Partially Implemented",0.5,IF(J81="Planned",0.25,IF(J81="Not Applicable",1,0))))</x:f>
        <x:v>0</x:v>
      </x:c>
      <x:c r="L81" s="30" t="str"/>
      <x:c r="M81" s="30" t="str"/>
      <x:c r="N81" s="49"/>
      <x:c r="O81" s="30" t="str">
        <x:v>Not Assessed</x:v>
      </x:c>
      <x:c r="P81" s="30" t="n">
        <x:f>IF(G81="Critical",5,IF(G81="High",4,IF(G81="Medium",3,2)))</x:f>
        <x:v>4</x:v>
      </x:c>
      <x:c r="Q81" s="45" t="n">
        <x:f>P81*K81</x:f>
        <x:v>0</x:v>
      </x:c>
      <x:c r="R81" s="45" t="n">
        <x:f>P81-Q81</x:f>
        <x:v>4</x:v>
      </x:c>
      <x:c r="S81" s="30" t="str"/>
      <x:c r="T81" s="49"/>
      <x:c r="U81" s="30" t="str">
        <x:v>SRC-24</x:v>
      </x:c>
      <x:c r="V81" s="30" t="str">
        <x:v>https://genai.owasp.org/llmrisk/llm01-prompt-injection/</x:v>
      </x:c>
      <x:c r="W81" s="31" t="str"/>
    </x:row>
    <x:row r="82">
      <x:c r="A82" s="15" t="str">
        <x:v>RBI-081</x:v>
      </x:c>
      <x:c r="B82" s="16" t="str">
        <x:v>AI &amp; Agentic Browsing</x:v>
      </x:c>
      <x:c r="C82" s="16" t="str">
        <x:v>Agent Limits</x:v>
      </x:c>
      <x:c r="D82" s="30" t="str">
        <x:v>Enforce domain, tool, action, cost, duration and request-count limits for browser agents.</x:v>
      </x:c>
      <x:c r="E82" s="30" t="str">
        <x:v>Runaway agent; resource abuse; unauthorized exploration</x:v>
      </x:c>
      <x:c r="F82" s="16" t="str">
        <x:v>Mandatory</x:v>
      </x:c>
      <x:c r="G82" s="16" t="str">
        <x:v>High</x:v>
      </x:c>
      <x:c r="H82" s="30" t="str">
        <x:v>AI Agents</x:v>
      </x:c>
      <x:c r="I82" s="30" t="str">
        <x:v>Attempt to exceed every configured limit.</x:v>
      </x:c>
      <x:c r="J82" s="16" t="str">
        <x:v>Not Assessed</x:v>
      </x:c>
      <x:c r="K82" s="41" t="n">
        <x:f>IF(J82="Implemented",1,IF(J82="Partially Implemented",0.5,IF(J82="Planned",0.25,IF(J82="Not Applicable",1,0))))</x:f>
        <x:v>0</x:v>
      </x:c>
      <x:c r="L82" s="30" t="str"/>
      <x:c r="M82" s="30" t="str"/>
      <x:c r="N82" s="49"/>
      <x:c r="O82" s="30" t="str">
        <x:v>Not Assessed</x:v>
      </x:c>
      <x:c r="P82" s="30" t="n">
        <x:f>IF(G82="Critical",5,IF(G82="High",4,IF(G82="Medium",3,2)))</x:f>
        <x:v>4</x:v>
      </x:c>
      <x:c r="Q82" s="45" t="n">
        <x:f>P82*K82</x:f>
        <x:v>0</x:v>
      </x:c>
      <x:c r="R82" s="45" t="n">
        <x:f>P82-Q82</x:f>
        <x:v>4</x:v>
      </x:c>
      <x:c r="S82" s="30" t="str"/>
      <x:c r="T82" s="49"/>
      <x:c r="U82" s="30" t="str">
        <x:v>SRC-24</x:v>
      </x:c>
      <x:c r="V82" s="30" t="str">
        <x:v>https://genai.owasp.org/llmrisk/llm01-prompt-injection/</x:v>
      </x:c>
      <x:c r="W82" s="31" t="str"/>
    </x:row>
    <x:row r="83">
      <x:c r="A83" s="15" t="str">
        <x:v>RBI-082</x:v>
      </x:c>
      <x:c r="B83" s="16" t="str">
        <x:v>AI &amp; Agentic Browsing</x:v>
      </x:c>
      <x:c r="C83" s="16" t="str">
        <x:v>Agent Audit</x:v>
      </x:c>
      <x:c r="D83" s="30" t="str">
        <x:v>Record prompts, retrieved content, policy decisions, tool calls, browser actions and approvals with trace identifiers.</x:v>
      </x:c>
      <x:c r="E83" s="30" t="str">
        <x:v>Unexplained agent behavior; non-repudiation gaps</x:v>
      </x:c>
      <x:c r="F83" s="16" t="str">
        <x:v>Mandatory</x:v>
      </x:c>
      <x:c r="G83" s="16" t="str">
        <x:v>High</x:v>
      </x:c>
      <x:c r="H83" s="30" t="str">
        <x:v>AI Agents</x:v>
      </x:c>
      <x:c r="I83" s="30" t="str">
        <x:v>Reconstruct a complete agent transaction from logs.</x:v>
      </x:c>
      <x:c r="J83" s="16" t="str">
        <x:v>Not Assessed</x:v>
      </x:c>
      <x:c r="K83" s="41" t="n">
        <x:f>IF(J83="Implemented",1,IF(J83="Partially Implemented",0.5,IF(J83="Planned",0.25,IF(J83="Not Applicable",1,0))))</x:f>
        <x:v>0</x:v>
      </x:c>
      <x:c r="L83" s="30" t="str"/>
      <x:c r="M83" s="30" t="str"/>
      <x:c r="N83" s="49"/>
      <x:c r="O83" s="30" t="str">
        <x:v>Not Assessed</x:v>
      </x:c>
      <x:c r="P83" s="30" t="n">
        <x:f>IF(G83="Critical",5,IF(G83="High",4,IF(G83="Medium",3,2)))</x:f>
        <x:v>4</x:v>
      </x:c>
      <x:c r="Q83" s="45" t="n">
        <x:f>P83*K83</x:f>
        <x:v>0</x:v>
      </x:c>
      <x:c r="R83" s="45" t="n">
        <x:f>P83-Q83</x:f>
        <x:v>4</x:v>
      </x:c>
      <x:c r="S83" s="30" t="str"/>
      <x:c r="T83" s="49"/>
      <x:c r="U83" s="30" t="str">
        <x:v>SRC-24</x:v>
      </x:c>
      <x:c r="V83" s="30" t="str">
        <x:v>https://genai.owasp.org/llmrisk/llm01-prompt-injection/</x:v>
      </x:c>
      <x:c r="W83" s="31" t="str"/>
    </x:row>
    <x:row r="84">
      <x:c r="A84" s="15" t="str">
        <x:v>RBI-083</x:v>
      </x:c>
      <x:c r="B84" s="16" t="str">
        <x:v>Web3 Protection</x:v>
      </x:c>
      <x:c r="C84" s="16" t="str">
        <x:v>dApp Isolation</x:v>
      </x:c>
      <x:c r="D84" s="30" t="str">
        <x:v>Execute decentralized application frontends and associated scripts exclusively in the remote browser.</x:v>
      </x:c>
      <x:c r="E84" s="30" t="str">
        <x:v>Malicious dApp JavaScript; browser exploit</x:v>
      </x:c>
      <x:c r="F84" s="16" t="str">
        <x:v>Mandatory</x:v>
      </x:c>
      <x:c r="G84" s="16" t="str">
        <x:v>High</x:v>
      </x:c>
      <x:c r="H84" s="30" t="str">
        <x:v>Web3 Users</x:v>
      </x:c>
      <x:c r="I84" s="30" t="str">
        <x:v>Test approved and malicious dApp frontends.</x:v>
      </x:c>
      <x:c r="J84" s="16" t="str">
        <x:v>Not Assessed</x:v>
      </x:c>
      <x:c r="K84" s="41" t="n">
        <x:f>IF(J84="Implemented",1,IF(J84="Partially Implemented",0.5,IF(J84="Planned",0.25,IF(J84="Not Applicable",1,0))))</x:f>
        <x:v>0</x:v>
      </x:c>
      <x:c r="L84" s="30" t="str"/>
      <x:c r="M84" s="30" t="str"/>
      <x:c r="N84" s="49"/>
      <x:c r="O84" s="30" t="str">
        <x:v>Not Assessed</x:v>
      </x:c>
      <x:c r="P84" s="30" t="n">
        <x:f>IF(G84="Critical",5,IF(G84="High",4,IF(G84="Medium",3,2)))</x:f>
        <x:v>4</x:v>
      </x:c>
      <x:c r="Q84" s="45" t="n">
        <x:f>P84*K84</x:f>
        <x:v>0</x:v>
      </x:c>
      <x:c r="R84" s="45" t="n">
        <x:f>P84-Q84</x:f>
        <x:v>4</x:v>
      </x:c>
      <x:c r="S84" s="30" t="str"/>
      <x:c r="T84" s="49"/>
      <x:c r="U84" s="30" t="str">
        <x:v>SRC-25</x:v>
      </x:c>
      <x:c r="V84" s="30" t="str">
        <x:v>https://owasp.org/www-project-web3-wallet-security/</x:v>
      </x:c>
      <x:c r="W84" s="31" t="str"/>
    </x:row>
    <x:row r="85">
      <x:c r="A85" s="15" t="str">
        <x:v>RBI-084</x:v>
      </x:c>
      <x:c r="B85" s="16" t="str">
        <x:v>Web3 Protection</x:v>
      </x:c>
      <x:c r="C85" s="16" t="str">
        <x:v>Seed Phrases and Keys</x:v>
      </x:c>
      <x:c r="D85" s="30" t="str">
        <x:v>Prohibit entry, upload or storage of seed phrases and private keys in RBI sessions.</x:v>
      </x:c>
      <x:c r="E85" s="30" t="str">
        <x:v>Wallet theft; credential exfiltration</x:v>
      </x:c>
      <x:c r="F85" s="16" t="str">
        <x:v>Mandatory</x:v>
      </x:c>
      <x:c r="G85" s="16" t="str">
        <x:v>Critical</x:v>
      </x:c>
      <x:c r="H85" s="30" t="str">
        <x:v>Web3 Users</x:v>
      </x:c>
      <x:c r="I85" s="30" t="str">
        <x:v>Test DLP detection and user-policy enforcement.</x:v>
      </x:c>
      <x:c r="J85" s="16" t="str">
        <x:v>Not Assessed</x:v>
      </x:c>
      <x:c r="K85" s="41" t="n">
        <x:f>IF(J85="Implemented",1,IF(J85="Partially Implemented",0.5,IF(J85="Planned",0.25,IF(J85="Not Applicable",1,0))))</x:f>
        <x:v>0</x:v>
      </x:c>
      <x:c r="L85" s="30" t="str"/>
      <x:c r="M85" s="30" t="str"/>
      <x:c r="N85" s="49"/>
      <x:c r="O85" s="30" t="str">
        <x:v>Not Assessed</x:v>
      </x:c>
      <x:c r="P85" s="30" t="n">
        <x:f>IF(G85="Critical",5,IF(G85="High",4,IF(G85="Medium",3,2)))</x:f>
        <x:v>5</x:v>
      </x:c>
      <x:c r="Q85" s="45" t="n">
        <x:f>P85*K85</x:f>
        <x:v>0</x:v>
      </x:c>
      <x:c r="R85" s="45" t="n">
        <x:f>P85-Q85</x:f>
        <x:v>5</x:v>
      </x:c>
      <x:c r="S85" s="30" t="str"/>
      <x:c r="T85" s="49"/>
      <x:c r="U85" s="30" t="str">
        <x:v>SRC-25</x:v>
      </x:c>
      <x:c r="V85" s="30" t="str">
        <x:v>https://owasp.org/www-project-web3-wallet-security/</x:v>
      </x:c>
      <x:c r="W85" s="31" t="str"/>
    </x:row>
    <x:row r="86">
      <x:c r="A86" s="15" t="str">
        <x:v>RBI-085</x:v>
      </x:c>
      <x:c r="B86" s="16" t="str">
        <x:v>Web3 Protection</x:v>
      </x:c>
      <x:c r="C86" s="16" t="str">
        <x:v>Trusted Signing</x:v>
      </x:c>
      <x:c r="D86" s="30" t="str">
        <x:v>Keep transaction signing in a separate trusted hardware wallet or institutional custody service.</x:v>
      </x:c>
      <x:c r="E86" s="30" t="str">
        <x:v>Wallet drainer; key theft</x:v>
      </x:c>
      <x:c r="F86" s="16" t="str">
        <x:v>Mandatory</x:v>
      </x:c>
      <x:c r="G86" s="16" t="str">
        <x:v>Critical</x:v>
      </x:c>
      <x:c r="H86" s="30" t="str">
        <x:v>Web3 Users</x:v>
      </x:c>
      <x:c r="I86" s="30" t="str">
        <x:v>Verify that keys never enter the remote browser.</x:v>
      </x:c>
      <x:c r="J86" s="16" t="str">
        <x:v>Not Assessed</x:v>
      </x:c>
      <x:c r="K86" s="41" t="n">
        <x:f>IF(J86="Implemented",1,IF(J86="Partially Implemented",0.5,IF(J86="Planned",0.25,IF(J86="Not Applicable",1,0))))</x:f>
        <x:v>0</x:v>
      </x:c>
      <x:c r="L86" s="30" t="str"/>
      <x:c r="M86" s="30" t="str"/>
      <x:c r="N86" s="49"/>
      <x:c r="O86" s="30" t="str">
        <x:v>Not Assessed</x:v>
      </x:c>
      <x:c r="P86" s="30" t="n">
        <x:f>IF(G86="Critical",5,IF(G86="High",4,IF(G86="Medium",3,2)))</x:f>
        <x:v>5</x:v>
      </x:c>
      <x:c r="Q86" s="45" t="n">
        <x:f>P86*K86</x:f>
        <x:v>0</x:v>
      </x:c>
      <x:c r="R86" s="45" t="n">
        <x:f>P86-Q86</x:f>
        <x:v>5</x:v>
      </x:c>
      <x:c r="S86" s="30" t="str"/>
      <x:c r="T86" s="49"/>
      <x:c r="U86" s="30" t="str">
        <x:v>SRC-25</x:v>
      </x:c>
      <x:c r="V86" s="30" t="str">
        <x:v>https://owasp.org/www-project-web3-wallet-security/</x:v>
      </x:c>
      <x:c r="W86" s="31" t="str"/>
    </x:row>
    <x:row r="87">
      <x:c r="A87" s="15" t="str">
        <x:v>RBI-086</x:v>
      </x:c>
      <x:c r="B87" s="16" t="str">
        <x:v>Web3 Protection</x:v>
      </x:c>
      <x:c r="C87" s="16" t="str">
        <x:v>Transaction Simulation</x:v>
      </x:c>
      <x:c r="D87" s="30" t="str">
        <x:v>Decode and simulate contract calls and present human-readable effects before approval.</x:v>
      </x:c>
      <x:c r="E87" s="30" t="str">
        <x:v>Malicious contracts; blind signing</x:v>
      </x:c>
      <x:c r="F87" s="16" t="str">
        <x:v>Mandatory</x:v>
      </x:c>
      <x:c r="G87" s="16" t="str">
        <x:v>Critical</x:v>
      </x:c>
      <x:c r="H87" s="30" t="str">
        <x:v>Web3 Users</x:v>
      </x:c>
      <x:c r="I87" s="30" t="str">
        <x:v>Test known malicious approval and transfer patterns.</x:v>
      </x:c>
      <x:c r="J87" s="16" t="str">
        <x:v>Not Assessed</x:v>
      </x:c>
      <x:c r="K87" s="41" t="n">
        <x:f>IF(J87="Implemented",1,IF(J87="Partially Implemented",0.5,IF(J87="Planned",0.25,IF(J87="Not Applicable",1,0))))</x:f>
        <x:v>0</x:v>
      </x:c>
      <x:c r="L87" s="30" t="str"/>
      <x:c r="M87" s="30" t="str"/>
      <x:c r="N87" s="49"/>
      <x:c r="O87" s="30" t="str">
        <x:v>Not Assessed</x:v>
      </x:c>
      <x:c r="P87" s="30" t="n">
        <x:f>IF(G87="Critical",5,IF(G87="High",4,IF(G87="Medium",3,2)))</x:f>
        <x:v>5</x:v>
      </x:c>
      <x:c r="Q87" s="45" t="n">
        <x:f>P87*K87</x:f>
        <x:v>0</x:v>
      </x:c>
      <x:c r="R87" s="45" t="n">
        <x:f>P87-Q87</x:f>
        <x:v>5</x:v>
      </x:c>
      <x:c r="S87" s="30" t="str"/>
      <x:c r="T87" s="49"/>
      <x:c r="U87" s="30" t="str">
        <x:v>SRC-25</x:v>
      </x:c>
      <x:c r="V87" s="30" t="str">
        <x:v>https://owasp.org/www-project-web3-wallet-security/</x:v>
      </x:c>
      <x:c r="W87" s="31" t="str"/>
    </x:row>
    <x:row r="88">
      <x:c r="A88" s="15" t="str">
        <x:v>RBI-087</x:v>
      </x:c>
      <x:c r="B88" s="16" t="str">
        <x:v>Web3 Protection</x:v>
      </x:c>
      <x:c r="C88" s="16" t="str">
        <x:v>Transaction Policy</x:v>
      </x:c>
      <x:c r="D88" s="30" t="str">
        <x:v>Enforce destination, contract, token, value, gas and approval-limit policies outside the browser.</x:v>
      </x:c>
      <x:c r="E88" s="30" t="str">
        <x:v>Unauthorized asset transfer; unlimited approval</x:v>
      </x:c>
      <x:c r="F88" s="16" t="str">
        <x:v>Mandatory</x:v>
      </x:c>
      <x:c r="G88" s="16" t="str">
        <x:v>Critical</x:v>
      </x:c>
      <x:c r="H88" s="30" t="str">
        <x:v>Web3 Users</x:v>
      </x:c>
      <x:c r="I88" s="30" t="str">
        <x:v>Attempt out-of-policy transactions.</x:v>
      </x:c>
      <x:c r="J88" s="16" t="str">
        <x:v>Not Assessed</x:v>
      </x:c>
      <x:c r="K88" s="41" t="n">
        <x:f>IF(J88="Implemented",1,IF(J88="Partially Implemented",0.5,IF(J88="Planned",0.25,IF(J88="Not Applicable",1,0))))</x:f>
        <x:v>0</x:v>
      </x:c>
      <x:c r="L88" s="30" t="str"/>
      <x:c r="M88" s="30" t="str"/>
      <x:c r="N88" s="49"/>
      <x:c r="O88" s="30" t="str">
        <x:v>Not Assessed</x:v>
      </x:c>
      <x:c r="P88" s="30" t="n">
        <x:f>IF(G88="Critical",5,IF(G88="High",4,IF(G88="Medium",3,2)))</x:f>
        <x:v>5</x:v>
      </x:c>
      <x:c r="Q88" s="45" t="n">
        <x:f>P88*K88</x:f>
        <x:v>0</x:v>
      </x:c>
      <x:c r="R88" s="45" t="n">
        <x:f>P88-Q88</x:f>
        <x:v>5</x:v>
      </x:c>
      <x:c r="S88" s="30" t="str"/>
      <x:c r="T88" s="49"/>
      <x:c r="U88" s="30" t="str">
        <x:v>SRC-25</x:v>
      </x:c>
      <x:c r="V88" s="30" t="str">
        <x:v>https://owasp.org/www-project-web3-wallet-security/</x:v>
      </x:c>
      <x:c r="W88" s="31" t="str"/>
    </x:row>
    <x:row r="89">
      <x:c r="A89" s="15" t="str">
        <x:v>RBI-088</x:v>
      </x:c>
      <x:c r="B89" s="16" t="str">
        <x:v>Web3 Protection</x:v>
      </x:c>
      <x:c r="C89" s="16" t="str">
        <x:v>Dual Authorization</x:v>
      </x:c>
      <x:c r="D89" s="30" t="str">
        <x:v>Require dual approval for high-value or privileged blockchain transactions.</x:v>
      </x:c>
      <x:c r="E89" s="30" t="str">
        <x:v>Insider misuse; compromised operator</x:v>
      </x:c>
      <x:c r="F89" s="16" t="str">
        <x:v>Recommended</x:v>
      </x:c>
      <x:c r="G89" s="16" t="str">
        <x:v>High</x:v>
      </x:c>
      <x:c r="H89" s="30" t="str">
        <x:v>Institutional Web3</x:v>
      </x:c>
      <x:c r="I89" s="30" t="str">
        <x:v>Test approval separation and emergency revocation.</x:v>
      </x:c>
      <x:c r="J89" s="16" t="str">
        <x:v>Not Assessed</x:v>
      </x:c>
      <x:c r="K89" s="41" t="n">
        <x:f>IF(J89="Implemented",1,IF(J89="Partially Implemented",0.5,IF(J89="Planned",0.25,IF(J89="Not Applicable",1,0))))</x:f>
        <x:v>0</x:v>
      </x:c>
      <x:c r="L89" s="30" t="str"/>
      <x:c r="M89" s="30" t="str"/>
      <x:c r="N89" s="49"/>
      <x:c r="O89" s="30" t="str">
        <x:v>Not Assessed</x:v>
      </x:c>
      <x:c r="P89" s="30" t="n">
        <x:f>IF(G89="Critical",5,IF(G89="High",4,IF(G89="Medium",3,2)))</x:f>
        <x:v>4</x:v>
      </x:c>
      <x:c r="Q89" s="45" t="n">
        <x:f>P89*K89</x:f>
        <x:v>0</x:v>
      </x:c>
      <x:c r="R89" s="45" t="n">
        <x:f>P89-Q89</x:f>
        <x:v>4</x:v>
      </x:c>
      <x:c r="S89" s="30" t="str"/>
      <x:c r="T89" s="49"/>
      <x:c r="U89" s="30" t="str">
        <x:v>SRC-25</x:v>
      </x:c>
      <x:c r="V89" s="30" t="str">
        <x:v>https://owasp.org/www-project-web3-wallet-security/</x:v>
      </x:c>
      <x:c r="W89" s="31" t="str"/>
    </x:row>
    <x:row r="90">
      <x:c r="A90" s="15" t="str">
        <x:v>RBI-089</x:v>
      </x:c>
      <x:c r="B90" s="16" t="str">
        <x:v>Extensions &amp; Plugins</x:v>
      </x:c>
      <x:c r="C90" s="16" t="str">
        <x:v>Default Deny</x:v>
      </x:c>
      <x:c r="D90" s="30" t="str">
        <x:v>Block installation of all browser extensions, plug-ins, user scripts and add-ons except explicitly approved items.</x:v>
      </x:c>
      <x:c r="E90" s="30" t="str">
        <x:v>Malicious extension; persistence; data theft</x:v>
      </x:c>
      <x:c r="F90" s="16" t="str">
        <x:v>Mandatory</x:v>
      </x:c>
      <x:c r="G90" s="16" t="str">
        <x:v>Critical</x:v>
      </x:c>
      <x:c r="H90" s="30" t="str">
        <x:v>Universal</x:v>
      </x:c>
      <x:c r="I90" s="30" t="str">
        <x:v>Set wildcard block policy and verify only allowlisted extensions install.</x:v>
      </x:c>
      <x:c r="J90" s="16" t="str">
        <x:v>Not Assessed</x:v>
      </x:c>
      <x:c r="K90" s="41" t="n">
        <x:f>IF(J90="Implemented",1,IF(J90="Partially Implemented",0.5,IF(J90="Planned",0.25,IF(J90="Not Applicable",1,0))))</x:f>
        <x:v>0</x:v>
      </x:c>
      <x:c r="L90" s="30" t="str"/>
      <x:c r="M90" s="30" t="str"/>
      <x:c r="N90" s="49"/>
      <x:c r="O90" s="30" t="str">
        <x:v>Not Assessed</x:v>
      </x:c>
      <x:c r="P90" s="30" t="n">
        <x:f>IF(G90="Critical",5,IF(G90="High",4,IF(G90="Medium",3,2)))</x:f>
        <x:v>5</x:v>
      </x:c>
      <x:c r="Q90" s="45" t="n">
        <x:f>P90*K90</x:f>
        <x:v>0</x:v>
      </x:c>
      <x:c r="R90" s="45" t="n">
        <x:f>P90-Q90</x:f>
        <x:v>5</x:v>
      </x:c>
      <x:c r="S90" s="30" t="str"/>
      <x:c r="T90" s="49"/>
      <x:c r="U90" s="30" t="str">
        <x:v>SRC-31</x:v>
      </x:c>
      <x:c r="V90" s="30" t="str">
        <x:v>https://chromeenterprise.google/policies/extension-install-blocklist/</x:v>
      </x:c>
      <x:c r="W90" s="31" t="str"/>
    </x:row>
    <x:row r="91">
      <x:c r="A91" s="15" t="str">
        <x:v>RBI-090</x:v>
      </x:c>
      <x:c r="B91" s="16" t="str">
        <x:v>Extensions &amp; Plugins</x:v>
      </x:c>
      <x:c r="C91" s="16" t="str">
        <x:v>Central Inventory</x:v>
      </x:c>
      <x:c r="D91" s="30" t="str">
        <x:v>Maintain a continuously updated inventory of extension ID, name, version, source, permissions, host access, owner and installation mode.</x:v>
      </x:c>
      <x:c r="E91" s="30" t="str">
        <x:v>Unknown extension; unmanaged plug-in</x:v>
      </x:c>
      <x:c r="F91" s="16" t="str">
        <x:v>Mandatory</x:v>
      </x:c>
      <x:c r="G91" s="16" t="str">
        <x:v>Critical</x:v>
      </x:c>
      <x:c r="H91" s="30" t="str">
        <x:v>Universal</x:v>
      </x:c>
      <x:c r="I91" s="30" t="str">
        <x:v>Compare browser telemetry, endpoint files and management-console inventory.</x:v>
      </x:c>
      <x:c r="J91" s="16" t="str">
        <x:v>Not Assessed</x:v>
      </x:c>
      <x:c r="K91" s="41" t="n">
        <x:f>IF(J91="Implemented",1,IF(J91="Partially Implemented",0.5,IF(J91="Planned",0.25,IF(J91="Not Applicable",1,0))))</x:f>
        <x:v>0</x:v>
      </x:c>
      <x:c r="L91" s="30" t="str"/>
      <x:c r="M91" s="30" t="str"/>
      <x:c r="N91" s="49"/>
      <x:c r="O91" s="30" t="str">
        <x:v>Not Assessed</x:v>
      </x:c>
      <x:c r="P91" s="30" t="n">
        <x:f>IF(G91="Critical",5,IF(G91="High",4,IF(G91="Medium",3,2)))</x:f>
        <x:v>5</x:v>
      </x:c>
      <x:c r="Q91" s="45" t="n">
        <x:f>P91*K91</x:f>
        <x:v>0</x:v>
      </x:c>
      <x:c r="R91" s="45" t="n">
        <x:f>P91-Q91</x:f>
        <x:v>5</x:v>
      </x:c>
      <x:c r="S91" s="30" t="str"/>
      <x:c r="T91" s="49"/>
      <x:c r="U91" s="30" t="str">
        <x:v>SRC-09</x:v>
      </x:c>
      <x:c r="V91" s="30" t="str">
        <x:v>https://attack.mitre.org/detectionstrategies/DET0044/</x:v>
      </x:c>
      <x:c r="W91" s="31" t="str"/>
    </x:row>
    <x:row r="92">
      <x:c r="A92" s="15" t="str">
        <x:v>RBI-091</x:v>
      </x:c>
      <x:c r="B92" s="16" t="str">
        <x:v>Extensions &amp; Plugins</x:v>
      </x:c>
      <x:c r="C92" s="16" t="str">
        <x:v>Local vs Remote Separation</x:v>
      </x:c>
      <x:c r="D92" s="30" t="str">
        <x:v>Document which extensions run locally and which run inside the remote browser and prevent local extensions from accessing isolated content.</x:v>
      </x:c>
      <x:c r="E92" s="30" t="str">
        <x:v>Isolation bypass; local data collection</x:v>
      </x:c>
      <x:c r="F92" s="16" t="str">
        <x:v>Mandatory</x:v>
      </x:c>
      <x:c r="G92" s="16" t="str">
        <x:v>Critical</x:v>
      </x:c>
      <x:c r="H92" s="30" t="str">
        <x:v>Universal</x:v>
      </x:c>
      <x:c r="I92" s="30" t="str">
        <x:v>Test content-script, cookie, clipboard and DOM access from local extensions.</x:v>
      </x:c>
      <x:c r="J92" s="16" t="str">
        <x:v>Not Assessed</x:v>
      </x:c>
      <x:c r="K92" s="41" t="n">
        <x:f>IF(J92="Implemented",1,IF(J92="Partially Implemented",0.5,IF(J92="Planned",0.25,IF(J92="Not Applicable",1,0))))</x:f>
        <x:v>0</x:v>
      </x:c>
      <x:c r="L92" s="30" t="str"/>
      <x:c r="M92" s="30" t="str"/>
      <x:c r="N92" s="49"/>
      <x:c r="O92" s="30" t="str">
        <x:v>Not Assessed</x:v>
      </x:c>
      <x:c r="P92" s="30" t="n">
        <x:f>IF(G92="Critical",5,IF(G92="High",4,IF(G92="Medium",3,2)))</x:f>
        <x:v>5</x:v>
      </x:c>
      <x:c r="Q92" s="45" t="n">
        <x:f>P92*K92</x:f>
        <x:v>0</x:v>
      </x:c>
      <x:c r="R92" s="45" t="n">
        <x:f>P92-Q92</x:f>
        <x:v>5</x:v>
      </x:c>
      <x:c r="S92" s="30" t="str"/>
      <x:c r="T92" s="49"/>
      <x:c r="U92" s="30" t="str">
        <x:v>SRC-08</x:v>
      </x:c>
      <x:c r="V92" s="30" t="str">
        <x:v>https://attack.mitre.org/techniques/T1176/001/</x:v>
      </x:c>
      <x:c r="W92" s="31" t="str"/>
    </x:row>
    <x:row r="93">
      <x:c r="A93" s="15" t="str">
        <x:v>RBI-092</x:v>
      </x:c>
      <x:c r="B93" s="16" t="str">
        <x:v>Extensions &amp; Plugins</x:v>
      </x:c>
      <x:c r="C93" s="16" t="str">
        <x:v>Permission Review</x:v>
      </x:c>
      <x:c r="D93" s="30" t="str">
        <x:v>Review requested permissions, host access, cookie access, webRequest, clipboard, native messaging, downloads and script injection before approval.</x:v>
      </x:c>
      <x:c r="E93" s="30" t="str">
        <x:v>Credential theft; content modification; data exfiltration</x:v>
      </x:c>
      <x:c r="F93" s="16" t="str">
        <x:v>Mandatory</x:v>
      </x:c>
      <x:c r="G93" s="16" t="str">
        <x:v>Critical</x:v>
      </x:c>
      <x:c r="H93" s="30" t="str">
        <x:v>Universal</x:v>
      </x:c>
      <x:c r="I93" s="30" t="str">
        <x:v>Perform documented permission-risk assessment.</x:v>
      </x:c>
      <x:c r="J93" s="16" t="str">
        <x:v>Not Assessed</x:v>
      </x:c>
      <x:c r="K93" s="41" t="n">
        <x:f>IF(J93="Implemented",1,IF(J93="Partially Implemented",0.5,IF(J93="Planned",0.25,IF(J93="Not Applicable",1,0))))</x:f>
        <x:v>0</x:v>
      </x:c>
      <x:c r="L93" s="30" t="str"/>
      <x:c r="M93" s="30" t="str"/>
      <x:c r="N93" s="49"/>
      <x:c r="O93" s="30" t="str">
        <x:v>Not Assessed</x:v>
      </x:c>
      <x:c r="P93" s="30" t="n">
        <x:f>IF(G93="Critical",5,IF(G93="High",4,IF(G93="Medium",3,2)))</x:f>
        <x:v>5</x:v>
      </x:c>
      <x:c r="Q93" s="45" t="n">
        <x:f>P93*K93</x:f>
        <x:v>0</x:v>
      </x:c>
      <x:c r="R93" s="45" t="n">
        <x:f>P93-Q93</x:f>
        <x:v>5</x:v>
      </x:c>
      <x:c r="S93" s="30" t="str"/>
      <x:c r="T93" s="49"/>
      <x:c r="U93" s="30" t="str">
        <x:v>SRC-30</x:v>
      </x:c>
      <x:c r="V93" s="30" t="str">
        <x:v>https://chromeenterprise.google/policies/extension-settings/</x:v>
      </x:c>
      <x:c r="W93" s="31" t="str"/>
    </x:row>
    <x:row r="94">
      <x:c r="A94" s="15" t="str">
        <x:v>RBI-093</x:v>
      </x:c>
      <x:c r="B94" s="16" t="str">
        <x:v>Extensions &amp; Plugins</x:v>
      </x:c>
      <x:c r="C94" s="16" t="str">
        <x:v>Source Restriction</x:v>
      </x:c>
      <x:c r="D94" s="30" t="str">
        <x:v>Allow extension installation and updates only from approved enterprise or official store sources.</x:v>
      </x:c>
      <x:c r="E94" s="30" t="str">
        <x:v>Sideloaded malware; compromised update source</x:v>
      </x:c>
      <x:c r="F94" s="16" t="str">
        <x:v>Mandatory</x:v>
      </x:c>
      <x:c r="G94" s="16" t="str">
        <x:v>High</x:v>
      </x:c>
      <x:c r="H94" s="30" t="str">
        <x:v>Universal</x:v>
      </x:c>
      <x:c r="I94" s="30" t="str">
        <x:v>Attempt local, command-line, developer-mode and third-party source installation.</x:v>
      </x:c>
      <x:c r="J94" s="16" t="str">
        <x:v>Not Assessed</x:v>
      </x:c>
      <x:c r="K94" s="41" t="n">
        <x:f>IF(J94="Implemented",1,IF(J94="Partially Implemented",0.5,IF(J94="Planned",0.25,IF(J94="Not Applicable",1,0))))</x:f>
        <x:v>0</x:v>
      </x:c>
      <x:c r="L94" s="30" t="str"/>
      <x:c r="M94" s="30" t="str"/>
      <x:c r="N94" s="49"/>
      <x:c r="O94" s="30" t="str">
        <x:v>Not Assessed</x:v>
      </x:c>
      <x:c r="P94" s="30" t="n">
        <x:f>IF(G94="Critical",5,IF(G94="High",4,IF(G94="Medium",3,2)))</x:f>
        <x:v>4</x:v>
      </x:c>
      <x:c r="Q94" s="45" t="n">
        <x:f>P94*K94</x:f>
        <x:v>0</x:v>
      </x:c>
      <x:c r="R94" s="45" t="n">
        <x:f>P94-Q94</x:f>
        <x:v>4</x:v>
      </x:c>
      <x:c r="S94" s="30" t="str"/>
      <x:c r="T94" s="49"/>
      <x:c r="U94" s="30" t="str">
        <x:v>SRC-30</x:v>
      </x:c>
      <x:c r="V94" s="30" t="str">
        <x:v>https://chromeenterprise.google/policies/extension-settings/</x:v>
      </x:c>
      <x:c r="W94" s="31" t="str"/>
    </x:row>
    <x:row r="95">
      <x:c r="A95" s="15" t="str">
        <x:v>RBI-094</x:v>
      </x:c>
      <x:c r="B95" s="16" t="str">
        <x:v>Extensions &amp; Plugins</x:v>
      </x:c>
      <x:c r="C95" s="16" t="str">
        <x:v>Force Removal</x:v>
      </x:c>
      <x:c r="D95" s="30" t="str">
        <x:v>Support immediate forced removal or disabling of malicious, vulnerable, unauthorized or abandoned extensions across local and remote browsers.</x:v>
      </x:c>
      <x:c r="E95" s="30" t="str">
        <x:v>Malicious extension persistence</x:v>
      </x:c>
      <x:c r="F95" s="16" t="str">
        <x:v>Mandatory</x:v>
      </x:c>
      <x:c r="G95" s="16" t="str">
        <x:v>Critical</x:v>
      </x:c>
      <x:c r="H95" s="30" t="str">
        <x:v>Universal</x:v>
      </x:c>
      <x:c r="I95" s="30" t="str">
        <x:v>Remove an extension from force-install or allow policy and verify automatic uninstall.</x:v>
      </x:c>
      <x:c r="J95" s="16" t="str">
        <x:v>Not Assessed</x:v>
      </x:c>
      <x:c r="K95" s="41" t="n">
        <x:f>IF(J95="Implemented",1,IF(J95="Partially Implemented",0.5,IF(J95="Planned",0.25,IF(J95="Not Applicable",1,0))))</x:f>
        <x:v>0</x:v>
      </x:c>
      <x:c r="L95" s="30" t="str"/>
      <x:c r="M95" s="30" t="str"/>
      <x:c r="N95" s="49"/>
      <x:c r="O95" s="30" t="str">
        <x:v>Not Assessed</x:v>
      </x:c>
      <x:c r="P95" s="30" t="n">
        <x:f>IF(G95="Critical",5,IF(G95="High",4,IF(G95="Medium",3,2)))</x:f>
        <x:v>5</x:v>
      </x:c>
      <x:c r="Q95" s="45" t="n">
        <x:f>P95*K95</x:f>
        <x:v>0</x:v>
      </x:c>
      <x:c r="R95" s="45" t="n">
        <x:f>P95-Q95</x:f>
        <x:v>5</x:v>
      </x:c>
      <x:c r="S95" s="30" t="str"/>
      <x:c r="T95" s="49"/>
      <x:c r="U95" s="30" t="str">
        <x:v>SRC-33</x:v>
      </x:c>
      <x:c r="V95" s="30" t="str">
        <x:v>https://chromeenterprise.google/policies/extension-install-forcelist/</x:v>
      </x:c>
      <x:c r="W95" s="31" t="str"/>
    </x:row>
    <x:row r="96">
      <x:c r="A96" s="15" t="str">
        <x:v>RBI-095</x:v>
      </x:c>
      <x:c r="B96" s="16" t="str">
        <x:v>Extensions &amp; Plugins</x:v>
      </x:c>
      <x:c r="C96" s="16" t="str">
        <x:v>Emergency Block</x:v>
      </x:c>
      <x:c r="D96" s="30" t="str">
        <x:v>Provide an emergency block mechanism by extension ID, publisher, update URL, permission or risk indicator.</x:v>
      </x:c>
      <x:c r="E96" s="30" t="str">
        <x:v>Active extension compromise; supply-chain attack</x:v>
      </x:c>
      <x:c r="F96" s="16" t="str">
        <x:v>Mandatory</x:v>
      </x:c>
      <x:c r="G96" s="16" t="str">
        <x:v>Critical</x:v>
      </x:c>
      <x:c r="H96" s="30" t="str">
        <x:v>Universal</x:v>
      </x:c>
      <x:c r="I96" s="30" t="str">
        <x:v>Execute an emergency block drill and measure removal coverage and latency.</x:v>
      </x:c>
      <x:c r="J96" s="16" t="str">
        <x:v>Not Assessed</x:v>
      </x:c>
      <x:c r="K96" s="41" t="n">
        <x:f>IF(J96="Implemented",1,IF(J96="Partially Implemented",0.5,IF(J96="Planned",0.25,IF(J96="Not Applicable",1,0))))</x:f>
        <x:v>0</x:v>
      </x:c>
      <x:c r="L96" s="30" t="str"/>
      <x:c r="M96" s="30" t="str"/>
      <x:c r="N96" s="49"/>
      <x:c r="O96" s="30" t="str">
        <x:v>Not Assessed</x:v>
      </x:c>
      <x:c r="P96" s="30" t="n">
        <x:f>IF(G96="Critical",5,IF(G96="High",4,IF(G96="Medium",3,2)))</x:f>
        <x:v>5</x:v>
      </x:c>
      <x:c r="Q96" s="45" t="n">
        <x:f>P96*K96</x:f>
        <x:v>0</x:v>
      </x:c>
      <x:c r="R96" s="45" t="n">
        <x:f>P96-Q96</x:f>
        <x:v>5</x:v>
      </x:c>
      <x:c r="S96" s="30" t="str"/>
      <x:c r="T96" s="49"/>
      <x:c r="U96" s="30" t="str">
        <x:v>SRC-31</x:v>
      </x:c>
      <x:c r="V96" s="30" t="str">
        <x:v>https://chromeenterprise.google/policies/extension-install-blocklist/</x:v>
      </x:c>
      <x:c r="W96" s="31" t="str"/>
    </x:row>
    <x:row r="97">
      <x:c r="A97" s="15" t="str">
        <x:v>RBI-096</x:v>
      </x:c>
      <x:c r="B97" s="16" t="str">
        <x:v>Extensions &amp; Plugins</x:v>
      </x:c>
      <x:c r="C97" s="16" t="str">
        <x:v>Update Governance</x:v>
      </x:c>
      <x:c r="D97" s="30" t="str">
        <x:v>Monitor extension ownership, publisher, signing, update URL, version changes and newly requested permissions.</x:v>
      </x:c>
      <x:c r="E97" s="30" t="str">
        <x:v>Extension supply-chain compromise</x:v>
      </x:c>
      <x:c r="F97" s="16" t="str">
        <x:v>Mandatory</x:v>
      </x:c>
      <x:c r="G97" s="16" t="str">
        <x:v>High</x:v>
      </x:c>
      <x:c r="H97" s="30" t="str">
        <x:v>Universal</x:v>
      </x:c>
      <x:c r="I97" s="30" t="str">
        <x:v>Introduce a test update with changed permissions and verify review or block.</x:v>
      </x:c>
      <x:c r="J97" s="16" t="str">
        <x:v>Not Assessed</x:v>
      </x:c>
      <x:c r="K97" s="41" t="n">
        <x:f>IF(J97="Implemented",1,IF(J97="Partially Implemented",0.5,IF(J97="Planned",0.25,IF(J97="Not Applicable",1,0))))</x:f>
        <x:v>0</x:v>
      </x:c>
      <x:c r="L97" s="30" t="str"/>
      <x:c r="M97" s="30" t="str"/>
      <x:c r="N97" s="49"/>
      <x:c r="O97" s="30" t="str">
        <x:v>Not Assessed</x:v>
      </x:c>
      <x:c r="P97" s="30" t="n">
        <x:f>IF(G97="Critical",5,IF(G97="High",4,IF(G97="Medium",3,2)))</x:f>
        <x:v>4</x:v>
      </x:c>
      <x:c r="Q97" s="45" t="n">
        <x:f>P97*K97</x:f>
        <x:v>0</x:v>
      </x:c>
      <x:c r="R97" s="45" t="n">
        <x:f>P97-Q97</x:f>
        <x:v>4</x:v>
      </x:c>
      <x:c r="S97" s="30" t="str"/>
      <x:c r="T97" s="49"/>
      <x:c r="U97" s="30" t="str">
        <x:v>SRC-30</x:v>
      </x:c>
      <x:c r="V97" s="30" t="str">
        <x:v>https://chromeenterprise.google/policies/extension-settings/</x:v>
      </x:c>
      <x:c r="W97" s="31" t="str"/>
    </x:row>
    <x:row r="98">
      <x:c r="A98" s="15" t="str">
        <x:v>RBI-097</x:v>
      </x:c>
      <x:c r="B98" s="16" t="str">
        <x:v>Extensions &amp; Plugins</x:v>
      </x:c>
      <x:c r="C98" s="16" t="str">
        <x:v>Version Control</x:v>
      </x:c>
      <x:c r="D98" s="30" t="str">
        <x:v>Pin or stage extension versions for critical workflows while maintaining a defined vulnerability-response process.</x:v>
      </x:c>
      <x:c r="E98" s="30" t="str">
        <x:v>Malicious update; untested change; vulnerable version</x:v>
      </x:c>
      <x:c r="F98" s="16" t="str">
        <x:v>Recommended</x:v>
      </x:c>
      <x:c r="G98" s="16" t="str">
        <x:v>Medium</x:v>
      </x:c>
      <x:c r="H98" s="30" t="str">
        <x:v>Critical Workflows</x:v>
      </x:c>
      <x:c r="I98" s="30" t="str">
        <x:v>Test staged deployment, rollback and emergency update.</x:v>
      </x:c>
      <x:c r="J98" s="16" t="str">
        <x:v>Not Assessed</x:v>
      </x:c>
      <x:c r="K98" s="41" t="n">
        <x:f>IF(J98="Implemented",1,IF(J98="Partially Implemented",0.5,IF(J98="Planned",0.25,IF(J98="Not Applicable",1,0))))</x:f>
        <x:v>0</x:v>
      </x:c>
      <x:c r="L98" s="30" t="str"/>
      <x:c r="M98" s="30" t="str"/>
      <x:c r="N98" s="49"/>
      <x:c r="O98" s="30" t="str">
        <x:v>Not Assessed</x:v>
      </x:c>
      <x:c r="P98" s="30" t="n">
        <x:f>IF(G98="Critical",5,IF(G98="High",4,IF(G98="Medium",3,2)))</x:f>
        <x:v>3</x:v>
      </x:c>
      <x:c r="Q98" s="45" t="n">
        <x:f>P98*K98</x:f>
        <x:v>0</x:v>
      </x:c>
      <x:c r="R98" s="45" t="n">
        <x:f>P98-Q98</x:f>
        <x:v>3</x:v>
      </x:c>
      <x:c r="S98" s="30" t="str"/>
      <x:c r="T98" s="49"/>
      <x:c r="U98" s="30" t="str">
        <x:v>SRC-30</x:v>
      </x:c>
      <x:c r="V98" s="30" t="str">
        <x:v>https://chromeenterprise.google/policies/extension-settings/</x:v>
      </x:c>
      <x:c r="W98" s="31" t="str"/>
    </x:row>
    <x:row r="99">
      <x:c r="A99" s="15" t="str">
        <x:v>RBI-098</x:v>
      </x:c>
      <x:c r="B99" s="16" t="str">
        <x:v>Extensions &amp; Plugins</x:v>
      </x:c>
      <x:c r="C99" s="16" t="str">
        <x:v>Runtime Host Restrictions</x:v>
      </x:c>
      <x:c r="D99" s="30" t="str">
        <x:v>Restrict approved extensions from running on sensitive sites such as IdP, admin portals, source repositories and financial applications.</x:v>
      </x:c>
      <x:c r="E99" s="30" t="str">
        <x:v>Credential and source-code theft</x:v>
      </x:c>
      <x:c r="F99" s="16" t="str">
        <x:v>Mandatory</x:v>
      </x:c>
      <x:c r="G99" s="16" t="str">
        <x:v>Critical</x:v>
      </x:c>
      <x:c r="H99" s="30" t="str">
        <x:v>Sensitive Applications</x:v>
      </x:c>
      <x:c r="I99" s="30" t="str">
        <x:v>Verify content scripts cannot execute on protected origins.</x:v>
      </x:c>
      <x:c r="J99" s="16" t="str">
        <x:v>Not Assessed</x:v>
      </x:c>
      <x:c r="K99" s="41" t="n">
        <x:f>IF(J99="Implemented",1,IF(J99="Partially Implemented",0.5,IF(J99="Planned",0.25,IF(J99="Not Applicable",1,0))))</x:f>
        <x:v>0</x:v>
      </x:c>
      <x:c r="L99" s="30" t="str"/>
      <x:c r="M99" s="30" t="str"/>
      <x:c r="N99" s="49"/>
      <x:c r="O99" s="30" t="str">
        <x:v>Not Assessed</x:v>
      </x:c>
      <x:c r="P99" s="30" t="n">
        <x:f>IF(G99="Critical",5,IF(G99="High",4,IF(G99="Medium",3,2)))</x:f>
        <x:v>5</x:v>
      </x:c>
      <x:c r="Q99" s="45" t="n">
        <x:f>P99*K99</x:f>
        <x:v>0</x:v>
      </x:c>
      <x:c r="R99" s="45" t="n">
        <x:f>P99-Q99</x:f>
        <x:v>5</x:v>
      </x:c>
      <x:c r="S99" s="30" t="str"/>
      <x:c r="T99" s="49"/>
      <x:c r="U99" s="30" t="str">
        <x:v>SRC-30</x:v>
      </x:c>
      <x:c r="V99" s="30" t="str">
        <x:v>https://chromeenterprise.google/policies/extension-settings/</x:v>
      </x:c>
      <x:c r="W99" s="31" t="str"/>
    </x:row>
    <x:row r="100">
      <x:c r="A100" s="15" t="str">
        <x:v>RBI-099</x:v>
      </x:c>
      <x:c r="B100" s="16" t="str">
        <x:v>Extensions &amp; Plugins</x:v>
      </x:c>
      <x:c r="C100" s="16" t="str">
        <x:v>Native Messaging</x:v>
      </x:c>
      <x:c r="D100" s="30" t="str">
        <x:v>Block native-messaging hosts unless explicitly approved and monitor browser child processes initiated by extensions.</x:v>
      </x:c>
      <x:c r="E100" s="30" t="str">
        <x:v>Local code execution; persistence; tunneling</x:v>
      </x:c>
      <x:c r="F100" s="16" t="str">
        <x:v>Mandatory</x:v>
      </x:c>
      <x:c r="G100" s="16" t="str">
        <x:v>Critical</x:v>
      </x:c>
      <x:c r="H100" s="30" t="str">
        <x:v>Universal</x:v>
      </x:c>
      <x:c r="I100" s="30" t="str">
        <x:v>Attempt native messaging and suspicious child-process creation.</x:v>
      </x:c>
      <x:c r="J100" s="16" t="str">
        <x:v>Not Assessed</x:v>
      </x:c>
      <x:c r="K100" s="41" t="n">
        <x:f>IF(J100="Implemented",1,IF(J100="Partially Implemented",0.5,IF(J100="Planned",0.25,IF(J100="Not Applicable",1,0))))</x:f>
        <x:v>0</x:v>
      </x:c>
      <x:c r="L100" s="30" t="str"/>
      <x:c r="M100" s="30" t="str"/>
      <x:c r="N100" s="49"/>
      <x:c r="O100" s="30" t="str">
        <x:v>Not Assessed</x:v>
      </x:c>
      <x:c r="P100" s="30" t="n">
        <x:f>IF(G100="Critical",5,IF(G100="High",4,IF(G100="Medium",3,2)))</x:f>
        <x:v>5</x:v>
      </x:c>
      <x:c r="Q100" s="45" t="n">
        <x:f>P100*K100</x:f>
        <x:v>0</x:v>
      </x:c>
      <x:c r="R100" s="45" t="n">
        <x:f>P100-Q100</x:f>
        <x:v>5</x:v>
      </x:c>
      <x:c r="S100" s="30" t="str"/>
      <x:c r="T100" s="49"/>
      <x:c r="U100" s="30" t="str">
        <x:v>SRC-09</x:v>
      </x:c>
      <x:c r="V100" s="30" t="str">
        <x:v>https://attack.mitre.org/detectionstrategies/DET0044/</x:v>
      </x:c>
      <x:c r="W100" s="31" t="str"/>
    </x:row>
    <x:row r="101">
      <x:c r="A101" s="15" t="str">
        <x:v>RBI-100</x:v>
      </x:c>
      <x:c r="B101" s="16" t="str">
        <x:v>Extensions &amp; Plugins</x:v>
      </x:c>
      <x:c r="C101" s="16" t="str">
        <x:v>Developer Mode</x:v>
      </x:c>
      <x:c r="D101" s="30" t="str">
        <x:v>Disable developer-mode, unpacked, command-line and user-script installation for standard users.</x:v>
      </x:c>
      <x:c r="E101" s="30" t="str">
        <x:v>Sideloaded malicious extension</x:v>
      </x:c>
      <x:c r="F101" s="16" t="str">
        <x:v>Mandatory</x:v>
      </x:c>
      <x:c r="G101" s="16" t="str">
        <x:v>Critical</x:v>
      </x:c>
      <x:c r="H101" s="30" t="str">
        <x:v>Universal</x:v>
      </x:c>
      <x:c r="I101" s="30" t="str">
        <x:v>Attempt each unsupported installation method.</x:v>
      </x:c>
      <x:c r="J101" s="16" t="str">
        <x:v>Not Assessed</x:v>
      </x:c>
      <x:c r="K101" s="41" t="n">
        <x:f>IF(J101="Implemented",1,IF(J101="Partially Implemented",0.5,IF(J101="Planned",0.25,IF(J101="Not Applicable",1,0))))</x:f>
        <x:v>0</x:v>
      </x:c>
      <x:c r="L101" s="30" t="str"/>
      <x:c r="M101" s="30" t="str"/>
      <x:c r="N101" s="49"/>
      <x:c r="O101" s="30" t="str">
        <x:v>Not Assessed</x:v>
      </x:c>
      <x:c r="P101" s="30" t="n">
        <x:f>IF(G101="Critical",5,IF(G101="High",4,IF(G101="Medium",3,2)))</x:f>
        <x:v>5</x:v>
      </x:c>
      <x:c r="Q101" s="45" t="n">
        <x:f>P101*K101</x:f>
        <x:v>0</x:v>
      </x:c>
      <x:c r="R101" s="45" t="n">
        <x:f>P101-Q101</x:f>
        <x:v>5</x:v>
      </x:c>
      <x:c r="S101" s="30" t="str"/>
      <x:c r="T101" s="49"/>
      <x:c r="U101" s="30" t="str">
        <x:v>SRC-30</x:v>
      </x:c>
      <x:c r="V101" s="30" t="str">
        <x:v>https://chromeenterprise.google/policies/extension-settings/</x:v>
      </x:c>
      <x:c r="W101" s="31" t="str"/>
    </x:row>
    <x:row r="102">
      <x:c r="A102" s="15" t="str">
        <x:v>RBI-101</x:v>
      </x:c>
      <x:c r="B102" s="16" t="str">
        <x:v>Extensions &amp; Plugins</x:v>
      </x:c>
      <x:c r="C102" s="16" t="str">
        <x:v>Telemetry</x:v>
      </x:c>
      <x:c r="D102" s="30" t="str">
        <x:v>Collect extension installation, removal, enablement, permission, file, registry, profile and network telemetry.</x:v>
      </x:c>
      <x:c r="E102" s="30" t="str">
        <x:v>Undetected malicious extension</x:v>
      </x:c>
      <x:c r="F102" s="16" t="str">
        <x:v>Mandatory</x:v>
      </x:c>
      <x:c r="G102" s="16" t="str">
        <x:v>High</x:v>
      </x:c>
      <x:c r="H102" s="30" t="str">
        <x:v>Universal</x:v>
      </x:c>
      <x:c r="I102" s="30" t="str">
        <x:v>Validate SIEM ingestion against extension lifecycle tests.</x:v>
      </x:c>
      <x:c r="J102" s="16" t="str">
        <x:v>Not Assessed</x:v>
      </x:c>
      <x:c r="K102" s="41" t="n">
        <x:f>IF(J102="Implemented",1,IF(J102="Partially Implemented",0.5,IF(J102="Planned",0.25,IF(J102="Not Applicable",1,0))))</x:f>
        <x:v>0</x:v>
      </x:c>
      <x:c r="L102" s="30" t="str"/>
      <x:c r="M102" s="30" t="str"/>
      <x:c r="N102" s="49"/>
      <x:c r="O102" s="30" t="str">
        <x:v>Not Assessed</x:v>
      </x:c>
      <x:c r="P102" s="30" t="n">
        <x:f>IF(G102="Critical",5,IF(G102="High",4,IF(G102="Medium",3,2)))</x:f>
        <x:v>4</x:v>
      </x:c>
      <x:c r="Q102" s="45" t="n">
        <x:f>P102*K102</x:f>
        <x:v>0</x:v>
      </x:c>
      <x:c r="R102" s="45" t="n">
        <x:f>P102-Q102</x:f>
        <x:v>4</x:v>
      </x:c>
      <x:c r="S102" s="30" t="str"/>
      <x:c r="T102" s="49"/>
      <x:c r="U102" s="30" t="str">
        <x:v>SRC-09</x:v>
      </x:c>
      <x:c r="V102" s="30" t="str">
        <x:v>https://attack.mitre.org/detectionstrategies/DET0044/</x:v>
      </x:c>
      <x:c r="W102" s="31" t="str"/>
    </x:row>
    <x:row r="103">
      <x:c r="A103" s="15" t="str">
        <x:v>RBI-102</x:v>
      </x:c>
      <x:c r="B103" s="16" t="str">
        <x:v>Extensions &amp; Plugins</x:v>
      </x:c>
      <x:c r="C103" s="16" t="str">
        <x:v>Behavior Detection</x:v>
      </x:c>
      <x:c r="D103" s="30" t="str">
        <x:v>Detect new extensions followed by suspicious file writes, browser child processes or outbound connections to rare domains.</x:v>
      </x:c>
      <x:c r="E103" s="30" t="str">
        <x:v>Extension C2; payload execution</x:v>
      </x:c>
      <x:c r="F103" s="16" t="str">
        <x:v>Mandatory</x:v>
      </x:c>
      <x:c r="G103" s="16" t="str">
        <x:v>High</x:v>
      </x:c>
      <x:c r="H103" s="30" t="str">
        <x:v>Universal</x:v>
      </x:c>
      <x:c r="I103" s="30" t="str">
        <x:v>Replay MITRE-style behavioral chains and validate alerts.</x:v>
      </x:c>
      <x:c r="J103" s="16" t="str">
        <x:v>Not Assessed</x:v>
      </x:c>
      <x:c r="K103" s="41" t="n">
        <x:f>IF(J103="Implemented",1,IF(J103="Partially Implemented",0.5,IF(J103="Planned",0.25,IF(J103="Not Applicable",1,0))))</x:f>
        <x:v>0</x:v>
      </x:c>
      <x:c r="L103" s="30" t="str"/>
      <x:c r="M103" s="30" t="str"/>
      <x:c r="N103" s="49"/>
      <x:c r="O103" s="30" t="str">
        <x:v>Not Assessed</x:v>
      </x:c>
      <x:c r="P103" s="30" t="n">
        <x:f>IF(G103="Critical",5,IF(G103="High",4,IF(G103="Medium",3,2)))</x:f>
        <x:v>4</x:v>
      </x:c>
      <x:c r="Q103" s="45" t="n">
        <x:f>P103*K103</x:f>
        <x:v>0</x:v>
      </x:c>
      <x:c r="R103" s="45" t="n">
        <x:f>P103-Q103</x:f>
        <x:v>4</x:v>
      </x:c>
      <x:c r="S103" s="30" t="str"/>
      <x:c r="T103" s="49"/>
      <x:c r="U103" s="30" t="str">
        <x:v>SRC-09</x:v>
      </x:c>
      <x:c r="V103" s="30" t="str">
        <x:v>https://attack.mitre.org/detectionstrategies/DET0044/</x:v>
      </x:c>
      <x:c r="W103" s="31" t="str"/>
    </x:row>
    <x:row r="104">
      <x:c r="A104" s="15" t="str">
        <x:v>RBI-103</x:v>
      </x:c>
      <x:c r="B104" s="16" t="str">
        <x:v>Extensions &amp; Plugins</x:v>
      </x:c>
      <x:c r="C104" s="16" t="str">
        <x:v>Periodic Recertification</x:v>
      </x:c>
      <x:c r="D104" s="30" t="str">
        <x:v>Recertify business need, owner, permissions, version and risk for every approved extension at least quarterly.</x:v>
      </x:c>
      <x:c r="E104" s="30" t="str">
        <x:v>Extension sprawl; abandoned ownership</x:v>
      </x:c>
      <x:c r="F104" s="16" t="str">
        <x:v>Mandatory</x:v>
      </x:c>
      <x:c r="G104" s="16" t="str">
        <x:v>High</x:v>
      </x:c>
      <x:c r="H104" s="30" t="str">
        <x:v>Universal</x:v>
      </x:c>
      <x:c r="I104" s="30" t="str">
        <x:v>Sample approved extensions and inspect review evidence.</x:v>
      </x:c>
      <x:c r="J104" s="16" t="str">
        <x:v>Not Assessed</x:v>
      </x:c>
      <x:c r="K104" s="41" t="n">
        <x:f>IF(J104="Implemented",1,IF(J104="Partially Implemented",0.5,IF(J104="Planned",0.25,IF(J104="Not Applicable",1,0))))</x:f>
        <x:v>0</x:v>
      </x:c>
      <x:c r="L104" s="30" t="str"/>
      <x:c r="M104" s="30" t="str"/>
      <x:c r="N104" s="49"/>
      <x:c r="O104" s="30" t="str">
        <x:v>Not Assessed</x:v>
      </x:c>
      <x:c r="P104" s="30" t="n">
        <x:f>IF(G104="Critical",5,IF(G104="High",4,IF(G104="Medium",3,2)))</x:f>
        <x:v>4</x:v>
      </x:c>
      <x:c r="Q104" s="45" t="n">
        <x:f>P104*K104</x:f>
        <x:v>0</x:v>
      </x:c>
      <x:c r="R104" s="45" t="n">
        <x:f>P104-Q104</x:f>
        <x:v>4</x:v>
      </x:c>
      <x:c r="S104" s="30" t="str"/>
      <x:c r="T104" s="49"/>
      <x:c r="U104" s="30" t="str">
        <x:v>SRC-10</x:v>
      </x:c>
      <x:c r="V104" s="30" t="str">
        <x:v>https://attack.mitre.org/mitigations/M1021/</x:v>
      </x:c>
      <x:c r="W104" s="31" t="str"/>
    </x:row>
    <x:row r="105">
      <x:c r="A105" s="15" t="str">
        <x:v>RBI-104</x:v>
      </x:c>
      <x:c r="B105" s="16" t="str">
        <x:v>Extensions &amp; Plugins</x:v>
      </x:c>
      <x:c r="C105" s="16" t="str">
        <x:v>Incident Response</x:v>
      </x:c>
      <x:c r="D105" s="30" t="str">
        <x:v>Define procedures to block, remove, preserve evidence, revoke sessions and hunt for malicious-extension activity.</x:v>
      </x:c>
      <x:c r="E105" s="30" t="str">
        <x:v>Extension compromise; session theft</x:v>
      </x:c>
      <x:c r="F105" s="16" t="str">
        <x:v>Mandatory</x:v>
      </x:c>
      <x:c r="G105" s="16" t="str">
        <x:v>Critical</x:v>
      </x:c>
      <x:c r="H105" s="30" t="str">
        <x:v>Universal</x:v>
      </x:c>
      <x:c r="I105" s="30" t="str">
        <x:v>Run a malicious-extension tabletop and technical exercise.</x:v>
      </x:c>
      <x:c r="J105" s="16" t="str">
        <x:v>Not Assessed</x:v>
      </x:c>
      <x:c r="K105" s="41" t="n">
        <x:f>IF(J105="Implemented",1,IF(J105="Partially Implemented",0.5,IF(J105="Planned",0.25,IF(J105="Not Applicable",1,0))))</x:f>
        <x:v>0</x:v>
      </x:c>
      <x:c r="L105" s="30" t="str"/>
      <x:c r="M105" s="30" t="str"/>
      <x:c r="N105" s="49"/>
      <x:c r="O105" s="30" t="str">
        <x:v>Not Assessed</x:v>
      </x:c>
      <x:c r="P105" s="30" t="n">
        <x:f>IF(G105="Critical",5,IF(G105="High",4,IF(G105="Medium",3,2)))</x:f>
        <x:v>5</x:v>
      </x:c>
      <x:c r="Q105" s="45" t="n">
        <x:f>P105*K105</x:f>
        <x:v>0</x:v>
      </x:c>
      <x:c r="R105" s="45" t="n">
        <x:f>P105-Q105</x:f>
        <x:v>5</x:v>
      </x:c>
      <x:c r="S105" s="30" t="str"/>
      <x:c r="T105" s="49"/>
      <x:c r="U105" s="30" t="str">
        <x:v>SRC-09</x:v>
      </x:c>
      <x:c r="V105" s="30" t="str">
        <x:v>https://attack.mitre.org/detectionstrategies/DET0044/</x:v>
      </x:c>
      <x:c r="W105" s="31" t="str"/>
    </x:row>
    <x:row r="106">
      <x:c r="A106" s="15" t="str">
        <x:v>RBI-105</x:v>
      </x:c>
      <x:c r="B106" s="16" t="str">
        <x:v>Extensions &amp; Plugins</x:v>
      </x:c>
      <x:c r="C106" s="16" t="str">
        <x:v>Remote Browser Baseline</x:v>
      </x:c>
      <x:c r="D106" s="30" t="str">
        <x:v>Deploy a minimal extension set in the remote browser and prohibit user-installed extensions in ephemeral sessions.</x:v>
      </x:c>
      <x:c r="E106" s="30" t="str">
        <x:v>Expanded remote-browser attack surface</x:v>
      </x:c>
      <x:c r="F106" s="16" t="str">
        <x:v>Mandatory</x:v>
      </x:c>
      <x:c r="G106" s="16" t="str">
        <x:v>High</x:v>
      </x:c>
      <x:c r="H106" s="30" t="str">
        <x:v>Cloud RBI</x:v>
      </x:c>
      <x:c r="I106" s="30" t="str">
        <x:v>Attempt user installation and verify session-image integrity.</x:v>
      </x:c>
      <x:c r="J106" s="16" t="str">
        <x:v>Not Assessed</x:v>
      </x:c>
      <x:c r="K106" s="41" t="n">
        <x:f>IF(J106="Implemented",1,IF(J106="Partially Implemented",0.5,IF(J106="Planned",0.25,IF(J106="Not Applicable",1,0))))</x:f>
        <x:v>0</x:v>
      </x:c>
      <x:c r="L106" s="30" t="str"/>
      <x:c r="M106" s="30" t="str"/>
      <x:c r="N106" s="49"/>
      <x:c r="O106" s="30" t="str">
        <x:v>Not Assessed</x:v>
      </x:c>
      <x:c r="P106" s="30" t="n">
        <x:f>IF(G106="Critical",5,IF(G106="High",4,IF(G106="Medium",3,2)))</x:f>
        <x:v>4</x:v>
      </x:c>
      <x:c r="Q106" s="45" t="n">
        <x:f>P106*K106</x:f>
        <x:v>0</x:v>
      </x:c>
      <x:c r="R106" s="45" t="n">
        <x:f>P106-Q106</x:f>
        <x:v>4</x:v>
      </x:c>
      <x:c r="S106" s="30" t="str"/>
      <x:c r="T106" s="49"/>
      <x:c r="U106" s="30" t="str">
        <x:v>SRC-08</x:v>
      </x:c>
      <x:c r="V106" s="30" t="str">
        <x:v>https://attack.mitre.org/techniques/T1176/001/</x:v>
      </x:c>
      <x:c r="W106" s="31" t="str"/>
    </x:row>
    <x:row r="107">
      <x:c r="A107" s="15" t="str">
        <x:v>RBI-106</x:v>
      </x:c>
      <x:c r="B107" s="16" t="str">
        <x:v>Extensions &amp; Plugins</x:v>
      </x:c>
      <x:c r="C107" s="16" t="str">
        <x:v>Legacy Plug-ins</x:v>
      </x:c>
      <x:c r="D107" s="30" t="str">
        <x:v>Disable and remove unsupported legacy plug-ins, browser helper objects and deprecated runtime components.</x:v>
      </x:c>
      <x:c r="E107" s="30" t="str">
        <x:v>Known-vulnerability exploitation; persistence</x:v>
      </x:c>
      <x:c r="F107" s="16" t="str">
        <x:v>Mandatory</x:v>
      </x:c>
      <x:c r="G107" s="16" t="str">
        <x:v>Critical</x:v>
      </x:c>
      <x:c r="H107" s="30" t="str">
        <x:v>Universal</x:v>
      </x:c>
      <x:c r="I107" s="30" t="str">
        <x:v>Inventory browser helper objects and unsupported components.</x:v>
      </x:c>
      <x:c r="J107" s="16" t="str">
        <x:v>Not Assessed</x:v>
      </x:c>
      <x:c r="K107" s="41" t="n">
        <x:f>IF(J107="Implemented",1,IF(J107="Partially Implemented",0.5,IF(J107="Planned",0.25,IF(J107="Not Applicable",1,0))))</x:f>
        <x:v>0</x:v>
      </x:c>
      <x:c r="L107" s="30" t="str"/>
      <x:c r="M107" s="30" t="str"/>
      <x:c r="N107" s="49"/>
      <x:c r="O107" s="30" t="str">
        <x:v>Not Assessed</x:v>
      </x:c>
      <x:c r="P107" s="30" t="n">
        <x:f>IF(G107="Critical",5,IF(G107="High",4,IF(G107="Medium",3,2)))</x:f>
        <x:v>5</x:v>
      </x:c>
      <x:c r="Q107" s="45" t="n">
        <x:f>P107*K107</x:f>
        <x:v>0</x:v>
      </x:c>
      <x:c r="R107" s="45" t="n">
        <x:f>P107-Q107</x:f>
        <x:v>5</x:v>
      </x:c>
      <x:c r="S107" s="30" t="str"/>
      <x:c r="T107" s="49"/>
      <x:c r="U107" s="30" t="str">
        <x:v>SRC-10</x:v>
      </x:c>
      <x:c r="V107" s="30" t="str">
        <x:v>https://attack.mitre.org/mitigations/M1021/</x:v>
      </x:c>
      <x:c r="W107" s="31" t="str"/>
    </x:row>
    <x:row r="108">
      <x:c r="A108" s="15" t="str">
        <x:v>RBI-107</x:v>
      </x:c>
      <x:c r="B108" s="16" t="str">
        <x:v>Monitoring &amp; Detection</x:v>
      </x:c>
      <x:c r="C108" s="16" t="str">
        <x:v>Session Telemetry</x:v>
      </x:c>
      <x:c r="D108" s="30" t="str">
        <x:v>Log user, device, URL, redirect chain, protocol version, policy action, session ID and isolation location.</x:v>
      </x:c>
      <x:c r="E108" s="30" t="str">
        <x:v>Investigation gaps; undetected bypass</x:v>
      </x:c>
      <x:c r="F108" s="16" t="str">
        <x:v>Mandatory</x:v>
      </x:c>
      <x:c r="G108" s="16" t="str">
        <x:v>Critical</x:v>
      </x:c>
      <x:c r="H108" s="30" t="str">
        <x:v>Universal</x:v>
      </x:c>
      <x:c r="I108" s="30" t="str">
        <x:v>Review complete events for representative browsing sessions.</x:v>
      </x:c>
      <x:c r="J108" s="16" t="str">
        <x:v>Not Assessed</x:v>
      </x:c>
      <x:c r="K108" s="41" t="n">
        <x:f>IF(J108="Implemented",1,IF(J108="Partially Implemented",0.5,IF(J108="Planned",0.25,IF(J108="Not Applicable",1,0))))</x:f>
        <x:v>0</x:v>
      </x:c>
      <x:c r="L108" s="30" t="str"/>
      <x:c r="M108" s="30" t="str"/>
      <x:c r="N108" s="49"/>
      <x:c r="O108" s="30" t="str">
        <x:v>Not Assessed</x:v>
      </x:c>
      <x:c r="P108" s="30" t="n">
        <x:f>IF(G108="Critical",5,IF(G108="High",4,IF(G108="Medium",3,2)))</x:f>
        <x:v>5</x:v>
      </x:c>
      <x:c r="Q108" s="45" t="n">
        <x:f>P108*K108</x:f>
        <x:v>0</x:v>
      </x:c>
      <x:c r="R108" s="45" t="n">
        <x:f>P108-Q108</x:f>
        <x:v>5</x:v>
      </x:c>
      <x:c r="S108" s="30" t="str"/>
      <x:c r="T108" s="49"/>
      <x:c r="U108" s="30" t="str">
        <x:v>SRC-01</x:v>
      </x:c>
      <x:c r="V108" s="30" t="str">
        <x:v>https://www.nccoe.nist.gov/publication/1800-28/VolB/index.html</x:v>
      </x:c>
      <x:c r="W108" s="31" t="str"/>
    </x:row>
    <x:row r="109">
      <x:c r="A109" s="15" t="str">
        <x:v>RBI-108</x:v>
      </x:c>
      <x:c r="B109" s="16" t="str">
        <x:v>Monitoring &amp; Detection</x:v>
      </x:c>
      <x:c r="C109" s="16" t="str">
        <x:v>Interaction Telemetry</x:v>
      </x:c>
      <x:c r="D109" s="30" t="str">
        <x:v>Log keyboard, clipboard, print, upload, download, camera, microphone and screen-sharing attempts.</x:v>
      </x:c>
      <x:c r="E109" s="30" t="str">
        <x:v>Data leakage; policy violation</x:v>
      </x:c>
      <x:c r="F109" s="16" t="str">
        <x:v>Mandatory</x:v>
      </x:c>
      <x:c r="G109" s="16" t="str">
        <x:v>High</x:v>
      </x:c>
      <x:c r="H109" s="30" t="str">
        <x:v>Universal</x:v>
      </x:c>
      <x:c r="I109" s="30" t="str">
        <x:v>Exercise every interaction control and confirm events.</x:v>
      </x:c>
      <x:c r="J109" s="16" t="str">
        <x:v>Not Assessed</x:v>
      </x:c>
      <x:c r="K109" s="41" t="n">
        <x:f>IF(J109="Implemented",1,IF(J109="Partially Implemented",0.5,IF(J109="Planned",0.25,IF(J109="Not Applicable",1,0))))</x:f>
        <x:v>0</x:v>
      </x:c>
      <x:c r="L109" s="30" t="str"/>
      <x:c r="M109" s="30" t="str"/>
      <x:c r="N109" s="49"/>
      <x:c r="O109" s="30" t="str">
        <x:v>Not Assessed</x:v>
      </x:c>
      <x:c r="P109" s="30" t="n">
        <x:f>IF(G109="Critical",5,IF(G109="High",4,IF(G109="Medium",3,2)))</x:f>
        <x:v>4</x:v>
      </x:c>
      <x:c r="Q109" s="45" t="n">
        <x:f>P109*K109</x:f>
        <x:v>0</x:v>
      </x:c>
      <x:c r="R109" s="45" t="n">
        <x:f>P109-Q109</x:f>
        <x:v>4</x:v>
      </x:c>
      <x:c r="S109" s="30" t="str"/>
      <x:c r="T109" s="49"/>
      <x:c r="U109" s="30" t="str">
        <x:v>SRC-26</x:v>
      </x:c>
      <x:c r="V109" s="30" t="str">
        <x:v>https://developers.cloudflare.com/cloudflare-one/remote-browser-isolation/isolation-policies/</x:v>
      </x:c>
      <x:c r="W109" s="31" t="str"/>
    </x:row>
    <x:row r="110">
      <x:c r="A110" s="15" t="str">
        <x:v>RBI-109</x:v>
      </x:c>
      <x:c r="B110" s="16" t="str">
        <x:v>Monitoring &amp; Detection</x:v>
      </x:c>
      <x:c r="C110" s="16" t="str">
        <x:v>Protocol Telemetry</x:v>
      </x:c>
      <x:c r="D110" s="30" t="str">
        <x:v>Log HTTP/2 stream events, HTTP/3 and QUIC metadata, CONNECT, WebSocket and tunnel establishment.</x:v>
      </x:c>
      <x:c r="E110" s="30" t="str">
        <x:v>Tunneling; low visibility</x:v>
      </x:c>
      <x:c r="F110" s="16" t="str">
        <x:v>Mandatory</x:v>
      </x:c>
      <x:c r="G110" s="16" t="str">
        <x:v>High</x:v>
      </x:c>
      <x:c r="H110" s="30" t="str">
        <x:v>Universal</x:v>
      </x:c>
      <x:c r="I110" s="30" t="str">
        <x:v>Generate each protocol and verify searchable telemetry.</x:v>
      </x:c>
      <x:c r="J110" s="16" t="str">
        <x:v>Not Assessed</x:v>
      </x:c>
      <x:c r="K110" s="41" t="n">
        <x:f>IF(J110="Implemented",1,IF(J110="Partially Implemented",0.5,IF(J110="Planned",0.25,IF(J110="Not Applicable",1,0))))</x:f>
        <x:v>0</x:v>
      </x:c>
      <x:c r="L110" s="30" t="str"/>
      <x:c r="M110" s="30" t="str"/>
      <x:c r="N110" s="49"/>
      <x:c r="O110" s="30" t="str">
        <x:v>Not Assessed</x:v>
      </x:c>
      <x:c r="P110" s="30" t="n">
        <x:f>IF(G110="Critical",5,IF(G110="High",4,IF(G110="Medium",3,2)))</x:f>
        <x:v>4</x:v>
      </x:c>
      <x:c r="Q110" s="45" t="n">
        <x:f>P110*K110</x:f>
        <x:v>0</x:v>
      </x:c>
      <x:c r="R110" s="45" t="n">
        <x:f>P110-Q110</x:f>
        <x:v>4</x:v>
      </x:c>
      <x:c r="S110" s="30" t="str"/>
      <x:c r="T110" s="49"/>
      <x:c r="U110" s="30" t="str">
        <x:v>SRC-11</x:v>
      </x:c>
      <x:c r="V110" s="30" t="str">
        <x:v>https://www.rfc-editor.org/rfc/rfc9113.html</x:v>
      </x:c>
      <x:c r="W110" s="31" t="str"/>
    </x:row>
    <x:row r="111">
      <x:c r="A111" s="15" t="str">
        <x:v>RBI-110</x:v>
      </x:c>
      <x:c r="B111" s="16" t="str">
        <x:v>Monitoring &amp; Detection</x:v>
      </x:c>
      <x:c r="C111" s="16" t="str">
        <x:v>SIEM Correlation</x:v>
      </x:c>
      <x:c r="D111" s="30" t="str">
        <x:v>Correlate RBI telemetry with DNS, identity, EDR, email, SWG, DLP, firewall and SaaS audit logs.</x:v>
      </x:c>
      <x:c r="E111" s="30" t="str">
        <x:v>Fragmented detection; delayed response</x:v>
      </x:c>
      <x:c r="F111" s="16" t="str">
        <x:v>Mandatory</x:v>
      </x:c>
      <x:c r="G111" s="16" t="str">
        <x:v>High</x:v>
      </x:c>
      <x:c r="H111" s="30" t="str">
        <x:v>Universal</x:v>
      </x:c>
      <x:c r="I111" s="30" t="str">
        <x:v>Reconstruct a multi-control attack chain.</x:v>
      </x:c>
      <x:c r="J111" s="16" t="str">
        <x:v>Not Assessed</x:v>
      </x:c>
      <x:c r="K111" s="41" t="n">
        <x:f>IF(J111="Implemented",1,IF(J111="Partially Implemented",0.5,IF(J111="Planned",0.25,IF(J111="Not Applicable",1,0))))</x:f>
        <x:v>0</x:v>
      </x:c>
      <x:c r="L111" s="30" t="str"/>
      <x:c r="M111" s="30" t="str"/>
      <x:c r="N111" s="49"/>
      <x:c r="O111" s="30" t="str">
        <x:v>Not Assessed</x:v>
      </x:c>
      <x:c r="P111" s="30" t="n">
        <x:f>IF(G111="Critical",5,IF(G111="High",4,IF(G111="Medium",3,2)))</x:f>
        <x:v>4</x:v>
      </x:c>
      <x:c r="Q111" s="45" t="n">
        <x:f>P111*K111</x:f>
        <x:v>0</x:v>
      </x:c>
      <x:c r="R111" s="45" t="n">
        <x:f>P111-Q111</x:f>
        <x:v>4</x:v>
      </x:c>
      <x:c r="S111" s="30" t="str"/>
      <x:c r="T111" s="49"/>
      <x:c r="U111" s="30" t="str">
        <x:v>SRC-09</x:v>
      </x:c>
      <x:c r="V111" s="30" t="str">
        <x:v>https://attack.mitre.org/detectionstrategies/DET0044/</x:v>
      </x:c>
      <x:c r="W111" s="31" t="str"/>
    </x:row>
    <x:row r="112">
      <x:c r="A112" s="15" t="str">
        <x:v>RBI-111</x:v>
      </x:c>
      <x:c r="B112" s="16" t="str">
        <x:v>Monitoring &amp; Detection</x:v>
      </x:c>
      <x:c r="C112" s="16" t="str">
        <x:v>Visual C2</x:v>
      </x:c>
      <x:c r="D112" s="30" t="str">
        <x:v>Detect automated browser control, headless browsing, repeated QR or barcode patterns and abnormal screenshot capture.</x:v>
      </x:c>
      <x:c r="E112" s="30" t="str">
        <x:v>QR-code C2; visual covert channel</x:v>
      </x:c>
      <x:c r="F112" s="16" t="str">
        <x:v>Recommended</x:v>
      </x:c>
      <x:c r="G112" s="16" t="str">
        <x:v>High</x:v>
      </x:c>
      <x:c r="H112" s="30" t="str">
        <x:v>High-Risk Environments</x:v>
      </x:c>
      <x:c r="I112" s="30" t="str">
        <x:v>Replay a controlled visual C2 proof of concept.</x:v>
      </x:c>
      <x:c r="J112" s="16" t="str">
        <x:v>Not Assessed</x:v>
      </x:c>
      <x:c r="K112" s="41" t="n">
        <x:f>IF(J112="Implemented",1,IF(J112="Partially Implemented",0.5,IF(J112="Planned",0.25,IF(J112="Not Applicable",1,0))))</x:f>
        <x:v>0</x:v>
      </x:c>
      <x:c r="L112" s="30" t="str"/>
      <x:c r="M112" s="30" t="str"/>
      <x:c r="N112" s="49"/>
      <x:c r="O112" s="30" t="str">
        <x:v>Not Assessed</x:v>
      </x:c>
      <x:c r="P112" s="30" t="n">
        <x:f>IF(G112="Critical",5,IF(G112="High",4,IF(G112="Medium",3,2)))</x:f>
        <x:v>4</x:v>
      </x:c>
      <x:c r="Q112" s="45" t="n">
        <x:f>P112*K112</x:f>
        <x:v>0</x:v>
      </x:c>
      <x:c r="R112" s="45" t="n">
        <x:f>P112-Q112</x:f>
        <x:v>4</x:v>
      </x:c>
      <x:c r="S112" s="30" t="str"/>
      <x:c r="T112" s="49"/>
      <x:c r="U112" s="30" t="str">
        <x:v>SRC-29</x:v>
      </x:c>
      <x:c r="V112" s="30" t="str">
        <x:v>https://cloud.google.com/blog/topics/threat-intelligence/c2-browser-isolation-environments</x:v>
      </x:c>
      <x:c r="W112" s="31" t="str"/>
    </x:row>
    <x:row r="113">
      <x:c r="A113" s="15" t="str">
        <x:v>RBI-112</x:v>
      </x:c>
      <x:c r="B113" s="16" t="str">
        <x:v>Monitoring &amp; Detection</x:v>
      </x:c>
      <x:c r="C113" s="16" t="str">
        <x:v>Health Monitoring</x:v>
      </x:c>
      <x:c r="D113" s="30" t="str">
        <x:v>Monitor isolation capacity, session failures, latency, browser crashes, policy errors and regional availability.</x:v>
      </x:c>
      <x:c r="E113" s="30" t="str">
        <x:v>Service degradation; fail-open pressure</x:v>
      </x:c>
      <x:c r="F113" s="16" t="str">
        <x:v>Mandatory</x:v>
      </x:c>
      <x:c r="G113" s="16" t="str">
        <x:v>High</x:v>
      </x:c>
      <x:c r="H113" s="30" t="str">
        <x:v>Universal</x:v>
      </x:c>
      <x:c r="I113" s="30" t="str">
        <x:v>Review operational dashboards and alert thresholds.</x:v>
      </x:c>
      <x:c r="J113" s="16" t="str">
        <x:v>Not Assessed</x:v>
      </x:c>
      <x:c r="K113" s="41" t="n">
        <x:f>IF(J113="Implemented",1,IF(J113="Partially Implemented",0.5,IF(J113="Planned",0.25,IF(J113="Not Applicable",1,0))))</x:f>
        <x:v>0</x:v>
      </x:c>
      <x:c r="L113" s="30" t="str"/>
      <x:c r="M113" s="30" t="str"/>
      <x:c r="N113" s="49"/>
      <x:c r="O113" s="30" t="str">
        <x:v>Not Assessed</x:v>
      </x:c>
      <x:c r="P113" s="30" t="n">
        <x:f>IF(G113="Critical",5,IF(G113="High",4,IF(G113="Medium",3,2)))</x:f>
        <x:v>4</x:v>
      </x:c>
      <x:c r="Q113" s="45" t="n">
        <x:f>P113*K113</x:f>
        <x:v>0</x:v>
      </x:c>
      <x:c r="R113" s="45" t="n">
        <x:f>P113-Q113</x:f>
        <x:v>4</x:v>
      </x:c>
      <x:c r="S113" s="30" t="str"/>
      <x:c r="T113" s="49"/>
      <x:c r="U113" s="30" t="str">
        <x:v>SRC-01</x:v>
      </x:c>
      <x:c r="V113" s="30" t="str">
        <x:v>https://www.nccoe.nist.gov/publication/1800-28/VolB/index.html</x:v>
      </x:c>
      <x:c r="W113" s="31" t="str"/>
    </x:row>
    <x:row r="114">
      <x:c r="A114" s="15" t="str">
        <x:v>RBI-113</x:v>
      </x:c>
      <x:c r="B114" s="16" t="str">
        <x:v>Incident Response</x:v>
      </x:c>
      <x:c r="C114" s="16" t="str">
        <x:v>Containment</x:v>
      </x:c>
      <x:c r="D114" s="30" t="str">
        <x:v>Provide immediate user, device, destination, file and extension blocking without waiting for global policy deployment.</x:v>
      </x:c>
      <x:c r="E114" s="30" t="str">
        <x:v>Active compromise; rapid propagation</x:v>
      </x:c>
      <x:c r="F114" s="16" t="str">
        <x:v>Mandatory</x:v>
      </x:c>
      <x:c r="G114" s="16" t="str">
        <x:v>Critical</x:v>
      </x:c>
      <x:c r="H114" s="30" t="str">
        <x:v>Universal</x:v>
      </x:c>
      <x:c r="I114" s="30" t="str">
        <x:v>Measure containment latency during an exercise.</x:v>
      </x:c>
      <x:c r="J114" s="16" t="str">
        <x:v>Not Assessed</x:v>
      </x:c>
      <x:c r="K114" s="41" t="n">
        <x:f>IF(J114="Implemented",1,IF(J114="Partially Implemented",0.5,IF(J114="Planned",0.25,IF(J114="Not Applicable",1,0))))</x:f>
        <x:v>0</x:v>
      </x:c>
      <x:c r="L114" s="30" t="str"/>
      <x:c r="M114" s="30" t="str"/>
      <x:c r="N114" s="49"/>
      <x:c r="O114" s="30" t="str">
        <x:v>Not Assessed</x:v>
      </x:c>
      <x:c r="P114" s="30" t="n">
        <x:f>IF(G114="Critical",5,IF(G114="High",4,IF(G114="Medium",3,2)))</x:f>
        <x:v>5</x:v>
      </x:c>
      <x:c r="Q114" s="45" t="n">
        <x:f>P114*K114</x:f>
        <x:v>0</x:v>
      </x:c>
      <x:c r="R114" s="45" t="n">
        <x:f>P114-Q114</x:f>
        <x:v>5</x:v>
      </x:c>
      <x:c r="S114" s="30" t="str"/>
      <x:c r="T114" s="49"/>
      <x:c r="U114" s="30" t="str">
        <x:v>SRC-09</x:v>
      </x:c>
      <x:c r="V114" s="30" t="str">
        <x:v>https://attack.mitre.org/detectionstrategies/DET0044/</x:v>
      </x:c>
      <x:c r="W114" s="31" t="str"/>
    </x:row>
    <x:row r="115">
      <x:c r="A115" s="15" t="str">
        <x:v>RBI-114</x:v>
      </x:c>
      <x:c r="B115" s="16" t="str">
        <x:v>Incident Response</x:v>
      </x:c>
      <x:c r="C115" s="16" t="str">
        <x:v>Session Revocation</x:v>
      </x:c>
      <x:c r="D115" s="30" t="str">
        <x:v>Terminate active isolated sessions and revoke associated application tokens and cookies.</x:v>
      </x:c>
      <x:c r="E115" s="30" t="str">
        <x:v>Session hijacking; ongoing attacker access</x:v>
      </x:c>
      <x:c r="F115" s="16" t="str">
        <x:v>Mandatory</x:v>
      </x:c>
      <x:c r="G115" s="16" t="str">
        <x:v>Critical</x:v>
      </x:c>
      <x:c r="H115" s="30" t="str">
        <x:v>Universal</x:v>
      </x:c>
      <x:c r="I115" s="30" t="str">
        <x:v>Revoke a live session and verify application invalidation.</x:v>
      </x:c>
      <x:c r="J115" s="16" t="str">
        <x:v>Not Assessed</x:v>
      </x:c>
      <x:c r="K115" s="41" t="n">
        <x:f>IF(J115="Implemented",1,IF(J115="Partially Implemented",0.5,IF(J115="Planned",0.25,IF(J115="Not Applicable",1,0))))</x:f>
        <x:v>0</x:v>
      </x:c>
      <x:c r="L115" s="30" t="str"/>
      <x:c r="M115" s="30" t="str"/>
      <x:c r="N115" s="49"/>
      <x:c r="O115" s="30" t="str">
        <x:v>Not Assessed</x:v>
      </x:c>
      <x:c r="P115" s="30" t="n">
        <x:f>IF(G115="Critical",5,IF(G115="High",4,IF(G115="Medium",3,2)))</x:f>
        <x:v>5</x:v>
      </x:c>
      <x:c r="Q115" s="45" t="n">
        <x:f>P115*K115</x:f>
        <x:v>0</x:v>
      </x:c>
      <x:c r="R115" s="45" t="n">
        <x:f>P115-Q115</x:f>
        <x:v>5</x:v>
      </x:c>
      <x:c r="S115" s="30" t="str"/>
      <x:c r="T115" s="49"/>
      <x:c r="U115" s="30" t="str">
        <x:v>SRC-02</x:v>
      </x:c>
      <x:c r="V115" s="30" t="str">
        <x:v>https://pages.nist.gov/zero-trust-architecture/VolumeA/ProjectOverview.html</x:v>
      </x:c>
      <x:c r="W115" s="31" t="str"/>
    </x:row>
    <x:row r="116">
      <x:c r="A116" s="15" t="str">
        <x:v>RBI-115</x:v>
      </x:c>
      <x:c r="B116" s="16" t="str">
        <x:v>Incident Response</x:v>
      </x:c>
      <x:c r="C116" s="16" t="str">
        <x:v>Evidence</x:v>
      </x:c>
      <x:c r="D116" s="30" t="str">
        <x:v>Preserve policy decisions, URLs, files, hashes, extension data, network metadata and audit logs with integrity controls.</x:v>
      </x:c>
      <x:c r="E116" s="30" t="str">
        <x:v>Forensic gaps; repudiation</x:v>
      </x:c>
      <x:c r="F116" s="16" t="str">
        <x:v>Mandatory</x:v>
      </x:c>
      <x:c r="G116" s="16" t="str">
        <x:v>High</x:v>
      </x:c>
      <x:c r="H116" s="30" t="str">
        <x:v>Universal</x:v>
      </x:c>
      <x:c r="I116" s="30" t="str">
        <x:v>Validate evidence export, timestamps and chain-of-custody process.</x:v>
      </x:c>
      <x:c r="J116" s="16" t="str">
        <x:v>Not Assessed</x:v>
      </x:c>
      <x:c r="K116" s="41" t="n">
        <x:f>IF(J116="Implemented",1,IF(J116="Partially Implemented",0.5,IF(J116="Planned",0.25,IF(J116="Not Applicable",1,0))))</x:f>
        <x:v>0</x:v>
      </x:c>
      <x:c r="L116" s="30" t="str"/>
      <x:c r="M116" s="30" t="str"/>
      <x:c r="N116" s="49"/>
      <x:c r="O116" s="30" t="str">
        <x:v>Not Assessed</x:v>
      </x:c>
      <x:c r="P116" s="30" t="n">
        <x:f>IF(G116="Critical",5,IF(G116="High",4,IF(G116="Medium",3,2)))</x:f>
        <x:v>4</x:v>
      </x:c>
      <x:c r="Q116" s="45" t="n">
        <x:f>P116*K116</x:f>
        <x:v>0</x:v>
      </x:c>
      <x:c r="R116" s="45" t="n">
        <x:f>P116-Q116</x:f>
        <x:v>4</x:v>
      </x:c>
      <x:c r="S116" s="30" t="str"/>
      <x:c r="T116" s="49"/>
      <x:c r="U116" s="30" t="str">
        <x:v>SRC-01</x:v>
      </x:c>
      <x:c r="V116" s="30" t="str">
        <x:v>https://www.nccoe.nist.gov/publication/1800-28/VolB/index.html</x:v>
      </x:c>
      <x:c r="W116" s="31" t="str"/>
    </x:row>
    <x:row r="117">
      <x:c r="A117" s="15" t="str">
        <x:v>RBI-116</x:v>
      </x:c>
      <x:c r="B117" s="16" t="str">
        <x:v>Resilience</x:v>
      </x:c>
      <x:c r="C117" s="16" t="str">
        <x:v>Capacity</x:v>
      </x:c>
      <x:c r="D117" s="30" t="str">
        <x:v>Size regional and tenant capacity for peak sessions, protocol abuse and emergency full-isolation mode.</x:v>
      </x:c>
      <x:c r="E117" s="30" t="str">
        <x:v>Service overload; loss of control coverage</x:v>
      </x:c>
      <x:c r="F117" s="16" t="str">
        <x:v>Mandatory</x:v>
      </x:c>
      <x:c r="G117" s="16" t="str">
        <x:v>High</x:v>
      </x:c>
      <x:c r="H117" s="30" t="str">
        <x:v>Universal</x:v>
      </x:c>
      <x:c r="I117" s="30" t="str">
        <x:v>Load-test expected and emergency concurrency.</x:v>
      </x:c>
      <x:c r="J117" s="16" t="str">
        <x:v>Not Assessed</x:v>
      </x:c>
      <x:c r="K117" s="41" t="n">
        <x:f>IF(J117="Implemented",1,IF(J117="Partially Implemented",0.5,IF(J117="Planned",0.25,IF(J117="Not Applicable",1,0))))</x:f>
        <x:v>0</x:v>
      </x:c>
      <x:c r="L117" s="30" t="str"/>
      <x:c r="M117" s="30" t="str"/>
      <x:c r="N117" s="49"/>
      <x:c r="O117" s="30" t="str">
        <x:v>Not Assessed</x:v>
      </x:c>
      <x:c r="P117" s="30" t="n">
        <x:f>IF(G117="Critical",5,IF(G117="High",4,IF(G117="Medium",3,2)))</x:f>
        <x:v>4</x:v>
      </x:c>
      <x:c r="Q117" s="45" t="n">
        <x:f>P117*K117</x:f>
        <x:v>0</x:v>
      </x:c>
      <x:c r="R117" s="45" t="n">
        <x:f>P117-Q117</x:f>
        <x:v>4</x:v>
      </x:c>
      <x:c r="S117" s="30" t="str"/>
      <x:c r="T117" s="49"/>
      <x:c r="U117" s="30" t="str">
        <x:v>SRC-22</x:v>
      </x:c>
      <x:c r="V117" s="30" t="str">
        <x:v>https://www.cisa.gov/news-events/alerts/2023/10/10/http2-rapid-reset-vulnerability-cve-2023-44487</x:v>
      </x:c>
      <x:c r="W117" s="31" t="str"/>
    </x:row>
    <x:row r="118">
      <x:c r="A118" s="15" t="str">
        <x:v>RBI-117</x:v>
      </x:c>
      <x:c r="B118" s="16" t="str">
        <x:v>Resilience</x:v>
      </x:c>
      <x:c r="C118" s="16" t="str">
        <x:v>DDoS Protection</x:v>
      </x:c>
      <x:c r="D118" s="30" t="str">
        <x:v>Protect RBI gateways, proxies and control planes against HTTP/2, HTTP/3, QUIC and volumetric denial-of-service attacks.</x:v>
      </x:c>
      <x:c r="E118" s="30" t="str">
        <x:v>Rapid Reset; QUIC flood; service outage</x:v>
      </x:c>
      <x:c r="F118" s="16" t="str">
        <x:v>Mandatory</x:v>
      </x:c>
      <x:c r="G118" s="16" t="str">
        <x:v>Critical</x:v>
      </x:c>
      <x:c r="H118" s="30" t="str">
        <x:v>Cloud RBI</x:v>
      </x:c>
      <x:c r="I118" s="30" t="str">
        <x:v>Conduct controlled edge and application-layer DDoS tests.</x:v>
      </x:c>
      <x:c r="J118" s="16" t="str">
        <x:v>Not Assessed</x:v>
      </x:c>
      <x:c r="K118" s="41" t="n">
        <x:f>IF(J118="Implemented",1,IF(J118="Partially Implemented",0.5,IF(J118="Planned",0.25,IF(J118="Not Applicable",1,0))))</x:f>
        <x:v>0</x:v>
      </x:c>
      <x:c r="L118" s="30" t="str"/>
      <x:c r="M118" s="30" t="str"/>
      <x:c r="N118" s="49"/>
      <x:c r="O118" s="30" t="str">
        <x:v>Not Assessed</x:v>
      </x:c>
      <x:c r="P118" s="30" t="n">
        <x:f>IF(G118="Critical",5,IF(G118="High",4,IF(G118="Medium",3,2)))</x:f>
        <x:v>5</x:v>
      </x:c>
      <x:c r="Q118" s="45" t="n">
        <x:f>P118*K118</x:f>
        <x:v>0</x:v>
      </x:c>
      <x:c r="R118" s="45" t="n">
        <x:f>P118-Q118</x:f>
        <x:v>5</x:v>
      </x:c>
      <x:c r="S118" s="30" t="str"/>
      <x:c r="T118" s="49"/>
      <x:c r="U118" s="30" t="str">
        <x:v>SRC-22</x:v>
      </x:c>
      <x:c r="V118" s="30" t="str">
        <x:v>https://www.cisa.gov/news-events/alerts/2023/10/10/http2-rapid-reset-vulnerability-cve-2023-44487</x:v>
      </x:c>
      <x:c r="W118" s="31" t="str"/>
    </x:row>
    <x:row r="119">
      <x:c r="A119" s="15" t="str">
        <x:v>RBI-118</x:v>
      </x:c>
      <x:c r="B119" s="16" t="str">
        <x:v>Resilience</x:v>
      </x:c>
      <x:c r="C119" s="16" t="str">
        <x:v>Regional Failover</x:v>
      </x:c>
      <x:c r="D119" s="30" t="str">
        <x:v>Provide tested regional failover that preserves identity, policy, logging and fail-closed behavior.</x:v>
      </x:c>
      <x:c r="E119" s="30" t="str">
        <x:v>Regional outage; policy inconsistency</x:v>
      </x:c>
      <x:c r="F119" s="16" t="str">
        <x:v>Mandatory</x:v>
      </x:c>
      <x:c r="G119" s="16" t="str">
        <x:v>High</x:v>
      </x:c>
      <x:c r="H119" s="30" t="str">
        <x:v>Cloud RBI</x:v>
      </x:c>
      <x:c r="I119" s="30" t="str">
        <x:v>Execute regional failover and compare policy outcomes.</x:v>
      </x:c>
      <x:c r="J119" s="16" t="str">
        <x:v>Not Assessed</x:v>
      </x:c>
      <x:c r="K119" s="41" t="n">
        <x:f>IF(J119="Implemented",1,IF(J119="Partially Implemented",0.5,IF(J119="Planned",0.25,IF(J119="Not Applicable",1,0))))</x:f>
        <x:v>0</x:v>
      </x:c>
      <x:c r="L119" s="30" t="str"/>
      <x:c r="M119" s="30" t="str"/>
      <x:c r="N119" s="49"/>
      <x:c r="O119" s="30" t="str">
        <x:v>Not Assessed</x:v>
      </x:c>
      <x:c r="P119" s="30" t="n">
        <x:f>IF(G119="Critical",5,IF(G119="High",4,IF(G119="Medium",3,2)))</x:f>
        <x:v>4</x:v>
      </x:c>
      <x:c r="Q119" s="45" t="n">
        <x:f>P119*K119</x:f>
        <x:v>0</x:v>
      </x:c>
      <x:c r="R119" s="45" t="n">
        <x:f>P119-Q119</x:f>
        <x:v>4</x:v>
      </x:c>
      <x:c r="S119" s="30" t="str"/>
      <x:c r="T119" s="49"/>
      <x:c r="U119" s="30" t="str">
        <x:v>SRC-01</x:v>
      </x:c>
      <x:c r="V119" s="30" t="str">
        <x:v>https://www.nccoe.nist.gov/publication/1800-28/VolB/index.html</x:v>
      </x:c>
      <x:c r="W119" s="31" t="str"/>
    </x:row>
    <x:row r="120">
      <x:c r="A120" s="15" t="str">
        <x:v>RBI-119</x:v>
      </x:c>
      <x:c r="B120" s="16" t="str">
        <x:v>Governance &amp; Assurance</x:v>
      </x:c>
      <x:c r="C120" s="16" t="str">
        <x:v>Threat Model</x:v>
      </x:c>
      <x:c r="D120" s="30" t="str">
        <x:v>Maintain an RBI threat model covering endpoint, remoting protocol, provider control plane, browser runtime, extensions and egress paths.</x:v>
      </x:c>
      <x:c r="E120" s="30" t="str">
        <x:v>Unaddressed architecture risk</x:v>
      </x:c>
      <x:c r="F120" s="16" t="str">
        <x:v>Mandatory</x:v>
      </x:c>
      <x:c r="G120" s="16" t="str">
        <x:v>High</x:v>
      </x:c>
      <x:c r="H120" s="30" t="str">
        <x:v>Universal</x:v>
      </x:c>
      <x:c r="I120" s="30" t="str">
        <x:v>Review threat model against current architecture and attack taxonomy.</x:v>
      </x:c>
      <x:c r="J120" s="16" t="str">
        <x:v>Not Assessed</x:v>
      </x:c>
      <x:c r="K120" s="41" t="n">
        <x:f>IF(J120="Implemented",1,IF(J120="Partially Implemented",0.5,IF(J120="Planned",0.25,IF(J120="Not Applicable",1,0))))</x:f>
        <x:v>0</x:v>
      </x:c>
      <x:c r="L120" s="30" t="str"/>
      <x:c r="M120" s="30" t="str"/>
      <x:c r="N120" s="49"/>
      <x:c r="O120" s="30" t="str">
        <x:v>Not Assessed</x:v>
      </x:c>
      <x:c r="P120" s="30" t="n">
        <x:f>IF(G120="Critical",5,IF(G120="High",4,IF(G120="Medium",3,2)))</x:f>
        <x:v>4</x:v>
      </x:c>
      <x:c r="Q120" s="45" t="n">
        <x:f>P120*K120</x:f>
        <x:v>0</x:v>
      </x:c>
      <x:c r="R120" s="45" t="n">
        <x:f>P120-Q120</x:f>
        <x:v>4</x:v>
      </x:c>
      <x:c r="S120" s="30" t="str"/>
      <x:c r="T120" s="49"/>
      <x:c r="U120" s="30" t="str">
        <x:v>SRC-03</x:v>
      </x:c>
      <x:c r="V120" s="30" t="str">
        <x:v>https://attack.mitre.org/mitigations/M1048/</x:v>
      </x:c>
      <x:c r="W120" s="31" t="str"/>
    </x:row>
    <x:row r="121">
      <x:c r="A121" s="15" t="str">
        <x:v>RBI-120</x:v>
      </x:c>
      <x:c r="B121" s="16" t="str">
        <x:v>Governance &amp; Assurance</x:v>
      </x:c>
      <x:c r="C121" s="16" t="str">
        <x:v>Penetration Testing</x:v>
      </x:c>
      <x:c r="D121" s="30" t="str">
        <x:v>Test isolation escape, policy bypass, cross-session leakage, extension abuse, tunneling and file transfer at least annually.</x:v>
      </x:c>
      <x:c r="E121" s="30" t="str">
        <x:v>Unknown control weaknesses</x:v>
      </x:c>
      <x:c r="F121" s="16" t="str">
        <x:v>Mandatory</x:v>
      </x:c>
      <x:c r="G121" s="16" t="str">
        <x:v>Critical</x:v>
      </x:c>
      <x:c r="H121" s="30" t="str">
        <x:v>Universal</x:v>
      </x:c>
      <x:c r="I121" s="30" t="str">
        <x:v>Review scope and remediation of independent penetration tests.</x:v>
      </x:c>
      <x:c r="J121" s="16" t="str">
        <x:v>Not Assessed</x:v>
      </x:c>
      <x:c r="K121" s="41" t="n">
        <x:f>IF(J121="Implemented",1,IF(J121="Partially Implemented",0.5,IF(J121="Planned",0.25,IF(J121="Not Applicable",1,0))))</x:f>
        <x:v>0</x:v>
      </x:c>
      <x:c r="L121" s="30" t="str"/>
      <x:c r="M121" s="30" t="str"/>
      <x:c r="N121" s="49"/>
      <x:c r="O121" s="30" t="str">
        <x:v>Not Assessed</x:v>
      </x:c>
      <x:c r="P121" s="30" t="n">
        <x:f>IF(G121="Critical",5,IF(G121="High",4,IF(G121="Medium",3,2)))</x:f>
        <x:v>5</x:v>
      </x:c>
      <x:c r="Q121" s="45" t="n">
        <x:f>P121*K121</x:f>
        <x:v>0</x:v>
      </x:c>
      <x:c r="R121" s="45" t="n">
        <x:f>P121-Q121</x:f>
        <x:v>5</x:v>
      </x:c>
      <x:c r="S121" s="30" t="str"/>
      <x:c r="T121" s="49"/>
      <x:c r="U121" s="30" t="str">
        <x:v>SRC-03</x:v>
      </x:c>
      <x:c r="V121" s="30" t="str">
        <x:v>https://attack.mitre.org/mitigations/M1048/</x:v>
      </x:c>
      <x:c r="W121" s="31" t="str"/>
    </x:row>
    <x:row r="122">
      <x:c r="A122" s="15" t="str">
        <x:v>RBI-121</x:v>
      </x:c>
      <x:c r="B122" s="16" t="str">
        <x:v>Governance &amp; Assurance</x:v>
      </x:c>
      <x:c r="C122" s="16" t="str">
        <x:v>Protocol Regression</x:v>
      </x:c>
      <x:c r="D122" s="30" t="str">
        <x:v>Regression-test HTTP/2, HTTP/3, MASQUE, WebSocket, WebTransport, WebRTC, DoH and DoQ after material changes.</x:v>
      </x:c>
      <x:c r="E122" s="30" t="str">
        <x:v>Emerging protocol bypass</x:v>
      </x:c>
      <x:c r="F122" s="16" t="str">
        <x:v>Mandatory</x:v>
      </x:c>
      <x:c r="G122" s="16" t="str">
        <x:v>High</x:v>
      </x:c>
      <x:c r="H122" s="30" t="str">
        <x:v>Universal</x:v>
      </x:c>
      <x:c r="I122" s="30" t="str">
        <x:v>Run automated protocol policy tests after upgrades.</x:v>
      </x:c>
      <x:c r="J122" s="16" t="str">
        <x:v>Not Assessed</x:v>
      </x:c>
      <x:c r="K122" s="41" t="n">
        <x:f>IF(J122="Implemented",1,IF(J122="Partially Implemented",0.5,IF(J122="Planned",0.25,IF(J122="Not Applicable",1,0))))</x:f>
        <x:v>0</x:v>
      </x:c>
      <x:c r="L122" s="30" t="str"/>
      <x:c r="M122" s="30" t="str"/>
      <x:c r="N122" s="49"/>
      <x:c r="O122" s="30" t="str">
        <x:v>Not Assessed</x:v>
      </x:c>
      <x:c r="P122" s="30" t="n">
        <x:f>IF(G122="Critical",5,IF(G122="High",4,IF(G122="Medium",3,2)))</x:f>
        <x:v>4</x:v>
      </x:c>
      <x:c r="Q122" s="45" t="n">
        <x:f>P122*K122</x:f>
        <x:v>0</x:v>
      </x:c>
      <x:c r="R122" s="45" t="n">
        <x:f>P122-Q122</x:f>
        <x:v>4</x:v>
      </x:c>
      <x:c r="S122" s="30" t="str"/>
      <x:c r="T122" s="49"/>
      <x:c r="U122" s="30" t="str">
        <x:v>SRC-11</x:v>
      </x:c>
      <x:c r="V122" s="30" t="str">
        <x:v>https://www.rfc-editor.org/rfc/rfc9113.html</x:v>
      </x:c>
      <x:c r="W122" s="31" t="str"/>
    </x:row>
    <x:row r="123">
      <x:c r="A123" s="15" t="str">
        <x:v>RBI-122</x:v>
      </x:c>
      <x:c r="B123" s="16" t="str">
        <x:v>Governance &amp; Assurance</x:v>
      </x:c>
      <x:c r="C123" s="16" t="str">
        <x:v>Metrics</x:v>
      </x:c>
      <x:c r="D123" s="30" t="str">
        <x:v>Track weighted compliance, critical gaps, extension-removal time, protocol coverage, download releases and policy bypass attempts.</x:v>
      </x:c>
      <x:c r="E123" s="30" t="str">
        <x:v>Weak governance; unknown control effectiveness</x:v>
      </x:c>
      <x:c r="F123" s="16" t="str">
        <x:v>Mandatory</x:v>
      </x:c>
      <x:c r="G123" s="16" t="str">
        <x:v>High</x:v>
      </x:c>
      <x:c r="H123" s="30" t="str">
        <x:v>Universal</x:v>
      </x:c>
      <x:c r="I123" s="30" t="str">
        <x:v>Review dashboard metrics and management reporting.</x:v>
      </x:c>
      <x:c r="J123" s="16" t="str">
        <x:v>Not Assessed</x:v>
      </x:c>
      <x:c r="K123" s="41" t="n">
        <x:f>IF(J123="Implemented",1,IF(J123="Partially Implemented",0.5,IF(J123="Planned",0.25,IF(J123="Not Applicable",1,0))))</x:f>
        <x:v>0</x:v>
      </x:c>
      <x:c r="L123" s="30" t="str"/>
      <x:c r="M123" s="30" t="str"/>
      <x:c r="N123" s="49"/>
      <x:c r="O123" s="30" t="str">
        <x:v>Not Assessed</x:v>
      </x:c>
      <x:c r="P123" s="30" t="n">
        <x:f>IF(G123="Critical",5,IF(G123="High",4,IF(G123="Medium",3,2)))</x:f>
        <x:v>4</x:v>
      </x:c>
      <x:c r="Q123" s="45" t="n">
        <x:f>P123*K123</x:f>
        <x:v>0</x:v>
      </x:c>
      <x:c r="R123" s="45" t="n">
        <x:f>P123-Q123</x:f>
        <x:v>4</x:v>
      </x:c>
      <x:c r="S123" s="30" t="str"/>
      <x:c r="T123" s="49"/>
      <x:c r="U123" s="30" t="str">
        <x:v>SRC-01</x:v>
      </x:c>
      <x:c r="V123" s="30" t="str">
        <x:v>https://www.nccoe.nist.gov/publication/1800-28/VolB/index.html</x:v>
      </x:c>
      <x:c r="W123" s="31" t="str"/>
    </x:row>
    <x:row r="124">
      <x:c r="A124" s="18" t="str">
        <x:v>RBI-123</x:v>
      </x:c>
      <x:c r="B124" s="19" t="str">
        <x:v>Governance &amp; Assurance</x:v>
      </x:c>
      <x:c r="C124" s="19" t="str">
        <x:v>Supplier Assurance</x:v>
      </x:c>
      <x:c r="D124" s="33" t="str">
        <x:v>Assess secure development, vulnerability disclosure, administrative access, subprocessors, incident notification and software supply chain.</x:v>
      </x:c>
      <x:c r="E124" s="33" t="str">
        <x:v>Provider compromise; supply-chain risk</x:v>
      </x:c>
      <x:c r="F124" s="19" t="str">
        <x:v>Mandatory</x:v>
      </x:c>
      <x:c r="G124" s="19" t="str">
        <x:v>High</x:v>
      </x:c>
      <x:c r="H124" s="33" t="str">
        <x:v>Cloud RBI</x:v>
      </x:c>
      <x:c r="I124" s="33" t="str">
        <x:v>Review contractual and independent assurance evidence.</x:v>
      </x:c>
      <x:c r="J124" s="19" t="str">
        <x:v>Not Assessed</x:v>
      </x:c>
      <x:c r="K124" s="42" t="n">
        <x:f>IF(J124="Implemented",1,IF(J124="Partially Implemented",0.5,IF(J124="Planned",0.25,IF(J124="Not Applicable",1,0))))</x:f>
        <x:v>0</x:v>
      </x:c>
      <x:c r="L124" s="33" t="str"/>
      <x:c r="M124" s="33" t="str"/>
      <x:c r="N124" s="50"/>
      <x:c r="O124" s="33" t="str">
        <x:v>Not Assessed</x:v>
      </x:c>
      <x:c r="P124" s="33" t="n">
        <x:f>IF(G124="Critical",5,IF(G124="High",4,IF(G124="Medium",3,2)))</x:f>
        <x:v>4</x:v>
      </x:c>
      <x:c r="Q124" s="46" t="n">
        <x:f>P124*K124</x:f>
        <x:v>0</x:v>
      </x:c>
      <x:c r="R124" s="46" t="n">
        <x:f>P124-Q124</x:f>
        <x:v>4</x:v>
      </x:c>
      <x:c r="S124" s="33" t="str"/>
      <x:c r="T124" s="50"/>
      <x:c r="U124" s="33" t="str">
        <x:v>SRC-01</x:v>
      </x:c>
      <x:c r="V124" s="33" t="str">
        <x:v>https://www.nccoe.nist.gov/publication/1800-28/VolB/index.html</x:v>
      </x:c>
      <x:c r="W124" s="34" t="str"/>
    </x:row>
    <x:row r="125">
      <x:c r="A125" s="217" t="str">
        <x:v>RBI-124</x:v>
      </x:c>
      <x:c r="B125" s="218" t="str">
        <x:v>Policy &amp; Access</x:v>
      </x:c>
      <x:c r="C125" s="218" t="str">
        <x:v>Cross-Domain Continuity</x:v>
      </x:c>
      <x:c r="D125" s="226" t="str">
        <x:v>Re-evaluate isolation policy on every redirect, cross-domain navigation, authentication handoff, new tab, pop-up, frame and application boundary, and prevent silent exit from isolation.</x:v>
      </x:c>
      <x:c r="E125" s="226" t="str">
        <x:v>Cross-domain isolation escape; redirect-based policy bypass</x:v>
      </x:c>
      <x:c r="F125" s="226" t="str">
        <x:v>Mandatory</x:v>
      </x:c>
      <x:c r="G125" s="226" t="str">
        <x:v>Critical</x:v>
      </x:c>
      <x:c r="H125" s="226" t="str">
        <x:v>Universal</x:v>
      </x:c>
      <x:c r="I125" s="226" t="str">
        <x:v>Test redirect chains, SSO handoffs, pop-ups, iframes and domains with different risk classifications.</x:v>
      </x:c>
      <x:c r="J125" s="226" t="str">
        <x:v>Not Assessed</x:v>
      </x:c>
      <x:c r="K125" s="232" t="n">
        <x:f>IF(J125="Implemented",1,IF(J125="Partially Implemented",0.5,IF(J125="Planned",0.25,IF(J125="Not Applicable",1,0))))</x:f>
        <x:v>0</x:v>
      </x:c>
      <x:c r="L125" s="226" t="str"/>
      <x:c r="M125" s="226" t="str"/>
      <x:c r="N125" s="235"/>
      <x:c r="O125" s="226" t="str">
        <x:v>Not Assessed</x:v>
      </x:c>
      <x:c r="P125" s="226" t="n">
        <x:f>IF(G125="Critical",5,IF(G125="High",4,IF(G125="Medium",3,2)))</x:f>
        <x:v>5</x:v>
      </x:c>
      <x:c r="Q125" s="226" t="n">
        <x:f>P125*K125</x:f>
        <x:v>0</x:v>
      </x:c>
      <x:c r="R125" s="226" t="n">
        <x:f>P125-Q125</x:f>
        <x:v>5</x:v>
      </x:c>
      <x:c r="S125" s="226" t="str"/>
      <x:c r="T125" s="235"/>
      <x:c r="U125" s="226" t="str">
        <x:v>SRC-37</x:v>
      </x:c>
      <x:c r="V125" s="226" t="str">
        <x:v>https://docs.netskope.com/en/rbi-best-practices-and-limitations</x:v>
      </x:c>
      <x:c r="W125" s="227" t="str">
        <x:v>Vendor-derived requirement</x:v>
      </x:c>
    </x:row>
    <x:row r="126">
      <x:c r="A126" s="220" t="str">
        <x:v>RBI-125</x:v>
      </x:c>
      <x:c r="B126" s="221" t="str">
        <x:v>Architecture</x:v>
      </x:c>
      <x:c r="C126" s="221" t="str">
        <x:v>Unrenderable Requests</x:v>
      </x:c>
      <x:c r="D126" s="228" t="str">
        <x:v>Define a fail-safe path for requests that match isolation policy but cannot be rendered, including APIs, JSON, software updates, configuration files and non-browser user agents.</x:v>
      </x:c>
      <x:c r="E126" s="228" t="str">
        <x:v>Uninspected request bypass; unsupported-content delivery</x:v>
      </x:c>
      <x:c r="F126" s="228" t="str">
        <x:v>Mandatory</x:v>
      </x:c>
      <x:c r="G126" s="228" t="str">
        <x:v>Critical</x:v>
      </x:c>
      <x:c r="H126" s="228" t="str">
        <x:v>Universal</x:v>
      </x:c>
      <x:c r="I126" s="228" t="str">
        <x:v>Send browser and non-browser HTML, JSON, update and configuration requests and confirm block or equivalent inspection.</x:v>
      </x:c>
      <x:c r="J126" s="228" t="str">
        <x:v>Not Assessed</x:v>
      </x:c>
      <x:c r="K126" s="233" t="n">
        <x:f>IF(J126="Implemented",1,IF(J126="Partially Implemented",0.5,IF(J126="Planned",0.25,IF(J126="Not Applicable",1,0))))</x:f>
        <x:v>0</x:v>
      </x:c>
      <x:c r="L126" s="228" t="str"/>
      <x:c r="M126" s="228" t="str"/>
      <x:c r="N126" s="236"/>
      <x:c r="O126" s="228" t="str">
        <x:v>Not Assessed</x:v>
      </x:c>
      <x:c r="P126" s="228" t="n">
        <x:f>IF(G126="Critical",5,IF(G126="High",4,IF(G126="Medium",3,2)))</x:f>
        <x:v>5</x:v>
      </x:c>
      <x:c r="Q126" s="228" t="n">
        <x:f>P126*K126</x:f>
        <x:v>0</x:v>
      </x:c>
      <x:c r="R126" s="228" t="n">
        <x:f>P126-Q126</x:f>
        <x:v>5</x:v>
      </x:c>
      <x:c r="S126" s="228" t="str"/>
      <x:c r="T126" s="236"/>
      <x:c r="U126" s="228" t="str">
        <x:v>SRC-38</x:v>
      </x:c>
      <x:c r="V126" s="228" t="str">
        <x:v>https://docs.netskope.com/en/extended-rbi-best-practices-and-limitations</x:v>
      </x:c>
      <x:c r="W126" s="229" t="str">
        <x:v>Vendor-derived requirement</x:v>
      </x:c>
    </x:row>
    <x:row r="127">
      <x:c r="A127" s="220" t="str">
        <x:v>RBI-126</x:v>
      </x:c>
      <x:c r="B127" s="221" t="str">
        <x:v>Identity</x:v>
      </x:c>
      <x:c r="C127" s="221" t="str">
        <x:v>Private Navigation</x:v>
      </x:c>
      <x:c r="D127" s="228" t="str">
        <x:v>Enable private navigation by default and require explicit approval, scope, expiration and logging before isolated-session cookies may persist on the endpoint.</x:v>
      </x:c>
      <x:c r="E127" s="228" t="str">
        <x:v>Session-token persistence; cookie replay; local data remanence</x:v>
      </x:c>
      <x:c r="F127" s="228" t="str">
        <x:v>Mandatory</x:v>
      </x:c>
      <x:c r="G127" s="228" t="str">
        <x:v>Critical</x:v>
      </x:c>
      <x:c r="H127" s="228" t="str">
        <x:v>Universal</x:v>
      </x:c>
      <x:c r="I127" s="228" t="str">
        <x:v>Compare private and persistent sessions and verify cookie storage, scope, expiration, clearing and reuse.</x:v>
      </x:c>
      <x:c r="J127" s="228" t="str">
        <x:v>Not Assessed</x:v>
      </x:c>
      <x:c r="K127" s="233" t="n">
        <x:f>IF(J127="Implemented",1,IF(J127="Partially Implemented",0.5,IF(J127="Planned",0.25,IF(J127="Not Applicable",1,0))))</x:f>
        <x:v>0</x:v>
      </x:c>
      <x:c r="L127" s="228" t="str"/>
      <x:c r="M127" s="228" t="str"/>
      <x:c r="N127" s="236"/>
      <x:c r="O127" s="228" t="str">
        <x:v>Not Assessed</x:v>
      </x:c>
      <x:c r="P127" s="228" t="n">
        <x:f>IF(G127="Critical",5,IF(G127="High",4,IF(G127="Medium",3,2)))</x:f>
        <x:v>5</x:v>
      </x:c>
      <x:c r="Q127" s="228" t="n">
        <x:f>P127*K127</x:f>
        <x:v>0</x:v>
      </x:c>
      <x:c r="R127" s="228" t="n">
        <x:f>P127-Q127</x:f>
        <x:v>5</x:v>
      </x:c>
      <x:c r="S127" s="228" t="str"/>
      <x:c r="T127" s="236"/>
      <x:c r="U127" s="228" t="str">
        <x:v>SRC-39</x:v>
      </x:c>
      <x:c r="V127" s="228" t="str">
        <x:v>https://docs.netskope.com/en/rbi-templates</x:v>
      </x:c>
      <x:c r="W127" s="229" t="str">
        <x:v>Vendor-derived requirement</x:v>
      </x:c>
    </x:row>
    <x:row r="128">
      <x:c r="A128" s="220" t="str">
        <x:v>RBI-127</x:v>
      </x:c>
      <x:c r="B128" s="221" t="str">
        <x:v>Identity</x:v>
      </x:c>
      <x:c r="C128" s="221" t="str">
        <x:v>Continuous Context</x:v>
      </x:c>
      <x:c r="D128" s="228" t="str">
        <x:v>Cryptographically associate identity and device context with the full isolated session and continuously re-evaluate posture, risk, network and privilege changes.</x:v>
      </x:c>
      <x:c r="E128" s="228" t="str">
        <x:v>Stale device posture; session continuation after risk change</x:v>
      </x:c>
      <x:c r="F128" s="228" t="str">
        <x:v>Mandatory</x:v>
      </x:c>
      <x:c r="G128" s="228" t="str">
        <x:v>Critical</x:v>
      </x:c>
      <x:c r="H128" s="228" t="str">
        <x:v>Universal</x:v>
      </x:c>
      <x:c r="I128" s="228" t="str">
        <x:v>Change posture, risk score, location and privileges during an active session and confirm enforcement changes.</x:v>
      </x:c>
      <x:c r="J128" s="228" t="str">
        <x:v>Not Assessed</x:v>
      </x:c>
      <x:c r="K128" s="233" t="n">
        <x:f>IF(J128="Implemented",1,IF(J128="Partially Implemented",0.5,IF(J128="Planned",0.25,IF(J128="Not Applicable",1,0))))</x:f>
        <x:v>0</x:v>
      </x:c>
      <x:c r="L128" s="228" t="str"/>
      <x:c r="M128" s="228" t="str"/>
      <x:c r="N128" s="236"/>
      <x:c r="O128" s="228" t="str">
        <x:v>Not Assessed</x:v>
      </x:c>
      <x:c r="P128" s="228" t="n">
        <x:f>IF(G128="Critical",5,IF(G128="High",4,IF(G128="Medium",3,2)))</x:f>
        <x:v>5</x:v>
      </x:c>
      <x:c r="Q128" s="228" t="n">
        <x:f>P128*K128</x:f>
        <x:v>0</x:v>
      </x:c>
      <x:c r="R128" s="228" t="n">
        <x:f>P128-Q128</x:f>
        <x:v>5</x:v>
      </x:c>
      <x:c r="S128" s="228" t="str"/>
      <x:c r="T128" s="236"/>
      <x:c r="U128" s="228" t="str">
        <x:v>SRC-37</x:v>
      </x:c>
      <x:c r="V128" s="228" t="str">
        <x:v>https://docs.netskope.com/en/rbi-best-practices-and-limitations</x:v>
      </x:c>
      <x:c r="W128" s="229" t="str">
        <x:v>Vendor-derived requirement</x:v>
      </x:c>
    </x:row>
    <x:row r="129">
      <x:c r="A129" s="220" t="str">
        <x:v>RBI-128</x:v>
      </x:c>
      <x:c r="B129" s="221" t="str">
        <x:v>Interaction Controls</x:v>
      </x:c>
      <x:c r="C129" s="221" t="str">
        <x:v>Auxiliary Interface Coverage</x:v>
      </x:c>
      <x:c r="D129" s="228" t="str">
        <x:v>Apply keyboard, clipboard and DLP policy to RBI search fields, dialogs, context menus, authentication windows, browser controls and embedded auxiliary interfaces.</x:v>
      </x:c>
      <x:c r="E129" s="228" t="str">
        <x:v>Clipboard bypass; credential leakage through auxiliary UI</x:v>
      </x:c>
      <x:c r="F129" s="228" t="str">
        <x:v>Mandatory</x:v>
      </x:c>
      <x:c r="G129" s="228" t="str">
        <x:v>High</x:v>
      </x:c>
      <x:c r="H129" s="228" t="str">
        <x:v>Universal</x:v>
      </x:c>
      <x:c r="I129" s="228" t="str">
        <x:v>Test copy and paste in search, dialogs, authentication prompts, file names, editors and frames.</x:v>
      </x:c>
      <x:c r="J129" s="228" t="str">
        <x:v>Not Assessed</x:v>
      </x:c>
      <x:c r="K129" s="233" t="n">
        <x:f>IF(J129="Implemented",1,IF(J129="Partially Implemented",0.5,IF(J129="Planned",0.25,IF(J129="Not Applicable",1,0))))</x:f>
        <x:v>0</x:v>
      </x:c>
      <x:c r="L129" s="228" t="str"/>
      <x:c r="M129" s="228" t="str"/>
      <x:c r="N129" s="236"/>
      <x:c r="O129" s="228" t="str">
        <x:v>Not Assessed</x:v>
      </x:c>
      <x:c r="P129" s="228" t="n">
        <x:f>IF(G129="Critical",5,IF(G129="High",4,IF(G129="Medium",3,2)))</x:f>
        <x:v>4</x:v>
      </x:c>
      <x:c r="Q129" s="228" t="n">
        <x:f>P129*K129</x:f>
        <x:v>0</x:v>
      </x:c>
      <x:c r="R129" s="228" t="n">
        <x:f>P129-Q129</x:f>
        <x:v>4</x:v>
      </x:c>
      <x:c r="S129" s="228" t="str"/>
      <x:c r="T129" s="236"/>
      <x:c r="U129" s="228" t="str">
        <x:v>SRC-37</x:v>
      </x:c>
      <x:c r="V129" s="228" t="str">
        <x:v>https://docs.netskope.com/en/rbi-best-practices-and-limitations</x:v>
      </x:c>
      <x:c r="W129" s="229" t="str">
        <x:v>Vendor-derived requirement</x:v>
      </x:c>
    </x:row>
    <x:row r="130">
      <x:c r="A130" s="220" t="str">
        <x:v>RBI-129</x:v>
      </x:c>
      <x:c r="B130" s="221" t="str">
        <x:v>Browser Runtime</x:v>
      </x:c>
      <x:c r="C130" s="221" t="str">
        <x:v>Permission Governance</x:v>
      </x:c>
      <x:c r="D130" s="228" t="str">
        <x:v>Centrally inventory, authorize, expire and revoke browser permissions granted during isolated sessions, including notifications, clipboard, camera, microphone, location and screen sharing.</x:v>
      </x:c>
      <x:c r="E130" s="228" t="str">
        <x:v>Persisted browser permission abuse; privacy loss</x:v>
      </x:c>
      <x:c r="F130" s="228" t="str">
        <x:v>Mandatory</x:v>
      </x:c>
      <x:c r="G130" s="228" t="str">
        <x:v>High</x:v>
      </x:c>
      <x:c r="H130" s="228" t="str">
        <x:v>Universal</x:v>
      </x:c>
      <x:c r="I130" s="228" t="str">
        <x:v>Grant permissions and verify visibility, expiration, revocation and later-session behavior.</x:v>
      </x:c>
      <x:c r="J130" s="228" t="str">
        <x:v>Not Assessed</x:v>
      </x:c>
      <x:c r="K130" s="233" t="n">
        <x:f>IF(J130="Implemented",1,IF(J130="Partially Implemented",0.5,IF(J130="Planned",0.25,IF(J130="Not Applicable",1,0))))</x:f>
        <x:v>0</x:v>
      </x:c>
      <x:c r="L130" s="228" t="str"/>
      <x:c r="M130" s="228" t="str"/>
      <x:c r="N130" s="236"/>
      <x:c r="O130" s="228" t="str">
        <x:v>Not Assessed</x:v>
      </x:c>
      <x:c r="P130" s="228" t="n">
        <x:f>IF(G130="Critical",5,IF(G130="High",4,IF(G130="Medium",3,2)))</x:f>
        <x:v>4</x:v>
      </x:c>
      <x:c r="Q130" s="228" t="n">
        <x:f>P130*K130</x:f>
        <x:v>0</x:v>
      </x:c>
      <x:c r="R130" s="228" t="n">
        <x:f>P130-Q130</x:f>
        <x:v>4</x:v>
      </x:c>
      <x:c r="S130" s="228" t="str"/>
      <x:c r="T130" s="236"/>
      <x:c r="U130" s="228" t="str">
        <x:v>SRC-37</x:v>
      </x:c>
      <x:c r="V130" s="228" t="str">
        <x:v>https://docs.netskope.com/en/rbi-best-practices-and-limitations</x:v>
      </x:c>
      <x:c r="W130" s="229" t="str">
        <x:v>Vendor-derived requirement</x:v>
      </x:c>
    </x:row>
    <x:row r="131">
      <x:c r="A131" s="220" t="str">
        <x:v>RBI-130</x:v>
      </x:c>
      <x:c r="B131" s="221" t="str">
        <x:v>Architecture</x:v>
      </x:c>
      <x:c r="C131" s="221" t="str">
        <x:v>Control Failure Defaults</x:v>
      </x:c>
      <x:c r="D131" s="228" t="str">
        <x:v>Define secure failure actions so policy-processing failure blocks copy, paste, print, screenshots, screen sharing, upload and download while preserving warnings and watermarks.</x:v>
      </x:c>
      <x:c r="E131" s="228" t="str">
        <x:v>Fail-open data leakage; control-plane failure</x:v>
      </x:c>
      <x:c r="F131" s="228" t="str">
        <x:v>Mandatory</x:v>
      </x:c>
      <x:c r="G131" s="228" t="str">
        <x:v>Critical</x:v>
      </x:c>
      <x:c r="H131" s="228" t="str">
        <x:v>Universal</x:v>
      </x:c>
      <x:c r="I131" s="228" t="str">
        <x:v>Simulate policy-engine and control-plane failures for every governed action.</x:v>
      </x:c>
      <x:c r="J131" s="228" t="str">
        <x:v>Not Assessed</x:v>
      </x:c>
      <x:c r="K131" s="233" t="n">
        <x:f>IF(J131="Implemented",1,IF(J131="Partially Implemented",0.5,IF(J131="Planned",0.25,IF(J131="Not Applicable",1,0))))</x:f>
        <x:v>0</x:v>
      </x:c>
      <x:c r="L131" s="228" t="str"/>
      <x:c r="M131" s="228" t="str"/>
      <x:c r="N131" s="236"/>
      <x:c r="O131" s="228" t="str">
        <x:v>Not Assessed</x:v>
      </x:c>
      <x:c r="P131" s="228" t="n">
        <x:f>IF(G131="Critical",5,IF(G131="High",4,IF(G131="Medium",3,2)))</x:f>
        <x:v>5</x:v>
      </x:c>
      <x:c r="Q131" s="228" t="n">
        <x:f>P131*K131</x:f>
        <x:v>0</x:v>
      </x:c>
      <x:c r="R131" s="228" t="n">
        <x:f>P131-Q131</x:f>
        <x:v>5</x:v>
      </x:c>
      <x:c r="S131" s="228" t="str"/>
      <x:c r="T131" s="236"/>
      <x:c r="U131" s="228" t="str">
        <x:v>SRC-37</x:v>
      </x:c>
      <x:c r="V131" s="228" t="str">
        <x:v>https://docs.netskope.com/en/rbi-best-practices-and-limitations</x:v>
      </x:c>
      <x:c r="W131" s="229" t="str">
        <x:v>Vendor-derived requirement</x:v>
      </x:c>
    </x:row>
    <x:row r="132">
      <x:c r="A132" s="220" t="str">
        <x:v>RBI-131</x:v>
      </x:c>
      <x:c r="B132" s="221" t="str">
        <x:v>Policy &amp; Access</x:v>
      </x:c>
      <x:c r="C132" s="221" t="str">
        <x:v>Application Instance Awareness</x:v>
      </x:c>
      <x:c r="D132" s="228" t="str">
        <x:v>Distinguish corporate, personal, partner and unknown instances of the same SaaS or AI application and enforce separate access, DLP and isolation policy.</x:v>
      </x:c>
      <x:c r="E132" s="228" t="str">
        <x:v>Personal-tenant exfiltration; shadow SaaS; shadow AI</x:v>
      </x:c>
      <x:c r="F132" s="228" t="str">
        <x:v>Mandatory</x:v>
      </x:c>
      <x:c r="G132" s="228" t="str">
        <x:v>Critical</x:v>
      </x:c>
      <x:c r="H132" s="228" t="str">
        <x:v>Enterprise SaaS and AI</x:v>
      </x:c>
      <x:c r="I132" s="228" t="str">
        <x:v>Test corporate and personal Microsoft, Google, GitHub, storage and AI accounts.</x:v>
      </x:c>
      <x:c r="J132" s="228" t="str">
        <x:v>Not Assessed</x:v>
      </x:c>
      <x:c r="K132" s="233" t="n">
        <x:f>IF(J132="Implemented",1,IF(J132="Partially Implemented",0.5,IF(J132="Planned",0.25,IF(J132="Not Applicable",1,0))))</x:f>
        <x:v>0</x:v>
      </x:c>
      <x:c r="L132" s="228" t="str"/>
      <x:c r="M132" s="228" t="str"/>
      <x:c r="N132" s="236"/>
      <x:c r="O132" s="228" t="str">
        <x:v>Not Assessed</x:v>
      </x:c>
      <x:c r="P132" s="228" t="n">
        <x:f>IF(G132="Critical",5,IF(G132="High",4,IF(G132="Medium",3,2)))</x:f>
        <x:v>5</x:v>
      </x:c>
      <x:c r="Q132" s="228" t="n">
        <x:f>P132*K132</x:f>
        <x:v>0</x:v>
      </x:c>
      <x:c r="R132" s="228" t="n">
        <x:f>P132-Q132</x:f>
        <x:v>5</x:v>
      </x:c>
      <x:c r="S132" s="228" t="str"/>
      <x:c r="T132" s="236"/>
      <x:c r="U132" s="228" t="str">
        <x:v>SRC-38</x:v>
      </x:c>
      <x:c r="V132" s="228" t="str">
        <x:v>https://docs.netskope.com/en/extended-rbi-best-practices-and-limitations</x:v>
      </x:c>
      <x:c r="W132" s="229" t="str">
        <x:v>Vendor-derived requirement</x:v>
      </x:c>
    </x:row>
    <x:row r="133">
      <x:c r="A133" s="220" t="str">
        <x:v>RBI-132</x:v>
      </x:c>
      <x:c r="B133" s="221" t="str">
        <x:v>Tunneling &amp; Egress</x:v>
      </x:c>
      <x:c r="C133" s="221" t="str">
        <x:v>Certificate-Pinned Exceptions</x:v>
      </x:c>
      <x:c r="D133" s="228" t="str">
        <x:v>Maintain an approved inventory of certificate-pinned applications and TLS-inspection exceptions with owner, platform, process, domains, justification, compensating controls and expiration.</x:v>
      </x:c>
      <x:c r="E133" s="228" t="str">
        <x:v>Inspection bypass; unmanaged application egress</x:v>
      </x:c>
      <x:c r="F133" s="228" t="str">
        <x:v>Mandatory</x:v>
      </x:c>
      <x:c r="G133" s="228" t="str">
        <x:v>Critical</x:v>
      </x:c>
      <x:c r="H133" s="228" t="str">
        <x:v>Managed Endpoints</x:v>
      </x:c>
      <x:c r="I133" s="228" t="str">
        <x:v>Reconcile steering exceptions and attempt unapproved certificate-pinned traffic.</x:v>
      </x:c>
      <x:c r="J133" s="228" t="str">
        <x:v>Not Assessed</x:v>
      </x:c>
      <x:c r="K133" s="233" t="n">
        <x:f>IF(J133="Implemented",1,IF(J133="Partially Implemented",0.5,IF(J133="Planned",0.25,IF(J133="Not Applicable",1,0))))</x:f>
        <x:v>0</x:v>
      </x:c>
      <x:c r="L133" s="228" t="str"/>
      <x:c r="M133" s="228" t="str"/>
      <x:c r="N133" s="236"/>
      <x:c r="O133" s="228" t="str">
        <x:v>Not Assessed</x:v>
      </x:c>
      <x:c r="P133" s="228" t="n">
        <x:f>IF(G133="Critical",5,IF(G133="High",4,IF(G133="Medium",3,2)))</x:f>
        <x:v>5</x:v>
      </x:c>
      <x:c r="Q133" s="228" t="n">
        <x:f>P133*K133</x:f>
        <x:v>0</x:v>
      </x:c>
      <x:c r="R133" s="228" t="n">
        <x:f>P133-Q133</x:f>
        <x:v>5</x:v>
      </x:c>
      <x:c r="S133" s="228" t="str"/>
      <x:c r="T133" s="236"/>
      <x:c r="U133" s="228" t="str">
        <x:v>SRC-40</x:v>
      </x:c>
      <x:c r="V133" s="228" t="str">
        <x:v>https://docs.netskope.com/en/adding-exceptions</x:v>
      </x:c>
      <x:c r="W133" s="229" t="str">
        <x:v>Vendor-derived requirement</x:v>
      </x:c>
    </x:row>
    <x:row r="134">
      <x:c r="A134" s="220" t="str">
        <x:v>RBI-133</x:v>
      </x:c>
      <x:c r="B134" s="221" t="str">
        <x:v>Files &amp; Content</x:v>
      </x:c>
      <x:c r="C134" s="221" t="str">
        <x:v>Partial Content Correlation</x:v>
      </x:c>
      <x:c r="D134" s="228" t="str">
        <x:v>Apply a block or malware verdict to all range, retry, resume, alternate URL and partial-content requests associated with the same file object.</x:v>
      </x:c>
      <x:c r="E134" s="228" t="str">
        <x:v>Partial-download bypass; resumed malware delivery</x:v>
      </x:c>
      <x:c r="F134" s="228" t="str">
        <x:v>Mandatory</x:v>
      </x:c>
      <x:c r="G134" s="228" t="str">
        <x:v>High</x:v>
      </x:c>
      <x:c r="H134" s="228" t="str">
        <x:v>Downloaded Files</x:v>
      </x:c>
      <x:c r="I134" s="228" t="str">
        <x:v>Block a file and attempt byte-range, resumed, redirected and alternate-CDN retrieval.</x:v>
      </x:c>
      <x:c r="J134" s="228" t="str">
        <x:v>Not Assessed</x:v>
      </x:c>
      <x:c r="K134" s="233" t="n">
        <x:f>IF(J134="Implemented",1,IF(J134="Partially Implemented",0.5,IF(J134="Planned",0.25,IF(J134="Not Applicable",1,0))))</x:f>
        <x:v>0</x:v>
      </x:c>
      <x:c r="L134" s="228" t="str"/>
      <x:c r="M134" s="228" t="str"/>
      <x:c r="N134" s="236"/>
      <x:c r="O134" s="228" t="str">
        <x:v>Not Assessed</x:v>
      </x:c>
      <x:c r="P134" s="228" t="n">
        <x:f>IF(G134="Critical",5,IF(G134="High",4,IF(G134="Medium",3,2)))</x:f>
        <x:v>4</x:v>
      </x:c>
      <x:c r="Q134" s="228" t="n">
        <x:f>P134*K134</x:f>
        <x:v>0</x:v>
      </x:c>
      <x:c r="R134" s="228" t="n">
        <x:f>P134-Q134</x:f>
        <x:v>4</x:v>
      </x:c>
      <x:c r="S134" s="228" t="str"/>
      <x:c r="T134" s="236"/>
      <x:c r="U134" s="228" t="str">
        <x:v>SRC-37</x:v>
      </x:c>
      <x:c r="V134" s="228" t="str">
        <x:v>https://docs.netskope.com/en/rbi-best-practices-and-limitations</x:v>
      </x:c>
      <x:c r="W134" s="229" t="str">
        <x:v>Vendor-derived requirement</x:v>
      </x:c>
    </x:row>
    <x:row r="135">
      <x:c r="A135" s="220" t="str">
        <x:v>RBI-134</x:v>
      </x:c>
      <x:c r="B135" s="221" t="str">
        <x:v>Governance &amp; Assurance</x:v>
      </x:c>
      <x:c r="C135" s="221" t="str">
        <x:v>Regional Capability Matrix</x:v>
      </x:c>
      <x:c r="D135" s="228" t="str">
        <x:v>Maintain a region-by-region capability matrix for RBI, DLP, DNS security, traffic steering, file analysis, AI controls and logging.</x:v>
      </x:c>
      <x:c r="E135" s="228" t="str">
        <x:v>Regional enforcement gaps; data-residency mismatch</x:v>
      </x:c>
      <x:c r="F135" s="228" t="str">
        <x:v>Mandatory</x:v>
      </x:c>
      <x:c r="G135" s="228" t="str">
        <x:v>High</x:v>
      </x:c>
      <x:c r="H135" s="228" t="str">
        <x:v>Global Deployments</x:v>
      </x:c>
      <x:c r="I135" s="228" t="str">
        <x:v>Compare configuration and test outcomes from every production region.</x:v>
      </x:c>
      <x:c r="J135" s="228" t="str">
        <x:v>Not Assessed</x:v>
      </x:c>
      <x:c r="K135" s="233" t="n">
        <x:f>IF(J135="Implemented",1,IF(J135="Partially Implemented",0.5,IF(J135="Planned",0.25,IF(J135="Not Applicable",1,0))))</x:f>
        <x:v>0</x:v>
      </x:c>
      <x:c r="L135" s="228" t="str"/>
      <x:c r="M135" s="228" t="str"/>
      <x:c r="N135" s="236"/>
      <x:c r="O135" s="228" t="str">
        <x:v>Not Assessed</x:v>
      </x:c>
      <x:c r="P135" s="228" t="n">
        <x:f>IF(G135="Critical",5,IF(G135="High",4,IF(G135="Medium",3,2)))</x:f>
        <x:v>4</x:v>
      </x:c>
      <x:c r="Q135" s="228" t="n">
        <x:f>P135*K135</x:f>
        <x:v>0</x:v>
      </x:c>
      <x:c r="R135" s="228" t="n">
        <x:f>P135-Q135</x:f>
        <x:v>4</x:v>
      </x:c>
      <x:c r="S135" s="228" t="str"/>
      <x:c r="T135" s="236"/>
      <x:c r="U135" s="228" t="str">
        <x:v>SRC-37</x:v>
      </x:c>
      <x:c r="V135" s="228" t="str">
        <x:v>https://docs.netskope.com/en/rbi-best-practices-and-limitations</x:v>
      </x:c>
      <x:c r="W135" s="229" t="str">
        <x:v>Vendor-derived requirement</x:v>
      </x:c>
    </x:row>
    <x:row r="136">
      <x:c r="A136" s="220" t="str">
        <x:v>RBI-135</x:v>
      </x:c>
      <x:c r="B136" s="221" t="str">
        <x:v>Monitoring &amp; Detection</x:v>
      </x:c>
      <x:c r="C136" s="221" t="str">
        <x:v>Enforcement Mode Telemetry</x:v>
      </x:c>
      <x:c r="D136" s="228" t="str">
        <x:v>Record whether each transaction used targeted RBI, extended RBI, enterprise-browser controls, normal SWG inspection, a fallback path or an exception.</x:v>
      </x:c>
      <x:c r="E136" s="228" t="str">
        <x:v>Unknown protection mode; hidden fallback</x:v>
      </x:c>
      <x:c r="F136" s="228" t="str">
        <x:v>Mandatory</x:v>
      </x:c>
      <x:c r="G136" s="228" t="str">
        <x:v>High</x:v>
      </x:c>
      <x:c r="H136" s="228" t="str">
        <x:v>Universal</x:v>
      </x:c>
      <x:c r="I136" s="228" t="str">
        <x:v>Generate sessions through every mode and verify explicit mode and transition events.</x:v>
      </x:c>
      <x:c r="J136" s="228" t="str">
        <x:v>Not Assessed</x:v>
      </x:c>
      <x:c r="K136" s="233" t="n">
        <x:f>IF(J136="Implemented",1,IF(J136="Partially Implemented",0.5,IF(J136="Planned",0.25,IF(J136="Not Applicable",1,0))))</x:f>
        <x:v>0</x:v>
      </x:c>
      <x:c r="L136" s="228" t="str"/>
      <x:c r="M136" s="228" t="str"/>
      <x:c r="N136" s="236"/>
      <x:c r="O136" s="228" t="str">
        <x:v>Not Assessed</x:v>
      </x:c>
      <x:c r="P136" s="228" t="n">
        <x:f>IF(G136="Critical",5,IF(G136="High",4,IF(G136="Medium",3,2)))</x:f>
        <x:v>4</x:v>
      </x:c>
      <x:c r="Q136" s="228" t="n">
        <x:f>P136*K136</x:f>
        <x:v>0</x:v>
      </x:c>
      <x:c r="R136" s="228" t="n">
        <x:f>P136-Q136</x:f>
        <x:v>4</x:v>
      </x:c>
      <x:c r="S136" s="228" t="str"/>
      <x:c r="T136" s="236"/>
      <x:c r="U136" s="228" t="str">
        <x:v>SRC-38</x:v>
      </x:c>
      <x:c r="V136" s="228" t="str">
        <x:v>https://docs.netskope.com/en/extended-rbi-best-practices-and-limitations</x:v>
      </x:c>
      <x:c r="W136" s="229" t="str">
        <x:v>Vendor-derived requirement</x:v>
      </x:c>
    </x:row>
    <x:row r="137">
      <x:c r="A137" s="220" t="str">
        <x:v>RBI-136</x:v>
      </x:c>
      <x:c r="B137" s="221" t="str">
        <x:v>Governance &amp; Assurance</x:v>
      </x:c>
      <x:c r="C137" s="221" t="str">
        <x:v>Feature Dependency Matrix</x:v>
      </x:c>
      <x:c r="D137" s="228" t="str">
        <x:v>Maintain a licensing, entitlement and dependency matrix for RBI, DLP, DNS security, non-HTTP traffic, AI guardrails, MCP security, browser controls and regional services.</x:v>
      </x:c>
      <x:c r="E137" s="228" t="str">
        <x:v>Control assumed but not licensed; incomplete deployment</x:v>
      </x:c>
      <x:c r="F137" s="228" t="str">
        <x:v>Mandatory</x:v>
      </x:c>
      <x:c r="G137" s="228" t="str">
        <x:v>Medium</x:v>
      </x:c>
      <x:c r="H137" s="228" t="str">
        <x:v>Universal</x:v>
      </x:c>
      <x:c r="I137" s="228" t="str">
        <x:v>Compare entitlements, enabled features, policy dependencies and actual telemetry.</x:v>
      </x:c>
      <x:c r="J137" s="228" t="str">
        <x:v>Not Assessed</x:v>
      </x:c>
      <x:c r="K137" s="233" t="n">
        <x:f>IF(J137="Implemented",1,IF(J137="Partially Implemented",0.5,IF(J137="Planned",0.25,IF(J137="Not Applicable",1,0))))</x:f>
        <x:v>0</x:v>
      </x:c>
      <x:c r="L137" s="228" t="str"/>
      <x:c r="M137" s="228" t="str"/>
      <x:c r="N137" s="236"/>
      <x:c r="O137" s="228" t="str">
        <x:v>Not Assessed</x:v>
      </x:c>
      <x:c r="P137" s="228" t="n">
        <x:f>IF(G137="Critical",5,IF(G137="High",4,IF(G137="Medium",3,2)))</x:f>
        <x:v>3</x:v>
      </x:c>
      <x:c r="Q137" s="228" t="n">
        <x:f>P137*K137</x:f>
        <x:v>0</x:v>
      </x:c>
      <x:c r="R137" s="228" t="n">
        <x:f>P137-Q137</x:f>
        <x:v>3</x:v>
      </x:c>
      <x:c r="S137" s="228" t="str"/>
      <x:c r="T137" s="236"/>
      <x:c r="U137" s="228" t="str">
        <x:v>SRC-42</x:v>
      </x:c>
      <x:c r="V137" s="228" t="str">
        <x:v>https://docs.netskope.com/en/real-time-protection-policies-for-mcp-security</x:v>
      </x:c>
      <x:c r="W137" s="229" t="str">
        <x:v>Vendor-derived requirement</x:v>
      </x:c>
    </x:row>
    <x:row r="138">
      <x:c r="A138" s="220" t="str">
        <x:v>RBI-137</x:v>
      </x:c>
      <x:c r="B138" s="221" t="str">
        <x:v>Governance &amp; Assurance</x:v>
      </x:c>
      <x:c r="C138" s="221" t="str">
        <x:v>Administrative API Security</x:v>
      </x:c>
      <x:c r="D138" s="228" t="str">
        <x:v>Assign API credentials to named users or service accounts with least privilege, expiration, rotation, audit logging and immediate revocation.</x:v>
      </x:c>
      <x:c r="E138" s="228" t="str">
        <x:v>Administrative API compromise; permanent tenant token</x:v>
      </x:c>
      <x:c r="F138" s="228" t="str">
        <x:v>Mandatory</x:v>
      </x:c>
      <x:c r="G138" s="228" t="str">
        <x:v>High</x:v>
      </x:c>
      <x:c r="H138" s="228" t="str">
        <x:v>Universal</x:v>
      </x:c>
      <x:c r="I138" s="228" t="str">
        <x:v>Test credential expiry, rotation, privilege reduction and revocation.</x:v>
      </x:c>
      <x:c r="J138" s="228" t="str">
        <x:v>Not Assessed</x:v>
      </x:c>
      <x:c r="K138" s="233" t="n">
        <x:f>IF(J138="Implemented",1,IF(J138="Partially Implemented",0.5,IF(J138="Planned",0.25,IF(J138="Not Applicable",1,0))))</x:f>
        <x:v>0</x:v>
      </x:c>
      <x:c r="L138" s="228" t="str"/>
      <x:c r="M138" s="228" t="str"/>
      <x:c r="N138" s="236"/>
      <x:c r="O138" s="228" t="str">
        <x:v>Not Assessed</x:v>
      </x:c>
      <x:c r="P138" s="228" t="n">
        <x:f>IF(G138="Critical",5,IF(G138="High",4,IF(G138="Medium",3,2)))</x:f>
        <x:v>4</x:v>
      </x:c>
      <x:c r="Q138" s="228" t="n">
        <x:f>P138*K138</x:f>
        <x:v>0</x:v>
      </x:c>
      <x:c r="R138" s="228" t="n">
        <x:f>P138-Q138</x:f>
        <x:v>4</x:v>
      </x:c>
      <x:c r="S138" s="228" t="str"/>
      <x:c r="T138" s="236"/>
      <x:c r="U138" s="228" t="str">
        <x:v>SRC-42</x:v>
      </x:c>
      <x:c r="V138" s="228" t="str">
        <x:v>https://docs.netskope.com/en/real-time-protection-policies-for-mcp-security</x:v>
      </x:c>
      <x:c r="W138" s="229" t="str">
        <x:v>Vendor-derived requirement</x:v>
      </x:c>
    </x:row>
    <x:row r="139">
      <x:c r="A139" s="220" t="str">
        <x:v>RBI-138</x:v>
      </x:c>
      <x:c r="B139" s="221" t="str">
        <x:v>Resilience</x:v>
      </x:c>
      <x:c r="C139" s="221" t="str">
        <x:v>Per-User Resource Limits</x:v>
      </x:c>
      <x:c r="D139" s="228" t="str">
        <x:v>Define and monitor per-user session, tab, memory, CPU and file-processing limits with secure notification and no fail-open behavior.</x:v>
      </x:c>
      <x:c r="E139" s="228" t="str">
        <x:v>Resource exhaustion; denial of isolation service</x:v>
      </x:c>
      <x:c r="F139" s="228" t="str">
        <x:v>Mandatory</x:v>
      </x:c>
      <x:c r="G139" s="228" t="str">
        <x:v>High</x:v>
      </x:c>
      <x:c r="H139" s="228" t="str">
        <x:v>Universal</x:v>
      </x:c>
      <x:c r="I139" s="228" t="str">
        <x:v>Exceed session, tab and resource thresholds and verify controlled degradation and logging.</x:v>
      </x:c>
      <x:c r="J139" s="228" t="str">
        <x:v>Not Assessed</x:v>
      </x:c>
      <x:c r="K139" s="233" t="n">
        <x:f>IF(J139="Implemented",1,IF(J139="Partially Implemented",0.5,IF(J139="Planned",0.25,IF(J139="Not Applicable",1,0))))</x:f>
        <x:v>0</x:v>
      </x:c>
      <x:c r="L139" s="228" t="str"/>
      <x:c r="M139" s="228" t="str"/>
      <x:c r="N139" s="236"/>
      <x:c r="O139" s="228" t="str">
        <x:v>Not Assessed</x:v>
      </x:c>
      <x:c r="P139" s="228" t="n">
        <x:f>IF(G139="Critical",5,IF(G139="High",4,IF(G139="Medium",3,2)))</x:f>
        <x:v>4</x:v>
      </x:c>
      <x:c r="Q139" s="228" t="n">
        <x:f>P139*K139</x:f>
        <x:v>0</x:v>
      </x:c>
      <x:c r="R139" s="228" t="n">
        <x:f>P139-Q139</x:f>
        <x:v>4</x:v>
      </x:c>
      <x:c r="S139" s="228" t="str"/>
      <x:c r="T139" s="236"/>
      <x:c r="U139" s="228" t="str">
        <x:v>SRC-43</x:v>
      </x:c>
      <x:c r="V139" s="228" t="str">
        <x:v>https://docs.netskope.com/en/isolation-in-an-end-user-s-browser</x:v>
      </x:c>
      <x:c r="W139" s="229" t="str">
        <x:v>Vendor-derived requirement</x:v>
      </x:c>
    </x:row>
    <x:row r="140">
      <x:c r="A140" s="220" t="str">
        <x:v>RBI-139</x:v>
      </x:c>
      <x:c r="B140" s="221" t="str">
        <x:v>Architecture</x:v>
      </x:c>
      <x:c r="C140" s="221" t="str">
        <x:v>Execution Location Declaration</x:v>
      </x:c>
      <x:c r="D140" s="228" t="str">
        <x:v>Document where HTML parsing, JavaScript, JIT, WebAssembly, workers, DOM construction, media decoding, document parsing, WebGPU, extensions, AI models and DLP inspection execute.</x:v>
      </x:c>
      <x:c r="E140" s="228" t="str">
        <x:v>Misclassified architecture; hidden local execution</x:v>
      </x:c>
      <x:c r="F140" s="228" t="str">
        <x:v>Mandatory</x:v>
      </x:c>
      <x:c r="G140" s="228" t="str">
        <x:v>Critical</x:v>
      </x:c>
      <x:c r="H140" s="228" t="str">
        <x:v>Vendor Evaluation</x:v>
      </x:c>
      <x:c r="I140" s="228" t="str">
        <x:v>Validate execution location using architecture diagrams, endpoint processes and network telemetry.</x:v>
      </x:c>
      <x:c r="J140" s="228" t="str">
        <x:v>Not Assessed</x:v>
      </x:c>
      <x:c r="K140" s="233" t="n">
        <x:f>IF(J140="Implemented",1,IF(J140="Partially Implemented",0.5,IF(J140="Planned",0.25,IF(J140="Not Applicable",1,0))))</x:f>
        <x:v>0</x:v>
      </x:c>
      <x:c r="L140" s="228" t="str"/>
      <x:c r="M140" s="228" t="str"/>
      <x:c r="N140" s="236"/>
      <x:c r="O140" s="228" t="str">
        <x:v>Not Assessed</x:v>
      </x:c>
      <x:c r="P140" s="228" t="n">
        <x:f>IF(G140="Critical",5,IF(G140="High",4,IF(G140="Medium",3,2)))</x:f>
        <x:v>5</x:v>
      </x:c>
      <x:c r="Q140" s="228" t="n">
        <x:f>P140*K140</x:f>
        <x:v>0</x:v>
      </x:c>
      <x:c r="R140" s="228" t="n">
        <x:f>P140-Q140</x:f>
        <x:v>5</x:v>
      </x:c>
      <x:c r="S140" s="228" t="str"/>
      <x:c r="T140" s="236"/>
      <x:c r="U140" s="228" t="str">
        <x:v>SRC-44</x:v>
      </x:c>
      <x:c r="V140" s="228" t="str">
        <x:v>https://www.menlosecurity.com/product/remote-browser-isolation</x:v>
      </x:c>
      <x:c r="W140" s="229" t="str">
        <x:v>Vendor-derived requirement</x:v>
      </x:c>
    </x:row>
    <x:row r="141">
      <x:c r="A141" s="220" t="str">
        <x:v>RBI-140</x:v>
      </x:c>
      <x:c r="B141" s="221" t="str">
        <x:v>Governance &amp; Assurance</x:v>
      </x:c>
      <x:c r="C141" s="221" t="str">
        <x:v>Architecture-Specific Scoring</x:v>
      </x:c>
      <x:c r="D141" s="228" t="str">
        <x:v>Score remote execution containment, enterprise-browser enforcement, extension-based enforcement, runtime exploit prevention and hybrid isolation as separate capabilities.</x:v>
      </x:c>
      <x:c r="E141" s="228" t="str">
        <x:v>False equivalence between RBI and local controls</x:v>
      </x:c>
      <x:c r="F141" s="228" t="str">
        <x:v>Mandatory</x:v>
      </x:c>
      <x:c r="G141" s="228" t="str">
        <x:v>Critical</x:v>
      </x:c>
      <x:c r="H141" s="228" t="str">
        <x:v>Vendor Evaluation</x:v>
      </x:c>
      <x:c r="I141" s="228" t="str">
        <x:v>Confirm procurement scoring does not award remote-execution credit to local-only controls.</x:v>
      </x:c>
      <x:c r="J141" s="228" t="str">
        <x:v>Not Assessed</x:v>
      </x:c>
      <x:c r="K141" s="233" t="n">
        <x:f>IF(J141="Implemented",1,IF(J141="Partially Implemented",0.5,IF(J141="Planned",0.25,IF(J141="Not Applicable",1,0))))</x:f>
        <x:v>0</x:v>
      </x:c>
      <x:c r="L141" s="228" t="str"/>
      <x:c r="M141" s="228" t="str"/>
      <x:c r="N141" s="236"/>
      <x:c r="O141" s="228" t="str">
        <x:v>Not Assessed</x:v>
      </x:c>
      <x:c r="P141" s="228" t="n">
        <x:f>IF(G141="Critical",5,IF(G141="High",4,IF(G141="Medium",3,2)))</x:f>
        <x:v>5</x:v>
      </x:c>
      <x:c r="Q141" s="228" t="n">
        <x:f>P141*K141</x:f>
        <x:v>0</x:v>
      </x:c>
      <x:c r="R141" s="228" t="n">
        <x:f>P141-Q141</x:f>
        <x:v>5</x:v>
      </x:c>
      <x:c r="S141" s="228" t="str"/>
      <x:c r="T141" s="236"/>
      <x:c r="U141" s="228" t="str">
        <x:v>SRC-46</x:v>
      </x:c>
      <x:c r="V141" s="228" t="str">
        <x:v>https://layerxsecurity.com/</x:v>
      </x:c>
      <x:c r="W141" s="229" t="str">
        <x:v>Vendor-derived requirement</x:v>
      </x:c>
    </x:row>
    <x:row r="142">
      <x:c r="A142" s="220" t="str">
        <x:v>RBI-141</x:v>
      </x:c>
      <x:c r="B142" s="221" t="str">
        <x:v>Architecture</x:v>
      </x:c>
      <x:c r="C142" s="221" t="str">
        <x:v>Hybrid Transition Security</x:v>
      </x:c>
      <x:c r="D142" s="228" t="str">
        <x:v>Re-evaluate policy and preserve identity, telemetry, DLP and interaction restrictions when transitioning between local browsing, runtime protection, selective isolation and cloud RBI.</x:v>
      </x:c>
      <x:c r="E142" s="228" t="str">
        <x:v>Hybrid-mode downgrade; silent policy loss</x:v>
      </x:c>
      <x:c r="F142" s="228" t="str">
        <x:v>Mandatory</x:v>
      </x:c>
      <x:c r="G142" s="228" t="str">
        <x:v>Critical</x:v>
      </x:c>
      <x:c r="H142" s="228" t="str">
        <x:v>Hybrid Platforms</x:v>
      </x:c>
      <x:c r="I142" s="228" t="str">
        <x:v>Exercise transitions through redirects, unsupported pages, new windows and authentication flows.</x:v>
      </x:c>
      <x:c r="J142" s="228" t="str">
        <x:v>Not Assessed</x:v>
      </x:c>
      <x:c r="K142" s="233" t="n">
        <x:f>IF(J142="Implemented",1,IF(J142="Partially Implemented",0.5,IF(J142="Planned",0.25,IF(J142="Not Applicable",1,0))))</x:f>
        <x:v>0</x:v>
      </x:c>
      <x:c r="L142" s="228" t="str"/>
      <x:c r="M142" s="228" t="str"/>
      <x:c r="N142" s="236"/>
      <x:c r="O142" s="228" t="str">
        <x:v>Not Assessed</x:v>
      </x:c>
      <x:c r="P142" s="228" t="n">
        <x:f>IF(G142="Critical",5,IF(G142="High",4,IF(G142="Medium",3,2)))</x:f>
        <x:v>5</x:v>
      </x:c>
      <x:c r="Q142" s="228" t="n">
        <x:f>P142*K142</x:f>
        <x:v>0</x:v>
      </x:c>
      <x:c r="R142" s="228" t="n">
        <x:f>P142-Q142</x:f>
        <x:v>5</x:v>
      </x:c>
      <x:c r="S142" s="228" t="str"/>
      <x:c r="T142" s="236"/>
      <x:c r="U142" s="228" t="str">
        <x:v>SRC-50</x:v>
      </x:c>
      <x:c r="V142" s="228" t="str">
        <x:v>https://conceal.io/browser-security/</x:v>
      </x:c>
      <x:c r="W142" s="229" t="str">
        <x:v>Vendor-derived requirement</x:v>
      </x:c>
    </x:row>
    <x:row r="143">
      <x:c r="A143" s="220" t="str">
        <x:v>RBI-142</x:v>
      </x:c>
      <x:c r="B143" s="221" t="str">
        <x:v>Enterprise Browser Security</x:v>
      </x:c>
      <x:c r="C143" s="221" t="str">
        <x:v>Enforcement Component Integrity</x:v>
      </x:c>
      <x:c r="D143" s="228" t="str">
        <x:v>Force-install, health-check and tamper-protect browser agents, extensions and enterprise-browser components, and deny sensitive access when enforcement is missing, disabled or outdated.</x:v>
      </x:c>
      <x:c r="E143" s="228" t="str">
        <x:v>Agent removal; extension tampering; unhealthy enforcement</x:v>
      </x:c>
      <x:c r="F143" s="228" t="str">
        <x:v>Mandatory</x:v>
      </x:c>
      <x:c r="G143" s="228" t="str">
        <x:v>Critical</x:v>
      </x:c>
      <x:c r="H143" s="228" t="str">
        <x:v>Browser-Native Controls</x:v>
      </x:c>
      <x:c r="I143" s="228" t="str">
        <x:v>Disable, remove, downgrade and tamper with enforcement and verify denial and alerts.</x:v>
      </x:c>
      <x:c r="J143" s="228" t="str">
        <x:v>Not Assessed</x:v>
      </x:c>
      <x:c r="K143" s="233" t="n">
        <x:f>IF(J143="Implemented",1,IF(J143="Partially Implemented",0.5,IF(J143="Planned",0.25,IF(J143="Not Applicable",1,0))))</x:f>
        <x:v>0</x:v>
      </x:c>
      <x:c r="L143" s="228" t="str"/>
      <x:c r="M143" s="228" t="str"/>
      <x:c r="N143" s="236"/>
      <x:c r="O143" s="228" t="str">
        <x:v>Not Assessed</x:v>
      </x:c>
      <x:c r="P143" s="228" t="n">
        <x:f>IF(G143="Critical",5,IF(G143="High",4,IF(G143="Medium",3,2)))</x:f>
        <x:v>5</x:v>
      </x:c>
      <x:c r="Q143" s="228" t="n">
        <x:f>P143*K143</x:f>
        <x:v>0</x:v>
      </x:c>
      <x:c r="R143" s="228" t="n">
        <x:f>P143-Q143</x:f>
        <x:v>5</x:v>
      </x:c>
      <x:c r="S143" s="228" t="str"/>
      <x:c r="T143" s="236"/>
      <x:c r="U143" s="228" t="str">
        <x:v>SRC-48</x:v>
      </x:c>
      <x:c r="V143" s="228" t="str">
        <x:v>https://seraphicsecurity.com/product/</x:v>
      </x:c>
      <x:c r="W143" s="229" t="str">
        <x:v>Vendor-derived requirement</x:v>
      </x:c>
    </x:row>
    <x:row r="144">
      <x:c r="A144" s="220" t="str">
        <x:v>RBI-143</x:v>
      </x:c>
      <x:c r="B144" s="221" t="str">
        <x:v>Enterprise Browser Security</x:v>
      </x:c>
      <x:c r="C144" s="221" t="str">
        <x:v>Cross-Browser Parity</x:v>
      </x:c>
      <x:c r="D144" s="228" t="str">
        <x:v>Maintain a tested capability matrix across Chrome, Edge, Firefox, Safari, Chromium variants, Electron, AI browsers, iOS and Android, with restricted policy for missing controls.</x:v>
      </x:c>
      <x:c r="E144" s="228" t="str">
        <x:v>Control inconsistency; unsupported-browser bypass</x:v>
      </x:c>
      <x:c r="F144" s="228" t="str">
        <x:v>Mandatory</x:v>
      </x:c>
      <x:c r="G144" s="228" t="str">
        <x:v>High</x:v>
      </x:c>
      <x:c r="H144" s="228" t="str">
        <x:v>Multi-Browser Environments</x:v>
      </x:c>
      <x:c r="I144" s="228" t="str">
        <x:v>Run identical acceptance tests across all supported browsers and platforms.</x:v>
      </x:c>
      <x:c r="J144" s="228" t="str">
        <x:v>Not Assessed</x:v>
      </x:c>
      <x:c r="K144" s="233" t="n">
        <x:f>IF(J144="Implemented",1,IF(J144="Partially Implemented",0.5,IF(J144="Planned",0.25,IF(J144="Not Applicable",1,0))))</x:f>
        <x:v>0</x:v>
      </x:c>
      <x:c r="L144" s="228" t="str"/>
      <x:c r="M144" s="228" t="str"/>
      <x:c r="N144" s="236"/>
      <x:c r="O144" s="228" t="str">
        <x:v>Not Assessed</x:v>
      </x:c>
      <x:c r="P144" s="228" t="n">
        <x:f>IF(G144="Critical",5,IF(G144="High",4,IF(G144="Medium",3,2)))</x:f>
        <x:v>4</x:v>
      </x:c>
      <x:c r="Q144" s="228" t="n">
        <x:f>P144*K144</x:f>
        <x:v>0</x:v>
      </x:c>
      <x:c r="R144" s="228" t="n">
        <x:f>P144-Q144</x:f>
        <x:v>4</x:v>
      </x:c>
      <x:c r="S144" s="228" t="str"/>
      <x:c r="T144" s="236"/>
      <x:c r="U144" s="228" t="str">
        <x:v>SRC-48</x:v>
      </x:c>
      <x:c r="V144" s="228" t="str">
        <x:v>https://seraphicsecurity.com/product/</x:v>
      </x:c>
      <x:c r="W144" s="229" t="str">
        <x:v>Vendor-derived requirement</x:v>
      </x:c>
    </x:row>
    <x:row r="145">
      <x:c r="A145" s="220" t="str">
        <x:v>RBI-144</x:v>
      </x:c>
      <x:c r="B145" s="221" t="str">
        <x:v>Enterprise Browser Security</x:v>
      </x:c>
      <x:c r="C145" s="221" t="str">
        <x:v>Runtime Instrumentation</x:v>
      </x:c>
      <x:c r="D145" s="228" t="str">
        <x:v>Monitor and control script execution, dynamic evaluation, DOM mutation, Web API use, cross-origin communication, token access, storage, workers, download generation and navigation events.</x:v>
      </x:c>
      <x:c r="E145" s="228" t="str">
        <x:v>Runtime exploit; session theft; malicious script behavior</x:v>
      </x:c>
      <x:c r="F145" s="228" t="str">
        <x:v>Mandatory</x:v>
      </x:c>
      <x:c r="G145" s="228" t="str">
        <x:v>High</x:v>
      </x:c>
      <x:c r="H145" s="228" t="str">
        <x:v>Browser-Native Controls</x:v>
      </x:c>
      <x:c r="I145" s="228" t="str">
        <x:v>Replay malicious script, DOM and Web API behaviors and verify attribution.</x:v>
      </x:c>
      <x:c r="J145" s="228" t="str">
        <x:v>Not Assessed</x:v>
      </x:c>
      <x:c r="K145" s="233" t="n">
        <x:f>IF(J145="Implemented",1,IF(J145="Partially Implemented",0.5,IF(J145="Planned",0.25,IF(J145="Not Applicable",1,0))))</x:f>
        <x:v>0</x:v>
      </x:c>
      <x:c r="L145" s="228" t="str"/>
      <x:c r="M145" s="228" t="str"/>
      <x:c r="N145" s="236"/>
      <x:c r="O145" s="228" t="str">
        <x:v>Not Assessed</x:v>
      </x:c>
      <x:c r="P145" s="228" t="n">
        <x:f>IF(G145="Critical",5,IF(G145="High",4,IF(G145="Medium",3,2)))</x:f>
        <x:v>4</x:v>
      </x:c>
      <x:c r="Q145" s="228" t="n">
        <x:f>P145*K145</x:f>
        <x:v>0</x:v>
      </x:c>
      <x:c r="R145" s="228" t="n">
        <x:f>P145-Q145</x:f>
        <x:v>4</x:v>
      </x:c>
      <x:c r="S145" s="228" t="str"/>
      <x:c r="T145" s="236"/>
      <x:c r="U145" s="228" t="str">
        <x:v>SRC-50</x:v>
      </x:c>
      <x:c r="V145" s="228" t="str">
        <x:v>https://conceal.io/browser-security/</x:v>
      </x:c>
      <x:c r="W145" s="229" t="str">
        <x:v>Vendor-derived requirement</x:v>
      </x:c>
    </x:row>
    <x:row r="146">
      <x:c r="A146" s="220" t="str">
        <x:v>RBI-145</x:v>
      </x:c>
      <x:c r="B146" s="221" t="str">
        <x:v>Enterprise Browser Security</x:v>
      </x:c>
      <x:c r="C146" s="221" t="str">
        <x:v>Moving Target Defense Assurance</x:v>
      </x:c>
      <x:c r="D146" s="228" t="str">
        <x:v>For products using runtime randomization or moving-target defense, document modified interfaces, compatibility, rollback, measurable exploit disruption and independent testing.</x:v>
      </x:c>
      <x:c r="E146" s="228" t="str">
        <x:v>Unvalidated exploit mitigation; application breakage</x:v>
      </x:c>
      <x:c r="F146" s="228" t="str">
        <x:v>Recommended</x:v>
      </x:c>
      <x:c r="G146" s="228" t="str">
        <x:v>High</x:v>
      </x:c>
      <x:c r="H146" s="228" t="str">
        <x:v>Runtime Protection</x:v>
      </x:c>
      <x:c r="I146" s="228" t="str">
        <x:v>Independently test representative exploit chains and business applications.</x:v>
      </x:c>
      <x:c r="J146" s="228" t="str">
        <x:v>Not Assessed</x:v>
      </x:c>
      <x:c r="K146" s="233" t="n">
        <x:f>IF(J146="Implemented",1,IF(J146="Partially Implemented",0.5,IF(J146="Planned",0.25,IF(J146="Not Applicable",1,0))))</x:f>
        <x:v>0</x:v>
      </x:c>
      <x:c r="L146" s="228" t="str"/>
      <x:c r="M146" s="228" t="str"/>
      <x:c r="N146" s="236"/>
      <x:c r="O146" s="228" t="str">
        <x:v>Not Assessed</x:v>
      </x:c>
      <x:c r="P146" s="228" t="n">
        <x:f>IF(G146="Critical",5,IF(G146="High",4,IF(G146="Medium",3,2)))</x:f>
        <x:v>4</x:v>
      </x:c>
      <x:c r="Q146" s="228" t="n">
        <x:f>P146*K146</x:f>
        <x:v>0</x:v>
      </x:c>
      <x:c r="R146" s="228" t="n">
        <x:f>P146-Q146</x:f>
        <x:v>4</x:v>
      </x:c>
      <x:c r="S146" s="228" t="str"/>
      <x:c r="T146" s="236"/>
      <x:c r="U146" s="228" t="str">
        <x:v>SRC-48</x:v>
      </x:c>
      <x:c r="V146" s="228" t="str">
        <x:v>https://seraphicsecurity.com/product/</x:v>
      </x:c>
      <x:c r="W146" s="229" t="str">
        <x:v>Vendor-derived requirement</x:v>
      </x:c>
    </x:row>
    <x:row r="147">
      <x:c r="A147" s="220" t="str">
        <x:v>RBI-146</x:v>
      </x:c>
      <x:c r="B147" s="221" t="str">
        <x:v>Identity</x:v>
      </x:c>
      <x:c r="C147" s="221" t="str">
        <x:v>Session Token Protection</x:v>
      </x:c>
      <x:c r="D147" s="228" t="str">
        <x:v>Detect and restrict unauthorized access to cookies, tokens and browser storage, including cross-profile transfer, extension access, replay and exposure to AI assistants.</x:v>
      </x:c>
      <x:c r="E147" s="228" t="str">
        <x:v>Session hijacking; cookie theft; token replay</x:v>
      </x:c>
      <x:c r="F147" s="228" t="str">
        <x:v>Mandatory</x:v>
      </x:c>
      <x:c r="G147" s="228" t="str">
        <x:v>Critical</x:v>
      </x:c>
      <x:c r="H147" s="228" t="str">
        <x:v>Universal</x:v>
      </x:c>
      <x:c r="I147" s="228" t="str">
        <x:v>Test malicious scripts, extensions, profiles and AI sidebars attempting to read or reuse session material.</x:v>
      </x:c>
      <x:c r="J147" s="228" t="str">
        <x:v>Not Assessed</x:v>
      </x:c>
      <x:c r="K147" s="233" t="n">
        <x:f>IF(J147="Implemented",1,IF(J147="Partially Implemented",0.5,IF(J147="Planned",0.25,IF(J147="Not Applicable",1,0))))</x:f>
        <x:v>0</x:v>
      </x:c>
      <x:c r="L147" s="228" t="str"/>
      <x:c r="M147" s="228" t="str"/>
      <x:c r="N147" s="236"/>
      <x:c r="O147" s="228" t="str">
        <x:v>Not Assessed</x:v>
      </x:c>
      <x:c r="P147" s="228" t="n">
        <x:f>IF(G147="Critical",5,IF(G147="High",4,IF(G147="Medium",3,2)))</x:f>
        <x:v>5</x:v>
      </x:c>
      <x:c r="Q147" s="228" t="n">
        <x:f>P147*K147</x:f>
        <x:v>0</x:v>
      </x:c>
      <x:c r="R147" s="228" t="n">
        <x:f>P147-Q147</x:f>
        <x:v>5</x:v>
      </x:c>
      <x:c r="S147" s="228" t="str"/>
      <x:c r="T147" s="236"/>
      <x:c r="U147" s="228" t="str">
        <x:v>SRC-48</x:v>
      </x:c>
      <x:c r="V147" s="228" t="str">
        <x:v>https://seraphicsecurity.com/product/</x:v>
      </x:c>
      <x:c r="W147" s="229" t="str">
        <x:v>Vendor-derived requirement</x:v>
      </x:c>
    </x:row>
    <x:row r="148">
      <x:c r="A148" s="220" t="str">
        <x:v>RBI-147</x:v>
      </x:c>
      <x:c r="B148" s="221" t="str">
        <x:v>Extensions &amp; Plugins</x:v>
      </x:c>
      <x:c r="C148" s="221" t="str">
        <x:v>Protected-Origin Isolation</x:v>
      </x:c>
      <x:c r="D148" s="228" t="str">
        <x:v>Prevent unauthorized extensions from reading or modifying identity providers, administrative portals, source repositories, financial applications and other protected origins.</x:v>
      </x:c>
      <x:c r="E148" s="228" t="str">
        <x:v>Credential theft; source-code theft; extension injection</x:v>
      </x:c>
      <x:c r="F148" s="228" t="str">
        <x:v>Mandatory</x:v>
      </x:c>
      <x:c r="G148" s="228" t="str">
        <x:v>Critical</x:v>
      </x:c>
      <x:c r="H148" s="228" t="str">
        <x:v>Sensitive Applications</x:v>
      </x:c>
      <x:c r="I148" s="228" t="str">
        <x:v>Use test extensions to attempt DOM, cookie, token, clipboard, request and native-messaging access.</x:v>
      </x:c>
      <x:c r="J148" s="228" t="str">
        <x:v>Not Assessed</x:v>
      </x:c>
      <x:c r="K148" s="233" t="n">
        <x:f>IF(J148="Implemented",1,IF(J148="Partially Implemented",0.5,IF(J148="Planned",0.25,IF(J148="Not Applicable",1,0))))</x:f>
        <x:v>0</x:v>
      </x:c>
      <x:c r="L148" s="228" t="str"/>
      <x:c r="M148" s="228" t="str"/>
      <x:c r="N148" s="236"/>
      <x:c r="O148" s="228" t="str">
        <x:v>Not Assessed</x:v>
      </x:c>
      <x:c r="P148" s="228" t="n">
        <x:f>IF(G148="Critical",5,IF(G148="High",4,IF(G148="Medium",3,2)))</x:f>
        <x:v>5</x:v>
      </x:c>
      <x:c r="Q148" s="228" t="n">
        <x:f>P148*K148</x:f>
        <x:v>0</x:v>
      </x:c>
      <x:c r="R148" s="228" t="n">
        <x:f>P148-Q148</x:f>
        <x:v>5</x:v>
      </x:c>
      <x:c r="S148" s="228" t="str"/>
      <x:c r="T148" s="236"/>
      <x:c r="U148" s="228" t="str">
        <x:v>SRC-49</x:v>
      </x:c>
      <x:c r="V148" s="228" t="str">
        <x:v>https://seraphicsecurity.com/solutions/protect-and-govern-data-assets/</x:v>
      </x:c>
      <x:c r="W148" s="229" t="str">
        <x:v>Vendor-derived requirement</x:v>
      </x:c>
    </x:row>
    <x:row r="149">
      <x:c r="A149" s="220" t="str">
        <x:v>RBI-148</x:v>
      </x:c>
      <x:c r="B149" s="221" t="str">
        <x:v>AI &amp; Agentic Browsing</x:v>
      </x:c>
      <x:c r="C149" s="221" t="str">
        <x:v>Embedded AI Discovery</x:v>
      </x:c>
      <x:c r="D149" s="228" t="str">
        <x:v>Discover embedded SaaS copilots, browser sidebars, AI extensions, AI-native browsers, local models, IDE assistants, personal accounts, agents and MCP connections.</x:v>
      </x:c>
      <x:c r="E149" s="228" t="str">
        <x:v>Shadow AI; invisible AI data processing</x:v>
      </x:c>
      <x:c r="F149" s="228" t="str">
        <x:v>Mandatory</x:v>
      </x:c>
      <x:c r="G149" s="228" t="str">
        <x:v>Critical</x:v>
      </x:c>
      <x:c r="H149" s="228" t="str">
        <x:v>AI Users</x:v>
      </x:c>
      <x:c r="I149" s="228" t="str">
        <x:v>Use embedded, local, extension, browser and MCP-based AI tools and verify discovery.</x:v>
      </x:c>
      <x:c r="J149" s="228" t="str">
        <x:v>Not Assessed</x:v>
      </x:c>
      <x:c r="K149" s="233" t="n">
        <x:f>IF(J149="Implemented",1,IF(J149="Partially Implemented",0.5,IF(J149="Planned",0.25,IF(J149="Not Applicable",1,0))))</x:f>
        <x:v>0</x:v>
      </x:c>
      <x:c r="L149" s="228" t="str"/>
      <x:c r="M149" s="228" t="str"/>
      <x:c r="N149" s="236"/>
      <x:c r="O149" s="228" t="str">
        <x:v>Not Assessed</x:v>
      </x:c>
      <x:c r="P149" s="228" t="n">
        <x:f>IF(G149="Critical",5,IF(G149="High",4,IF(G149="Medium",3,2)))</x:f>
        <x:v>5</x:v>
      </x:c>
      <x:c r="Q149" s="228" t="n">
        <x:f>P149*K149</x:f>
        <x:v>0</x:v>
      </x:c>
      <x:c r="R149" s="228" t="n">
        <x:f>P149-Q149</x:f>
        <x:v>5</x:v>
      </x:c>
      <x:c r="S149" s="228" t="str"/>
      <x:c r="T149" s="236"/>
      <x:c r="U149" s="228" t="str">
        <x:v>SRC-47</x:v>
      </x:c>
      <x:c r="V149" s="228" t="str">
        <x:v>https://layerxsecurity.com/use-cases/shadow-ai-discovery/</x:v>
      </x:c>
      <x:c r="W149" s="229" t="str">
        <x:v>Vendor-derived requirement</x:v>
      </x:c>
    </x:row>
    <x:row r="150">
      <x:c r="A150" s="220" t="str">
        <x:v>RBI-149</x:v>
      </x:c>
      <x:c r="B150" s="221" t="str">
        <x:v>AI &amp; Agentic Browsing</x:v>
      </x:c>
      <x:c r="C150" s="221" t="str">
        <x:v>Cross-Tab Context Boundaries</x:v>
      </x:c>
      <x:c r="D150" s="228" t="str">
        <x:v>Require tab-specific and application-specific authorization before AI assistants or agents read content from another tab, authenticated application or personal session.</x:v>
      </x:c>
      <x:c r="E150" s="228" t="str">
        <x:v>Cross-tab data leakage; unauthorized context collection</x:v>
      </x:c>
      <x:c r="F150" s="228" t="str">
        <x:v>Mandatory</x:v>
      </x:c>
      <x:c r="G150" s="228" t="str">
        <x:v>Critical</x:v>
      </x:c>
      <x:c r="H150" s="228" t="str">
        <x:v>AI Browsers and Agents</x:v>
      </x:c>
      <x:c r="I150" s="228" t="str">
        <x:v>Attempt cross-tab reads across sensitive, corporate and personal applications.</x:v>
      </x:c>
      <x:c r="J150" s="228" t="str">
        <x:v>Not Assessed</x:v>
      </x:c>
      <x:c r="K150" s="233" t="n">
        <x:f>IF(J150="Implemented",1,IF(J150="Partially Implemented",0.5,IF(J150="Planned",0.25,IF(J150="Not Applicable",1,0))))</x:f>
        <x:v>0</x:v>
      </x:c>
      <x:c r="L150" s="228" t="str"/>
      <x:c r="M150" s="228" t="str"/>
      <x:c r="N150" s="236"/>
      <x:c r="O150" s="228" t="str">
        <x:v>Not Assessed</x:v>
      </x:c>
      <x:c r="P150" s="228" t="n">
        <x:f>IF(G150="Critical",5,IF(G150="High",4,IF(G150="Medium",3,2)))</x:f>
        <x:v>5</x:v>
      </x:c>
      <x:c r="Q150" s="228" t="n">
        <x:f>P150*K150</x:f>
        <x:v>0</x:v>
      </x:c>
      <x:c r="R150" s="228" t="n">
        <x:f>P150-Q150</x:f>
        <x:v>5</x:v>
      </x:c>
      <x:c r="S150" s="228" t="str"/>
      <x:c r="T150" s="236"/>
      <x:c r="U150" s="228" t="str">
        <x:v>SRC-52</x:v>
      </x:c>
      <x:c r="V150" s="228" t="str">
        <x:v>https://www.island.io/ai</x:v>
      </x:c>
      <x:c r="W150" s="229" t="str">
        <x:v>Vendor-derived requirement</x:v>
      </x:c>
    </x:row>
    <x:row r="151">
      <x:c r="A151" s="220" t="str">
        <x:v>RBI-150</x:v>
      </x:c>
      <x:c r="B151" s="221" t="str">
        <x:v>AI &amp; Agentic Browsing</x:v>
      </x:c>
      <x:c r="C151" s="221" t="str">
        <x:v>Hidden Instruction Inspection</x:v>
      </x:c>
      <x:c r="D151" s="228" t="str">
        <x:v>Inspect prompts, responses, retrieved pages, hidden HTML, CSS-hidden text, images, documents, metadata and tool outputs before content reaches a model or triggers an action.</x:v>
      </x:c>
      <x:c r="E151" s="228" t="str">
        <x:v>Indirect prompt injection; hidden malicious instruction</x:v>
      </x:c>
      <x:c r="F151" s="228" t="str">
        <x:v>Mandatory</x:v>
      </x:c>
      <x:c r="G151" s="228" t="str">
        <x:v>Critical</x:v>
      </x:c>
      <x:c r="H151" s="228" t="str">
        <x:v>AI Browsers and Agents</x:v>
      </x:c>
      <x:c r="I151" s="228" t="str">
        <x:v>Test visible, hidden, image, document and metadata-based prompt injection.</x:v>
      </x:c>
      <x:c r="J151" s="228" t="str">
        <x:v>Not Assessed</x:v>
      </x:c>
      <x:c r="K151" s="233" t="n">
        <x:f>IF(J151="Implemented",1,IF(J151="Partially Implemented",0.5,IF(J151="Planned",0.25,IF(J151="Not Applicable",1,0))))</x:f>
        <x:v>0</x:v>
      </x:c>
      <x:c r="L151" s="228" t="str"/>
      <x:c r="M151" s="228" t="str"/>
      <x:c r="N151" s="236"/>
      <x:c r="O151" s="228" t="str">
        <x:v>Not Assessed</x:v>
      </x:c>
      <x:c r="P151" s="228" t="n">
        <x:f>IF(G151="Critical",5,IF(G151="High",4,IF(G151="Medium",3,2)))</x:f>
        <x:v>5</x:v>
      </x:c>
      <x:c r="Q151" s="228" t="n">
        <x:f>P151*K151</x:f>
        <x:v>0</x:v>
      </x:c>
      <x:c r="R151" s="228" t="n">
        <x:f>P151-Q151</x:f>
        <x:v>5</x:v>
      </x:c>
      <x:c r="S151" s="228" t="str"/>
      <x:c r="T151" s="236"/>
      <x:c r="U151" s="228" t="str">
        <x:v>SRC-45</x:v>
      </x:c>
      <x:c r="V151" s="228" t="str">
        <x:v>https://www.menlosecurity.com/product/ai-agent-security</x:v>
      </x:c>
      <x:c r="W151" s="229" t="str">
        <x:v>Vendor-derived requirement</x:v>
      </x:c>
    </x:row>
    <x:row r="152">
      <x:c r="A152" s="220" t="str">
        <x:v>RBI-151</x:v>
      </x:c>
      <x:c r="B152" s="221" t="str">
        <x:v>AI &amp; Agentic Browsing</x:v>
      </x:c>
      <x:c r="C152" s="221" t="str">
        <x:v>Human and Agent Lineage</x:v>
      </x:c>
      <x:c r="D152" s="228" t="str">
        <x:v>Record the human sponsor, non-human identity, device, browser, source tab, data accessed, prompt, policy decision, tool call, target, credential, action, approval and result.</x:v>
      </x:c>
      <x:c r="E152" s="228" t="str">
        <x:v>Unattributed agent action; audit gap</x:v>
      </x:c>
      <x:c r="F152" s="228" t="str">
        <x:v>Mandatory</x:v>
      </x:c>
      <x:c r="G152" s="228" t="str">
        <x:v>Critical</x:v>
      </x:c>
      <x:c r="H152" s="228" t="str">
        <x:v>AI Agents</x:v>
      </x:c>
      <x:c r="I152" s="228" t="str">
        <x:v>Reconstruct complete lineage for autonomous and human-approved workflows.</x:v>
      </x:c>
      <x:c r="J152" s="228" t="str">
        <x:v>Not Assessed</x:v>
      </x:c>
      <x:c r="K152" s="233" t="n">
        <x:f>IF(J152="Implemented",1,IF(J152="Partially Implemented",0.5,IF(J152="Planned",0.25,IF(J152="Not Applicable",1,0))))</x:f>
        <x:v>0</x:v>
      </x:c>
      <x:c r="L152" s="228" t="str"/>
      <x:c r="M152" s="228" t="str"/>
      <x:c r="N152" s="236"/>
      <x:c r="O152" s="228" t="str">
        <x:v>Not Assessed</x:v>
      </x:c>
      <x:c r="P152" s="228" t="n">
        <x:f>IF(G152="Critical",5,IF(G152="High",4,IF(G152="Medium",3,2)))</x:f>
        <x:v>5</x:v>
      </x:c>
      <x:c r="Q152" s="228" t="n">
        <x:f>P152*K152</x:f>
        <x:v>0</x:v>
      </x:c>
      <x:c r="R152" s="228" t="n">
        <x:f>P152-Q152</x:f>
        <x:v>5</x:v>
      </x:c>
      <x:c r="S152" s="228" t="str"/>
      <x:c r="T152" s="236"/>
      <x:c r="U152" s="228" t="str">
        <x:v>SRC-52</x:v>
      </x:c>
      <x:c r="V152" s="228" t="str">
        <x:v>https://www.island.io/ai</x:v>
      </x:c>
      <x:c r="W152" s="229" t="str">
        <x:v>Vendor-derived requirement</x:v>
      </x:c>
    </x:row>
    <x:row r="153">
      <x:c r="A153" s="220" t="str">
        <x:v>RBI-152</x:v>
      </x:c>
      <x:c r="B153" s="221" t="str">
        <x:v>Policy &amp; Access</x:v>
      </x:c>
      <x:c r="C153" s="221" t="str">
        <x:v>Adaptive Browser Risk Enforcement</x:v>
      </x:c>
      <x:c r="D153" s="228" t="str">
        <x:v>Continuously evaluate identity, device, application, account type, page behavior, script activity, extension state, token behavior, AI use and data sensitivity to select allow, coach, mask, read-only, isolate, block or approve.</x:v>
      </x:c>
      <x:c r="E153" s="228" t="str">
        <x:v>Static policy evasion; changing session risk</x:v>
      </x:c>
      <x:c r="F153" s="228" t="str">
        <x:v>Mandatory</x:v>
      </x:c>
      <x:c r="G153" s="228" t="str">
        <x:v>High</x:v>
      </x:c>
      <x:c r="H153" s="228" t="str">
        <x:v>Universal</x:v>
      </x:c>
      <x:c r="I153" s="228" t="str">
        <x:v>Alter risk signals during active sessions and verify deterministic transitions.</x:v>
      </x:c>
      <x:c r="J153" s="228" t="str">
        <x:v>Not Assessed</x:v>
      </x:c>
      <x:c r="K153" s="233" t="n">
        <x:f>IF(J153="Implemented",1,IF(J153="Partially Implemented",0.5,IF(J153="Planned",0.25,IF(J153="Not Applicable",1,0))))</x:f>
        <x:v>0</x:v>
      </x:c>
      <x:c r="L153" s="228" t="str"/>
      <x:c r="M153" s="228" t="str"/>
      <x:c r="N153" s="236"/>
      <x:c r="O153" s="228" t="str">
        <x:v>Not Assessed</x:v>
      </x:c>
      <x:c r="P153" s="228" t="n">
        <x:f>IF(G153="Critical",5,IF(G153="High",4,IF(G153="Medium",3,2)))</x:f>
        <x:v>4</x:v>
      </x:c>
      <x:c r="Q153" s="228" t="n">
        <x:f>P153*K153</x:f>
        <x:v>0</x:v>
      </x:c>
      <x:c r="R153" s="228" t="n">
        <x:f>P153-Q153</x:f>
        <x:v>4</x:v>
      </x:c>
      <x:c r="S153" s="228" t="str"/>
      <x:c r="T153" s="236"/>
      <x:c r="U153" s="228" t="str">
        <x:v>SRC-49</x:v>
      </x:c>
      <x:c r="V153" s="228" t="str">
        <x:v>https://seraphicsecurity.com/solutions/protect-and-govern-data-assets/</x:v>
      </x:c>
      <x:c r="W153" s="229" t="str">
        <x:v>Vendor-derived requirement</x:v>
      </x:c>
    </x:row>
    <x:row r="154">
      <x:c r="A154" s="220" t="str">
        <x:v>RBI-153</x:v>
      </x:c>
      <x:c r="B154" s="221" t="str">
        <x:v>Identity</x:v>
      </x:c>
      <x:c r="C154" s="221" t="str">
        <x:v>Credential Injection Validation</x:v>
      </x:c>
      <x:c r="D154" s="228" t="str">
        <x:v>Release enterprise credentials only after validating exact origin, TLS state, application identity, device posture, session integrity and absence of spoofed frames or overlays.</x:v>
      </x:c>
      <x:c r="E154" s="228" t="str">
        <x:v>Credential injection into phishing site; browser-in-browser attack</x:v>
      </x:c>
      <x:c r="F154" s="228" t="str">
        <x:v>Mandatory</x:v>
      </x:c>
      <x:c r="G154" s="228" t="str">
        <x:v>Critical</x:v>
      </x:c>
      <x:c r="H154" s="228" t="str">
        <x:v>Managed Credentials</x:v>
      </x:c>
      <x:c r="I154" s="228" t="str">
        <x:v>Test lookalike origins, invalid TLS, nested frames, overlays and posture failures.</x:v>
      </x:c>
      <x:c r="J154" s="228" t="str">
        <x:v>Not Assessed</x:v>
      </x:c>
      <x:c r="K154" s="233" t="n">
        <x:f>IF(J154="Implemented",1,IF(J154="Partially Implemented",0.5,IF(J154="Planned",0.25,IF(J154="Not Applicable",1,0))))</x:f>
        <x:v>0</x:v>
      </x:c>
      <x:c r="L154" s="228" t="str"/>
      <x:c r="M154" s="228" t="str"/>
      <x:c r="N154" s="236"/>
      <x:c r="O154" s="228" t="str">
        <x:v>Not Assessed</x:v>
      </x:c>
      <x:c r="P154" s="228" t="n">
        <x:f>IF(G154="Critical",5,IF(G154="High",4,IF(G154="Medium",3,2)))</x:f>
        <x:v>5</x:v>
      </x:c>
      <x:c r="Q154" s="228" t="n">
        <x:f>P154*K154</x:f>
        <x:v>0</x:v>
      </x:c>
      <x:c r="R154" s="228" t="n">
        <x:f>P154-Q154</x:f>
        <x:v>5</x:v>
      </x:c>
      <x:c r="S154" s="228" t="str"/>
      <x:c r="T154" s="236"/>
      <x:c r="U154" s="228" t="str">
        <x:v>SRC-51</x:v>
      </x:c>
      <x:c r="V154" s="228" t="str">
        <x:v>https://www.island.io/press/new-island-enterprise-platform</x:v>
      </x:c>
      <x:c r="W154" s="229" t="str">
        <x:v>Vendor-derived requirement</x:v>
      </x:c>
    </x:row>
    <x:row r="155">
      <x:c r="A155" s="220" t="str">
        <x:v>RBI-154</x:v>
      </x:c>
      <x:c r="B155" s="221" t="str">
        <x:v>Monitoring &amp; Detection</x:v>
      </x:c>
      <x:c r="C155" s="221" t="str">
        <x:v>Browsing Forensics Privacy</x:v>
      </x:c>
      <x:c r="D155" s="228" t="str">
        <x:v>Provide risk-triggered session forensics with selective capture, redaction, encryption, access control, retention limits and audit of investigator access.</x:v>
      </x:c>
      <x:c r="E155" s="228" t="str">
        <x:v>Investigation gaps; excessive surveillance</x:v>
      </x:c>
      <x:c r="F155" s="228" t="str">
        <x:v>Mandatory</x:v>
      </x:c>
      <x:c r="G155" s="228" t="str">
        <x:v>High</x:v>
      </x:c>
      <x:c r="H155" s="228" t="str">
        <x:v>Regulated Environments</x:v>
      </x:c>
      <x:c r="I155" s="228" t="str">
        <x:v>Capture a test incident and verify evidence, redaction, access and retention deletion.</x:v>
      </x:c>
      <x:c r="J155" s="228" t="str">
        <x:v>Not Assessed</x:v>
      </x:c>
      <x:c r="K155" s="233" t="n">
        <x:f>IF(J155="Implemented",1,IF(J155="Partially Implemented",0.5,IF(J155="Planned",0.25,IF(J155="Not Applicable",1,0))))</x:f>
        <x:v>0</x:v>
      </x:c>
      <x:c r="L155" s="228" t="str"/>
      <x:c r="M155" s="228" t="str"/>
      <x:c r="N155" s="236"/>
      <x:c r="O155" s="228" t="str">
        <x:v>Not Assessed</x:v>
      </x:c>
      <x:c r="P155" s="228" t="n">
        <x:f>IF(G155="Critical",5,IF(G155="High",4,IF(G155="Medium",3,2)))</x:f>
        <x:v>4</x:v>
      </x:c>
      <x:c r="Q155" s="228" t="n">
        <x:f>P155*K155</x:f>
        <x:v>0</x:v>
      </x:c>
      <x:c r="R155" s="228" t="n">
        <x:f>P155-Q155</x:f>
        <x:v>4</x:v>
      </x:c>
      <x:c r="S155" s="228" t="str"/>
      <x:c r="T155" s="236"/>
      <x:c r="U155" s="228" t="str">
        <x:v>SRC-44</x:v>
      </x:c>
      <x:c r="V155" s="228" t="str">
        <x:v>https://www.menlosecurity.com/product/remote-browser-isolation</x:v>
      </x:c>
      <x:c r="W155" s="229" t="str">
        <x:v>Vendor-derived requirement</x:v>
      </x:c>
    </x:row>
    <x:row r="156">
      <x:c r="A156" s="220" t="str">
        <x:v>RBI-155</x:v>
      </x:c>
      <x:c r="B156" s="221" t="str">
        <x:v>Tunneling &amp; Egress</x:v>
      </x:c>
      <x:c r="C156" s="221" t="str">
        <x:v>Isolated Egress Inspection</x:v>
      </x:c>
      <x:c r="D156" s="228" t="str">
        <x:v>Subject traffic generated by remote browsers to URL filtering, DNS security, threat prevention, SaaS controls, DLP, malware analysis, CDR and egress restrictions.</x:v>
      </x:c>
      <x:c r="E156" s="228" t="str">
        <x:v>Trusted remote-browser egress; attacker C2</x:v>
      </x:c>
      <x:c r="F156" s="228" t="str">
        <x:v>Mandatory</x:v>
      </x:c>
      <x:c r="G156" s="228" t="str">
        <x:v>Critical</x:v>
      </x:c>
      <x:c r="H156" s="228" t="str">
        <x:v>Cloud RBI</x:v>
      </x:c>
      <x:c r="I156" s="228" t="str">
        <x:v>Generate malicious, DLP and C2 test traffic from isolated sessions and verify downstream inspection.</x:v>
      </x:c>
      <x:c r="J156" s="228" t="str">
        <x:v>Not Assessed</x:v>
      </x:c>
      <x:c r="K156" s="233" t="n">
        <x:f>IF(J156="Implemented",1,IF(J156="Partially Implemented",0.5,IF(J156="Planned",0.25,IF(J156="Not Applicable",1,0))))</x:f>
        <x:v>0</x:v>
      </x:c>
      <x:c r="L156" s="228" t="str"/>
      <x:c r="M156" s="228" t="str"/>
      <x:c r="N156" s="236"/>
      <x:c r="O156" s="228" t="str">
        <x:v>Not Assessed</x:v>
      </x:c>
      <x:c r="P156" s="228" t="n">
        <x:f>IF(G156="Critical",5,IF(G156="High",4,IF(G156="Medium",3,2)))</x:f>
        <x:v>5</x:v>
      </x:c>
      <x:c r="Q156" s="228" t="n">
        <x:f>P156*K156</x:f>
        <x:v>0</x:v>
      </x:c>
      <x:c r="R156" s="228" t="n">
        <x:f>P156-Q156</x:f>
        <x:v>5</x:v>
      </x:c>
      <x:c r="S156" s="228" t="str"/>
      <x:c r="T156" s="236"/>
      <x:c r="U156" s="228" t="str">
        <x:v>SRC-55</x:v>
      </x:c>
      <x:c r="V156" s="228" t="str">
        <x:v>https://docs.paloaltonetworks.com/remote-browser-isolation/administration/remote-browser-isolation</x:v>
      </x:c>
      <x:c r="W156" s="229" t="str">
        <x:v>Vendor-derived requirement</x:v>
      </x:c>
    </x:row>
    <x:row r="157">
      <x:c r="A157" s="220" t="str">
        <x:v>RBI-156</x:v>
      </x:c>
      <x:c r="B157" s="221" t="str">
        <x:v>Files &amp; Content</x:v>
      </x:c>
      <x:c r="C157" s="221" t="str">
        <x:v>Encrypted and Unsupported Files</x:v>
      </x:c>
      <x:c r="D157" s="228" t="str">
        <x:v>Define fail-safe handling for encrypted documents, password-protected archives, unsupported formats, oversized files, corrupt files and sanitization failures.</x:v>
      </x:c>
      <x:c r="E157" s="228" t="str">
        <x:v>Inspection bypass; encrypted malware delivery</x:v>
      </x:c>
      <x:c r="F157" s="228" t="str">
        <x:v>Mandatory</x:v>
      </x:c>
      <x:c r="G157" s="228" t="str">
        <x:v>Critical</x:v>
      </x:c>
      <x:c r="H157" s="228" t="str">
        <x:v>Downloaded Files</x:v>
      </x:c>
      <x:c r="I157" s="228" t="str">
        <x:v>Test each non-inspectable class and verify block, remote view or controlled escalation.</x:v>
      </x:c>
      <x:c r="J157" s="228" t="str">
        <x:v>Not Assessed</x:v>
      </x:c>
      <x:c r="K157" s="233" t="n">
        <x:f>IF(J157="Implemented",1,IF(J157="Partially Implemented",0.5,IF(J157="Planned",0.25,IF(J157="Not Applicable",1,0))))</x:f>
        <x:v>0</x:v>
      </x:c>
      <x:c r="L157" s="228" t="str"/>
      <x:c r="M157" s="228" t="str"/>
      <x:c r="N157" s="236"/>
      <x:c r="O157" s="228" t="str">
        <x:v>Not Assessed</x:v>
      </x:c>
      <x:c r="P157" s="228" t="n">
        <x:f>IF(G157="Critical",5,IF(G157="High",4,IF(G157="Medium",3,2)))</x:f>
        <x:v>5</x:v>
      </x:c>
      <x:c r="Q157" s="228" t="n">
        <x:f>P157*K157</x:f>
        <x:v>0</x:v>
      </x:c>
      <x:c r="R157" s="228" t="n">
        <x:f>P157-Q157</x:f>
        <x:v>5</x:v>
      </x:c>
      <x:c r="S157" s="228" t="str"/>
      <x:c r="T157" s="236"/>
      <x:c r="U157" s="228" t="str">
        <x:v>SRC-57</x:v>
      </x:c>
      <x:c r="V157" s="228" t="str">
        <x:v>https://docs.paloaltonetworks.com/content/techdocs/en_US/remote-browser-isolation/new-features/by-version/remote-browser-isolation/2-8</x:v>
      </x:c>
      <x:c r="W157" s="229" t="str">
        <x:v>Vendor-derived requirement</x:v>
      </x:c>
    </x:row>
    <x:row r="158">
      <x:c r="A158" s="220" t="str">
        <x:v>RBI-157</x:v>
      </x:c>
      <x:c r="B158" s="221" t="str">
        <x:v>Enterprise Browser Security</x:v>
      </x:c>
      <x:c r="C158" s="221" t="str">
        <x:v>Mobile Capability Parity</x:v>
      </x:c>
      <x:c r="D158" s="228" t="str">
        <x:v>Publish and enforce a mobile capability matrix for posture, inspection, screen sharing, file controls, extension governance, account distinction and browser-version enforcement.</x:v>
      </x:c>
      <x:c r="E158" s="228" t="str">
        <x:v>Mobile control gap; unsupported feature bypass</x:v>
      </x:c>
      <x:c r="F158" s="228" t="str">
        <x:v>Mandatory</x:v>
      </x:c>
      <x:c r="G158" s="228" t="str">
        <x:v>High</x:v>
      </x:c>
      <x:c r="H158" s="228" t="str">
        <x:v>Mobile Users</x:v>
      </x:c>
      <x:c r="I158" s="228" t="str">
        <x:v>Execute the desktop acceptance suite on iOS and Android and document restricted fallback.</x:v>
      </x:c>
      <x:c r="J158" s="228" t="str">
        <x:v>Not Assessed</x:v>
      </x:c>
      <x:c r="K158" s="233" t="n">
        <x:f>IF(J158="Implemented",1,IF(J158="Partially Implemented",0.5,IF(J158="Planned",0.25,IF(J158="Not Applicable",1,0))))</x:f>
        <x:v>0</x:v>
      </x:c>
      <x:c r="L158" s="228" t="str"/>
      <x:c r="M158" s="228" t="str"/>
      <x:c r="N158" s="236"/>
      <x:c r="O158" s="228" t="str">
        <x:v>Not Assessed</x:v>
      </x:c>
      <x:c r="P158" s="228" t="n">
        <x:f>IF(G158="Critical",5,IF(G158="High",4,IF(G158="Medium",3,2)))</x:f>
        <x:v>4</x:v>
      </x:c>
      <x:c r="Q158" s="228" t="n">
        <x:f>P158*K158</x:f>
        <x:v>0</x:v>
      </x:c>
      <x:c r="R158" s="228" t="n">
        <x:f>P158-Q158</x:f>
        <x:v>4</x:v>
      </x:c>
      <x:c r="S158" s="228" t="str"/>
      <x:c r="T158" s="236"/>
      <x:c r="U158" s="228" t="str">
        <x:v>SRC-53</x:v>
      </x:c>
      <x:c r="V158" s="228" t="str">
        <x:v>https://www.surf.security/platform/fullbrowser</x:v>
      </x:c>
      <x:c r="W158" s="229" t="str">
        <x:v>Vendor-derived requirement</x:v>
      </x:c>
    </x:row>
    <x:row r="159">
      <x:c r="A159" s="223" t="str">
        <x:v>RBI-158</x:v>
      </x:c>
      <x:c r="B159" s="224" t="str">
        <x:v>Incident Response</x:v>
      </x:c>
      <x:c r="C159" s="224" t="str">
        <x:v>User-Reported Browser Incident</x:v>
      </x:c>
      <x:c r="D159" s="230" t="str">
        <x:v>Allow users to report suspicious sessions with automatic attachment of session ID, URL, redirect chain, policy, rendering mode, browser version, file events and errors.</x:v>
      </x:c>
      <x:c r="E159" s="230" t="str">
        <x:v>Incomplete incident report; delayed triage</x:v>
      </x:c>
      <x:c r="F159" s="230" t="str">
        <x:v>Recommended</x:v>
      </x:c>
      <x:c r="G159" s="230" t="str">
        <x:v>Medium</x:v>
      </x:c>
      <x:c r="H159" s="230" t="str">
        <x:v>Universal</x:v>
      </x:c>
      <x:c r="I159" s="230" t="str">
        <x:v>Submit a user report and verify complete correlated evidence reaches the SOC.</x:v>
      </x:c>
      <x:c r="J159" s="230" t="str">
        <x:v>Not Assessed</x:v>
      </x:c>
      <x:c r="K159" s="234" t="n">
        <x:f>IF(J159="Implemented",1,IF(J159="Partially Implemented",0.5,IF(J159="Planned",0.25,IF(J159="Not Applicable",1,0))))</x:f>
        <x:v>0</x:v>
      </x:c>
      <x:c r="L159" s="230" t="str"/>
      <x:c r="M159" s="230" t="str"/>
      <x:c r="N159" s="237"/>
      <x:c r="O159" s="230" t="str">
        <x:v>Not Assessed</x:v>
      </x:c>
      <x:c r="P159" s="230" t="n">
        <x:f>IF(G159="Critical",5,IF(G159="High",4,IF(G159="Medium",3,2)))</x:f>
        <x:v>3</x:v>
      </x:c>
      <x:c r="Q159" s="230" t="n">
        <x:f>P159*K159</x:f>
        <x:v>0</x:v>
      </x:c>
      <x:c r="R159" s="230" t="n">
        <x:f>P159-Q159</x:f>
        <x:v>3</x:v>
      </x:c>
      <x:c r="S159" s="230" t="str"/>
      <x:c r="T159" s="237"/>
      <x:c r="U159" s="230" t="str">
        <x:v>SRC-55</x:v>
      </x:c>
      <x:c r="V159" s="230" t="str">
        <x:v>https://docs.paloaltonetworks.com/remote-browser-isolation/administration/remote-browser-isolation</x:v>
      </x:c>
      <x:c r="W159" s="231" t="str">
        <x:v>Vendor-derived requirement</x:v>
      </x:c>
    </x:row>
    <x:row r="160">
      <x:c r="A160" s="285" t="str">
        <x:v>RBI-159</x:v>
      </x:c>
      <x:c r="B160" s="286" t="str">
        <x:v>Nation-State Web Defense</x:v>
      </x:c>
      <x:c r="C160" s="286" t="str">
        <x:v>Device Code Phishing</x:v>
      </x:c>
      <x:c r="D160" s="293" t="str">
        <x:v>Block or tightly restrict OAuth device authorization flows, require verified applications, and alert on unsolicited device-code entry and token issuance.</x:v>
      </x:c>
      <x:c r="E160" s="293" t="str">
        <x:v>Device-code phishing; token theft</x:v>
      </x:c>
      <x:c r="F160" s="293" t="str">
        <x:v>Mandatory</x:v>
      </x:c>
      <x:c r="G160" s="293" t="str">
        <x:v>Critical</x:v>
      </x:c>
      <x:c r="H160" s="293" t="str">
        <x:v>Identity Provider and SaaS</x:v>
      </x:c>
      <x:c r="I160" s="293" t="str">
        <x:v>Simulate device-code phishing from an untrusted application and verify block, user warning and SOC alert.</x:v>
      </x:c>
      <x:c r="J160" s="293" t="str">
        <x:v>Not Assessed</x:v>
      </x:c>
      <x:c r="K160" s="298" t="n">
        <x:f>IF(J160="Implemented",1,IF(J160="Partially Implemented",0.5,IF(J160="Planned",0.25,IF(J160="Not Applicable",1,0))))</x:f>
        <x:v>0</x:v>
      </x:c>
      <x:c r="L160" s="293" t="str"/>
      <x:c r="M160" s="293" t="str"/>
      <x:c r="N160" s="300"/>
      <x:c r="O160" s="293" t="str">
        <x:v>Not Assessed</x:v>
      </x:c>
      <x:c r="P160" s="293" t="n">
        <x:f>IF(G160="Critical",5,IF(G160="High",4,IF(G160="Medium",3,2)))</x:f>
        <x:v>5</x:v>
      </x:c>
      <x:c r="Q160" s="293" t="n">
        <x:f>P160*K160</x:f>
        <x:v>0</x:v>
      </x:c>
      <x:c r="R160" s="293" t="n">
        <x:f>P160-Q160</x:f>
        <x:v>5</x:v>
      </x:c>
      <x:c r="S160" s="293" t="str"/>
      <x:c r="T160" s="300"/>
      <x:c r="U160" s="293" t="str">
        <x:v>SRC-71</x:v>
      </x:c>
      <x:c r="V160" s="293" t="str">
        <x:v>https://www.microsoft.com/en-us/security/blog/2025/02/13/storm-2372-conducts-device-code-phishing-campaign/</x:v>
      </x:c>
      <x:c r="W160" s="294" t="str">
        <x:v>Nation-state web TTP requirement</x:v>
      </x:c>
    </x:row>
    <x:row r="161">
      <x:c r="A161" s="288" t="str">
        <x:v>RBI-160</x:v>
      </x:c>
      <x:c r="B161" s="221" t="str">
        <x:v>Nation-State Web Defense</x:v>
      </x:c>
      <x:c r="C161" s="221" t="str">
        <x:v>OAuth Consent</x:v>
      </x:c>
      <x:c r="D161" s="228" t="str">
        <x:v>Restrict user consent to verified applications, require administrative approval for high-risk scopes, and display clear publisher, tenant and permission information.</x:v>
      </x:c>
      <x:c r="E161" s="228" t="str">
        <x:v>Consent phishing; malicious connected application</x:v>
      </x:c>
      <x:c r="F161" s="228" t="str">
        <x:v>Mandatory</x:v>
      </x:c>
      <x:c r="G161" s="228" t="str">
        <x:v>Critical</x:v>
      </x:c>
      <x:c r="H161" s="228" t="str">
        <x:v>SaaS and Identity Provider</x:v>
      </x:c>
      <x:c r="I161" s="228" t="str">
        <x:v>Attempt user consent for unverified and high-privilege applications.</x:v>
      </x:c>
      <x:c r="J161" s="228" t="str">
        <x:v>Not Assessed</x:v>
      </x:c>
      <x:c r="K161" s="233" t="n">
        <x:f>IF(J161="Implemented",1,IF(J161="Partially Implemented",0.5,IF(J161="Planned",0.25,IF(J161="Not Applicable",1,0))))</x:f>
        <x:v>0</x:v>
      </x:c>
      <x:c r="L161" s="228" t="str"/>
      <x:c r="M161" s="228" t="str"/>
      <x:c r="N161" s="236"/>
      <x:c r="O161" s="228" t="str">
        <x:v>Not Assessed</x:v>
      </x:c>
      <x:c r="P161" s="228" t="n">
        <x:f>IF(G161="Critical",5,IF(G161="High",4,IF(G161="Medium",3,2)))</x:f>
        <x:v>5</x:v>
      </x:c>
      <x:c r="Q161" s="228" t="n">
        <x:f>P161*K161</x:f>
        <x:v>0</x:v>
      </x:c>
      <x:c r="R161" s="228" t="n">
        <x:f>P161-Q161</x:f>
        <x:v>5</x:v>
      </x:c>
      <x:c r="S161" s="228" t="str"/>
      <x:c r="T161" s="236"/>
      <x:c r="U161" s="228" t="str">
        <x:v>SRC-91</x:v>
      </x:c>
      <x:c r="V161" s="228" t="str">
        <x:v>https://attack.mitre.org/techniques/T1566/002/</x:v>
      </x:c>
      <x:c r="W161" s="295" t="str">
        <x:v>Nation-state web TTP requirement</x:v>
      </x:c>
    </x:row>
    <x:row r="162">
      <x:c r="A162" s="288" t="str">
        <x:v>RBI-161</x:v>
      </x:c>
      <x:c r="B162" s="221" t="str">
        <x:v>Nation-State Web Defense</x:v>
      </x:c>
      <x:c r="C162" s="221" t="str">
        <x:v>OAuth Application Monitoring</x:v>
      </x:c>
      <x:c r="D162" s="228" t="str">
        <x:v>Continuously inventory OAuth applications, service principals, credentials, permissions, owners and anomalous API use, and immediately revoke malicious applications.</x:v>
      </x:c>
      <x:c r="E162" s="228" t="str">
        <x:v>OAuth persistence; API data theft</x:v>
      </x:c>
      <x:c r="F162" s="228" t="str">
        <x:v>Mandatory</x:v>
      </x:c>
      <x:c r="G162" s="228" t="str">
        <x:v>Critical</x:v>
      </x:c>
      <x:c r="H162" s="228" t="str">
        <x:v>SaaS and Cloud</x:v>
      </x:c>
      <x:c r="I162" s="228" t="str">
        <x:v>Create a test application, add credentials, request mail and file scopes, and verify detection and revocation.</x:v>
      </x:c>
      <x:c r="J162" s="228" t="str">
        <x:v>Not Assessed</x:v>
      </x:c>
      <x:c r="K162" s="233" t="n">
        <x:f>IF(J162="Implemented",1,IF(J162="Partially Implemented",0.5,IF(J162="Planned",0.25,IF(J162="Not Applicable",1,0))))</x:f>
        <x:v>0</x:v>
      </x:c>
      <x:c r="L162" s="228" t="str"/>
      <x:c r="M162" s="228" t="str"/>
      <x:c r="N162" s="236"/>
      <x:c r="O162" s="228" t="str">
        <x:v>Not Assessed</x:v>
      </x:c>
      <x:c r="P162" s="228" t="n">
        <x:f>IF(G162="Critical",5,IF(G162="High",4,IF(G162="Medium",3,2)))</x:f>
        <x:v>5</x:v>
      </x:c>
      <x:c r="Q162" s="228" t="n">
        <x:f>P162*K162</x:f>
        <x:v>0</x:v>
      </x:c>
      <x:c r="R162" s="228" t="n">
        <x:f>P162-Q162</x:f>
        <x:v>5</x:v>
      </x:c>
      <x:c r="S162" s="228" t="str"/>
      <x:c r="T162" s="236"/>
      <x:c r="U162" s="228" t="str">
        <x:v>SRC-94</x:v>
      </x:c>
      <x:c r="V162" s="228" t="str">
        <x:v>https://attack.mitre.org/techniques/T1528/</x:v>
      </x:c>
      <x:c r="W162" s="295" t="str">
        <x:v>Nation-state web TTP requirement</x:v>
      </x:c>
    </x:row>
    <x:row r="163">
      <x:c r="A163" s="288" t="str">
        <x:v>RBI-162</x:v>
      </x:c>
      <x:c r="B163" s="221" t="str">
        <x:v>Nation-State Web Defense</x:v>
      </x:c>
      <x:c r="C163" s="221" t="str">
        <x:v>Device Registration</x:v>
      </x:c>
      <x:c r="D163" s="228" t="str">
        <x:v>Restrict Entra or equivalent device registration and join operations to approved workflows, managed devices and authenticated administrators.</x:v>
      </x:c>
      <x:c r="E163" s="228" t="str">
        <x:v>Malicious device registration; persistent cloud access</x:v>
      </x:c>
      <x:c r="F163" s="228" t="str">
        <x:v>Mandatory</x:v>
      </x:c>
      <x:c r="G163" s="228" t="str">
        <x:v>Critical</x:v>
      </x:c>
      <x:c r="H163" s="228" t="str">
        <x:v>Identity Provider</x:v>
      </x:c>
      <x:c r="I163" s="228" t="str">
        <x:v>Attempt unauthorized device registration after a phishing simulation.</x:v>
      </x:c>
      <x:c r="J163" s="228" t="str">
        <x:v>Not Assessed</x:v>
      </x:c>
      <x:c r="K163" s="233" t="n">
        <x:f>IF(J163="Implemented",1,IF(J163="Partially Implemented",0.5,IF(J163="Planned",0.25,IF(J163="Not Applicable",1,0))))</x:f>
        <x:v>0</x:v>
      </x:c>
      <x:c r="L163" s="228" t="str"/>
      <x:c r="M163" s="228" t="str"/>
      <x:c r="N163" s="236"/>
      <x:c r="O163" s="228" t="str">
        <x:v>Not Assessed</x:v>
      </x:c>
      <x:c r="P163" s="228" t="n">
        <x:f>IF(G163="Critical",5,IF(G163="High",4,IF(G163="Medium",3,2)))</x:f>
        <x:v>5</x:v>
      </x:c>
      <x:c r="Q163" s="228" t="n">
        <x:f>P163*K163</x:f>
        <x:v>0</x:v>
      </x:c>
      <x:c r="R163" s="228" t="n">
        <x:f>P163-Q163</x:f>
        <x:v>5</x:v>
      </x:c>
      <x:c r="S163" s="228" t="str"/>
      <x:c r="T163" s="236"/>
      <x:c r="U163" s="228" t="str">
        <x:v>SRC-72</x:v>
      </x:c>
      <x:c r="V163" s="228" t="str">
        <x:v>https://www.microsoft.com/en-us/security/blog/2026/07/31/captivecrunch-midnight-blizzard-targets-travelers-worldwide-for-malware-delivery-and-credential-theft/</x:v>
      </x:c>
      <x:c r="W163" s="295" t="str">
        <x:v>Nation-state web TTP requirement</x:v>
      </x:c>
    </x:row>
    <x:row r="164">
      <x:c r="A164" s="288" t="str">
        <x:v>RBI-163</x:v>
      </x:c>
      <x:c r="B164" s="221" t="str">
        <x:v>Identity</x:v>
      </x:c>
      <x:c r="C164" s="221" t="str">
        <x:v>Session Token Replay</x:v>
      </x:c>
      <x:c r="D164" s="228" t="str">
        <x:v>Use token binding or device-bound sessions where supported and detect replay from unusual devices, browsers, countries, user agents and network paths.</x:v>
      </x:c>
      <x:c r="E164" s="228" t="str">
        <x:v>Session-cookie theft; application token replay</x:v>
      </x:c>
      <x:c r="F164" s="228" t="str">
        <x:v>Mandatory</x:v>
      </x:c>
      <x:c r="G164" s="228" t="str">
        <x:v>Critical</x:v>
      </x:c>
      <x:c r="H164" s="228" t="str">
        <x:v>SaaS and Web Applications</x:v>
      </x:c>
      <x:c r="I164" s="228" t="str">
        <x:v>Replay a controlled token from a different device, browser and network and verify revocation.</x:v>
      </x:c>
      <x:c r="J164" s="228" t="str">
        <x:v>Not Assessed</x:v>
      </x:c>
      <x:c r="K164" s="233" t="n">
        <x:f>IF(J164="Implemented",1,IF(J164="Partially Implemented",0.5,IF(J164="Planned",0.25,IF(J164="Not Applicable",1,0))))</x:f>
        <x:v>0</x:v>
      </x:c>
      <x:c r="L164" s="228" t="str"/>
      <x:c r="M164" s="228" t="str"/>
      <x:c r="N164" s="236"/>
      <x:c r="O164" s="228" t="str">
        <x:v>Not Assessed</x:v>
      </x:c>
      <x:c r="P164" s="228" t="n">
        <x:f>IF(G164="Critical",5,IF(G164="High",4,IF(G164="Medium",3,2)))</x:f>
        <x:v>5</x:v>
      </x:c>
      <x:c r="Q164" s="228" t="n">
        <x:f>P164*K164</x:f>
        <x:v>0</x:v>
      </x:c>
      <x:c r="R164" s="228" t="n">
        <x:f>P164-Q164</x:f>
        <x:v>5</x:v>
      </x:c>
      <x:c r="S164" s="228" t="str"/>
      <x:c r="T164" s="236"/>
      <x:c r="U164" s="228" t="str">
        <x:v>SRC-95</x:v>
      </x:c>
      <x:c r="V164" s="228" t="str">
        <x:v>https://attack.mitre.org/techniques/T1539/</x:v>
      </x:c>
      <x:c r="W164" s="295" t="str">
        <x:v>Nation-state web TTP requirement</x:v>
      </x:c>
    </x:row>
    <x:row r="165">
      <x:c r="A165" s="288" t="str">
        <x:v>RBI-164</x:v>
      </x:c>
      <x:c r="B165" s="221" t="str">
        <x:v>Identity</x:v>
      </x:c>
      <x:c r="C165" s="221" t="str">
        <x:v>Legacy Authentication</x:v>
      </x:c>
      <x:c r="D165" s="228" t="str">
        <x:v>Disable legacy authentication and app-password mechanisms that bypass modern MFA and conditional access.</x:v>
      </x:c>
      <x:c r="E165" s="228" t="str">
        <x:v>Password spray; MFA bypass</x:v>
      </x:c>
      <x:c r="F165" s="228" t="str">
        <x:v>Mandatory</x:v>
      </x:c>
      <x:c r="G165" s="228" t="str">
        <x:v>Critical</x:v>
      </x:c>
      <x:c r="H165" s="228" t="str">
        <x:v>Identity Provider and Email</x:v>
      </x:c>
      <x:c r="I165" s="228" t="str">
        <x:v>Attempt IMAP, POP, SMTP AUTH and legacy browser authentication.</x:v>
      </x:c>
      <x:c r="J165" s="228" t="str">
        <x:v>Not Assessed</x:v>
      </x:c>
      <x:c r="K165" s="233" t="n">
        <x:f>IF(J165="Implemented",1,IF(J165="Partially Implemented",0.5,IF(J165="Planned",0.25,IF(J165="Not Applicable",1,0))))</x:f>
        <x:v>0</x:v>
      </x:c>
      <x:c r="L165" s="228" t="str"/>
      <x:c r="M165" s="228" t="str"/>
      <x:c r="N165" s="236"/>
      <x:c r="O165" s="228" t="str">
        <x:v>Not Assessed</x:v>
      </x:c>
      <x:c r="P165" s="228" t="n">
        <x:f>IF(G165="Critical",5,IF(G165="High",4,IF(G165="Medium",3,2)))</x:f>
        <x:v>5</x:v>
      </x:c>
      <x:c r="Q165" s="228" t="n">
        <x:f>P165*K165</x:f>
        <x:v>0</x:v>
      </x:c>
      <x:c r="R165" s="228" t="n">
        <x:f>P165-Q165</x:f>
        <x:v>5</x:v>
      </x:c>
      <x:c r="S165" s="228" t="str"/>
      <x:c r="T165" s="236"/>
      <x:c r="U165" s="228" t="str">
        <x:v>SRC-101</x:v>
      </x:c>
      <x:c r="V165" s="228" t="str">
        <x:v>https://attack.mitre.org/techniques/T1110/003/</x:v>
      </x:c>
      <x:c r="W165" s="295" t="str">
        <x:v>Nation-state web TTP requirement</x:v>
      </x:c>
    </x:row>
    <x:row r="166">
      <x:c r="A166" s="288" t="str">
        <x:v>RBI-165</x:v>
      </x:c>
      <x:c r="B166" s="221" t="str">
        <x:v>Identity</x:v>
      </x:c>
      <x:c r="C166" s="221" t="str">
        <x:v>MFA Push Abuse</x:v>
      </x:c>
      <x:c r="D166" s="228" t="str">
        <x:v>Enforce number matching, rate limits, risk-based step-up and account lockout for repeated or anomalous MFA requests.</x:v>
      </x:c>
      <x:c r="E166" s="228" t="str">
        <x:v>MFA fatigue; prompt bombing</x:v>
      </x:c>
      <x:c r="F166" s="228" t="str">
        <x:v>Mandatory</x:v>
      </x:c>
      <x:c r="G166" s="228" t="str">
        <x:v>Critical</x:v>
      </x:c>
      <x:c r="H166" s="228" t="str">
        <x:v>Identity Provider</x:v>
      </x:c>
      <x:c r="I166" s="228" t="str">
        <x:v>Generate repeated MFA prompts and verify throttling, alerting and secure recovery.</x:v>
      </x:c>
      <x:c r="J166" s="228" t="str">
        <x:v>Not Assessed</x:v>
      </x:c>
      <x:c r="K166" s="233" t="n">
        <x:f>IF(J166="Implemented",1,IF(J166="Partially Implemented",0.5,IF(J166="Planned",0.25,IF(J166="Not Applicable",1,0))))</x:f>
        <x:v>0</x:v>
      </x:c>
      <x:c r="L166" s="228" t="str"/>
      <x:c r="M166" s="228" t="str"/>
      <x:c r="N166" s="236"/>
      <x:c r="O166" s="228" t="str">
        <x:v>Not Assessed</x:v>
      </x:c>
      <x:c r="P166" s="228" t="n">
        <x:f>IF(G166="Critical",5,IF(G166="High",4,IF(G166="Medium",3,2)))</x:f>
        <x:v>5</x:v>
      </x:c>
      <x:c r="Q166" s="228" t="n">
        <x:f>P166*K166</x:f>
        <x:v>0</x:v>
      </x:c>
      <x:c r="R166" s="228" t="n">
        <x:f>P166-Q166</x:f>
        <x:v>5</x:v>
      </x:c>
      <x:c r="S166" s="228" t="str"/>
      <x:c r="T166" s="236"/>
      <x:c r="U166" s="228" t="str">
        <x:v>SRC-102</x:v>
      </x:c>
      <x:c r="V166" s="228" t="str">
        <x:v>https://attack.mitre.org/techniques/T1621/</x:v>
      </x:c>
      <x:c r="W166" s="295" t="str">
        <x:v>Nation-state web TTP requirement</x:v>
      </x:c>
    </x:row>
    <x:row r="167">
      <x:c r="A167" s="288" t="str">
        <x:v>RBI-166</x:v>
      </x:c>
      <x:c r="B167" s="221" t="str">
        <x:v>Identity</x:v>
      </x:c>
      <x:c r="C167" s="221" t="str">
        <x:v>Password Spray Defense</x:v>
      </x:c>
      <x:c r="D167" s="228" t="str">
        <x:v>Detect low-and-slow password spraying across distributed IP addresses, applications and protocols and require phishing-resistant MFA.</x:v>
      </x:c>
      <x:c r="E167" s="228" t="str">
        <x:v>Password spraying; credential access</x:v>
      </x:c>
      <x:c r="F167" s="228" t="str">
        <x:v>Mandatory</x:v>
      </x:c>
      <x:c r="G167" s="228" t="str">
        <x:v>Critical</x:v>
      </x:c>
      <x:c r="H167" s="228" t="str">
        <x:v>Universal</x:v>
      </x:c>
      <x:c r="I167" s="228" t="str">
        <x:v>Run controlled distributed password-spray simulations across webmail, VPN and SaaS.</x:v>
      </x:c>
      <x:c r="J167" s="228" t="str">
        <x:v>Not Assessed</x:v>
      </x:c>
      <x:c r="K167" s="233" t="n">
        <x:f>IF(J167="Implemented",1,IF(J167="Partially Implemented",0.5,IF(J167="Planned",0.25,IF(J167="Not Applicable",1,0))))</x:f>
        <x:v>0</x:v>
      </x:c>
      <x:c r="L167" s="228" t="str"/>
      <x:c r="M167" s="228" t="str"/>
      <x:c r="N167" s="236"/>
      <x:c r="O167" s="228" t="str">
        <x:v>Not Assessed</x:v>
      </x:c>
      <x:c r="P167" s="228" t="n">
        <x:f>IF(G167="Critical",5,IF(G167="High",4,IF(G167="Medium",3,2)))</x:f>
        <x:v>5</x:v>
      </x:c>
      <x:c r="Q167" s="228" t="n">
        <x:f>P167*K167</x:f>
        <x:v>0</x:v>
      </x:c>
      <x:c r="R167" s="228" t="n">
        <x:f>P167-Q167</x:f>
        <x:v>5</x:v>
      </x:c>
      <x:c r="S167" s="228" t="str"/>
      <x:c r="T167" s="236"/>
      <x:c r="U167" s="228" t="str">
        <x:v>SRC-65</x:v>
      </x:c>
      <x:c r="V167" s="228" t="str">
        <x:v>https://www.cisa.gov/news-events/cybersecurity-advisories/aa24-290a</x:v>
      </x:c>
      <x:c r="W167" s="295" t="str">
        <x:v>Nation-state web TTP requirement</x:v>
      </x:c>
    </x:row>
    <x:row r="168">
      <x:c r="A168" s="288" t="str">
        <x:v>RBI-167</x:v>
      </x:c>
      <x:c r="B168" s="221" t="str">
        <x:v>Nation-State Web Defense</x:v>
      </x:c>
      <x:c r="C168" s="221" t="str">
        <x:v>Social Media and Messaging Links</x:v>
      </x:c>
      <x:c r="D168" s="228" t="str">
        <x:v>Isolate or inspect links received through LinkedIn, Facebook, Telegram, Signal, WhatsApp and other third-party communication services used for targeted outreach.</x:v>
      </x:c>
      <x:c r="E168" s="228" t="str">
        <x:v>Spearphishing via service; trusted-persona abuse</x:v>
      </x:c>
      <x:c r="F168" s="228" t="str">
        <x:v>Mandatory</x:v>
      </x:c>
      <x:c r="G168" s="228" t="str">
        <x:v>High</x:v>
      </x:c>
      <x:c r="H168" s="228" t="str">
        <x:v>High-Risk Users</x:v>
      </x:c>
      <x:c r="I168" s="228" t="str">
        <x:v>Send controlled links through sanctioned and unsanctioned communication platforms and verify isolation and correlation.</x:v>
      </x:c>
      <x:c r="J168" s="228" t="str">
        <x:v>Not Assessed</x:v>
      </x:c>
      <x:c r="K168" s="233" t="n">
        <x:f>IF(J168="Implemented",1,IF(J168="Partially Implemented",0.5,IF(J168="Planned",0.25,IF(J168="Not Applicable",1,0))))</x:f>
        <x:v>0</x:v>
      </x:c>
      <x:c r="L168" s="228" t="str"/>
      <x:c r="M168" s="228" t="str"/>
      <x:c r="N168" s="236"/>
      <x:c r="O168" s="228" t="str">
        <x:v>Not Assessed</x:v>
      </x:c>
      <x:c r="P168" s="228" t="n">
        <x:f>IF(G168="Critical",5,IF(G168="High",4,IF(G168="Medium",3,2)))</x:f>
        <x:v>4</x:v>
      </x:c>
      <x:c r="Q168" s="228" t="n">
        <x:f>P168*K168</x:f>
        <x:v>0</x:v>
      </x:c>
      <x:c r="R168" s="228" t="n">
        <x:f>P168-Q168</x:f>
        <x:v>4</x:v>
      </x:c>
      <x:c r="S168" s="228" t="str"/>
      <x:c r="T168" s="236"/>
      <x:c r="U168" s="228" t="str">
        <x:v>SRC-67</x:v>
      </x:c>
      <x:c r="V168" s="228" t="str">
        <x:v>https://www.microsoft.com/en-us/security/blog/2025/05/29/defending-against-evolving-identity-attack-techniques/</x:v>
      </x:c>
      <x:c r="W168" s="295" t="str">
        <x:v>Nation-state web TTP requirement</x:v>
      </x:c>
    </x:row>
    <x:row r="169">
      <x:c r="A169" s="288" t="str">
        <x:v>RBI-168</x:v>
      </x:c>
      <x:c r="B169" s="221" t="str">
        <x:v>Nation-State Web Defense</x:v>
      </x:c>
      <x:c r="C169" s="221" t="str">
        <x:v>Compromised Sender Trust</x:v>
      </x:c>
      <x:c r="D169" s="228" t="str">
        <x:v>Reduce trust for messages from known or compromised accounts by applying behavioral risk, domain validation and out-of-band verification before credential or file actions.</x:v>
      </x:c>
      <x:c r="E169" s="228" t="str">
        <x:v>Compromised account phishing; trusted sender impersonation</x:v>
      </x:c>
      <x:c r="F169" s="228" t="str">
        <x:v>Mandatory</x:v>
      </x:c>
      <x:c r="G169" s="228" t="str">
        <x:v>High</x:v>
      </x:c>
      <x:c r="H169" s="228" t="str">
        <x:v>Email and Collaboration</x:v>
      </x:c>
      <x:c r="I169" s="228" t="str">
        <x:v>Use a compromised test account to send benign rapport messages followed by malicious content.</x:v>
      </x:c>
      <x:c r="J169" s="228" t="str">
        <x:v>Not Assessed</x:v>
      </x:c>
      <x:c r="K169" s="233" t="n">
        <x:f>IF(J169="Implemented",1,IF(J169="Partially Implemented",0.5,IF(J169="Planned",0.25,IF(J169="Not Applicable",1,0))))</x:f>
        <x:v>0</x:v>
      </x:c>
      <x:c r="L169" s="228" t="str"/>
      <x:c r="M169" s="228" t="str"/>
      <x:c r="N169" s="236"/>
      <x:c r="O169" s="228" t="str">
        <x:v>Not Assessed</x:v>
      </x:c>
      <x:c r="P169" s="228" t="n">
        <x:f>IF(G169="Critical",5,IF(G169="High",4,IF(G169="Medium",3,2)))</x:f>
        <x:v>4</x:v>
      </x:c>
      <x:c r="Q169" s="228" t="n">
        <x:f>P169*K169</x:f>
        <x:v>0</x:v>
      </x:c>
      <x:c r="R169" s="228" t="n">
        <x:f>P169-Q169</x:f>
        <x:v>4</x:v>
      </x:c>
      <x:c r="S169" s="228" t="str"/>
      <x:c r="T169" s="236"/>
      <x:c r="U169" s="228" t="str">
        <x:v>SRC-66</x:v>
      </x:c>
      <x:c r="V169" s="228" t="str">
        <x:v>https://www.microsoft.com/en-us/security/blog/2024/01/17/new-ttps-observed-in-mint-sandstorm-campaign-targeting-high-profile-individuals-at-universities-and-research-orgs/</x:v>
      </x:c>
      <x:c r="W169" s="295" t="str">
        <x:v>Nation-state web TTP requirement</x:v>
      </x:c>
    </x:row>
    <x:row r="170">
      <x:c r="A170" s="288" t="str">
        <x:v>RBI-169</x:v>
      </x:c>
      <x:c r="B170" s="221" t="str">
        <x:v>Nation-State Web Defense</x:v>
      </x:c>
      <x:c r="C170" s="221" t="str">
        <x:v>Fake Meeting Sites</x:v>
      </x:c>
      <x:c r="D170" s="228" t="str">
        <x:v>Detect and isolate spoofed Zoom, Teams, Webex, Calendly and other collaboration sites and block troubleshooting commands or downloads from unverified meeting domains.</x:v>
      </x:c>
      <x:c r="E170" s="228" t="str">
        <x:v>Fake meeting; ClickFix; credential theft</x:v>
      </x:c>
      <x:c r="F170" s="228" t="str">
        <x:v>Mandatory</x:v>
      </x:c>
      <x:c r="G170" s="228" t="str">
        <x:v>Critical</x:v>
      </x:c>
      <x:c r="H170" s="228" t="str">
        <x:v>Universal</x:v>
      </x:c>
      <x:c r="I170" s="228" t="str">
        <x:v>Use lookalike meeting domains with fake audio errors and test cross-platform commands.</x:v>
      </x:c>
      <x:c r="J170" s="228" t="str">
        <x:v>Not Assessed</x:v>
      </x:c>
      <x:c r="K170" s="233" t="n">
        <x:f>IF(J170="Implemented",1,IF(J170="Partially Implemented",0.5,IF(J170="Planned",0.25,IF(J170="Not Applicable",1,0))))</x:f>
        <x:v>0</x:v>
      </x:c>
      <x:c r="L170" s="228" t="str"/>
      <x:c r="M170" s="228" t="str"/>
      <x:c r="N170" s="236"/>
      <x:c r="O170" s="228" t="str">
        <x:v>Not Assessed</x:v>
      </x:c>
      <x:c r="P170" s="228" t="n">
        <x:f>IF(G170="Critical",5,IF(G170="High",4,IF(G170="Medium",3,2)))</x:f>
        <x:v>5</x:v>
      </x:c>
      <x:c r="Q170" s="228" t="n">
        <x:f>P170*K170</x:f>
        <x:v>0</x:v>
      </x:c>
      <x:c r="R170" s="228" t="n">
        <x:f>P170-Q170</x:f>
        <x:v>5</x:v>
      </x:c>
      <x:c r="S170" s="228" t="str"/>
      <x:c r="T170" s="236"/>
      <x:c r="U170" s="228" t="str">
        <x:v>SRC-88</x:v>
      </x:c>
      <x:c r="V170" s="228" t="str">
        <x:v>https://cloud.google.com/blog/topics/threat-intelligence/unc1069-targets-cryptocurrency-ai-social-engineering</x:v>
      </x:c>
      <x:c r="W170" s="295" t="str">
        <x:v>Nation-state web TTP requirement</x:v>
      </x:c>
    </x:row>
    <x:row r="171">
      <x:c r="A171" s="288" t="str">
        <x:v>RBI-170</x:v>
      </x:c>
      <x:c r="B171" s="221" t="str">
        <x:v>Nation-State Web Defense</x:v>
      </x:c>
      <x:c r="C171" s="221" t="str">
        <x:v>Captive Portal Travel Mode</x:v>
      </x:c>
      <x:c r="D171" s="228" t="str">
        <x:v>Apply an enhanced isolation profile on hotel, airport, conference and other captive-portal networks and prevent sensitive authentication until the portal and network are validated.</x:v>
      </x:c>
      <x:c r="E171" s="228" t="str">
        <x:v>Captive portal compromise; traveler targeting</x:v>
      </x:c>
      <x:c r="F171" s="228" t="str">
        <x:v>Mandatory</x:v>
      </x:c>
      <x:c r="G171" s="228" t="str">
        <x:v>Critical</x:v>
      </x:c>
      <x:c r="H171" s="228" t="str">
        <x:v>Traveling and Privileged Users</x:v>
      </x:c>
      <x:c r="I171" s="228" t="str">
        <x:v>Test managed devices on a controlled captive portal that injects redirects and modified content.</x:v>
      </x:c>
      <x:c r="J171" s="228" t="str">
        <x:v>Not Assessed</x:v>
      </x:c>
      <x:c r="K171" s="233" t="n">
        <x:f>IF(J171="Implemented",1,IF(J171="Partially Implemented",0.5,IF(J171="Planned",0.25,IF(J171="Not Applicable",1,0))))</x:f>
        <x:v>0</x:v>
      </x:c>
      <x:c r="L171" s="228" t="str"/>
      <x:c r="M171" s="228" t="str"/>
      <x:c r="N171" s="236"/>
      <x:c r="O171" s="228" t="str">
        <x:v>Not Assessed</x:v>
      </x:c>
      <x:c r="P171" s="228" t="n">
        <x:f>IF(G171="Critical",5,IF(G171="High",4,IF(G171="Medium",3,2)))</x:f>
        <x:v>5</x:v>
      </x:c>
      <x:c r="Q171" s="228" t="n">
        <x:f>P171*K171</x:f>
        <x:v>0</x:v>
      </x:c>
      <x:c r="R171" s="228" t="n">
        <x:f>P171-Q171</x:f>
        <x:v>5</x:v>
      </x:c>
      <x:c r="S171" s="228" t="str"/>
      <x:c r="T171" s="236"/>
      <x:c r="U171" s="228" t="str">
        <x:v>SRC-72</x:v>
      </x:c>
      <x:c r="V171" s="228" t="str">
        <x:v>https://www.microsoft.com/en-us/security/blog/2026/07/31/captivecrunch-midnight-blizzard-targets-travelers-worldwide-for-malware-delivery-and-credential-theft/</x:v>
      </x:c>
      <x:c r="W171" s="295" t="str">
        <x:v>Nation-state web TTP requirement</x:v>
      </x:c>
    </x:row>
    <x:row r="172">
      <x:c r="A172" s="288" t="str">
        <x:v>RBI-171</x:v>
      </x:c>
      <x:c r="B172" s="221" t="str">
        <x:v>Nation-State Web Defense</x:v>
      </x:c>
      <x:c r="C172" s="221" t="str">
        <x:v>DNS and HTTP Manipulation</x:v>
      </x:c>
      <x:c r="D172" s="228" t="str">
        <x:v>Detect DNS poisoning, HTTP redirection, transparent proxying and content injection that changes trusted destinations or authentication flows.</x:v>
      </x:c>
      <x:c r="E172" s="228" t="str">
        <x:v>DNS manipulation; HTTP interception; captive portal attack</x:v>
      </x:c>
      <x:c r="F172" s="228" t="str">
        <x:v>Mandatory</x:v>
      </x:c>
      <x:c r="G172" s="228" t="str">
        <x:v>Critical</x:v>
      </x:c>
      <x:c r="H172" s="228" t="str">
        <x:v>Managed Endpoints and RBI Egress</x:v>
      </x:c>
      <x:c r="I172" s="228" t="str">
        <x:v>Manipulate DNS answers and HTTP responses and verify destination, certificate and policy validation.</x:v>
      </x:c>
      <x:c r="J172" s="228" t="str">
        <x:v>Not Assessed</x:v>
      </x:c>
      <x:c r="K172" s="233" t="n">
        <x:f>IF(J172="Implemented",1,IF(J172="Partially Implemented",0.5,IF(J172="Planned",0.25,IF(J172="Not Applicable",1,0))))</x:f>
        <x:v>0</x:v>
      </x:c>
      <x:c r="L172" s="228" t="str"/>
      <x:c r="M172" s="228" t="str"/>
      <x:c r="N172" s="236"/>
      <x:c r="O172" s="228" t="str">
        <x:v>Not Assessed</x:v>
      </x:c>
      <x:c r="P172" s="228" t="n">
        <x:f>IF(G172="Critical",5,IF(G172="High",4,IF(G172="Medium",3,2)))</x:f>
        <x:v>5</x:v>
      </x:c>
      <x:c r="Q172" s="228" t="n">
        <x:f>P172*K172</x:f>
        <x:v>0</x:v>
      </x:c>
      <x:c r="R172" s="228" t="n">
        <x:f>P172-Q172</x:f>
        <x:v>5</x:v>
      </x:c>
      <x:c r="S172" s="228" t="str"/>
      <x:c r="T172" s="236"/>
      <x:c r="U172" s="228" t="str">
        <x:v>SRC-72</x:v>
      </x:c>
      <x:c r="V172" s="228" t="str">
        <x:v>https://www.microsoft.com/en-us/security/blog/2026/07/31/captivecrunch-midnight-blizzard-targets-travelers-worldwide-for-malware-delivery-and-credential-theft/</x:v>
      </x:c>
      <x:c r="W172" s="295" t="str">
        <x:v>Nation-state web TTP requirement</x:v>
      </x:c>
    </x:row>
    <x:row r="173">
      <x:c r="A173" s="288" t="str">
        <x:v>RBI-172</x:v>
      </x:c>
      <x:c r="B173" s="221" t="str">
        <x:v>Nation-State Web Defense</x:v>
      </x:c>
      <x:c r="C173" s="221" t="str">
        <x:v>Strategic Web Compromise</x:v>
      </x:c>
      <x:c r="D173" s="228" t="str">
        <x:v>Use threat intelligence and high-risk user targeting data to automatically isolate strategic websites, regional news, policy, security research and sector-specific watering-hole candidates.</x:v>
      </x:c>
      <x:c r="E173" s="228" t="str">
        <x:v>Watering hole; strategic web compromise</x:v>
      </x:c>
      <x:c r="F173" s="228" t="str">
        <x:v>Mandatory</x:v>
      </x:c>
      <x:c r="G173" s="228" t="str">
        <x:v>Critical</x:v>
      </x:c>
      <x:c r="H173" s="228" t="str">
        <x:v>High-Risk Users</x:v>
      </x:c>
      <x:c r="I173" s="228" t="str">
        <x:v>Test compromised trusted sites and targeted audience policies.</x:v>
      </x:c>
      <x:c r="J173" s="228" t="str">
        <x:v>Not Assessed</x:v>
      </x:c>
      <x:c r="K173" s="233" t="n">
        <x:f>IF(J173="Implemented",1,IF(J173="Partially Implemented",0.5,IF(J173="Planned",0.25,IF(J173="Not Applicable",1,0))))</x:f>
        <x:v>0</x:v>
      </x:c>
      <x:c r="L173" s="228" t="str"/>
      <x:c r="M173" s="228" t="str"/>
      <x:c r="N173" s="236"/>
      <x:c r="O173" s="228" t="str">
        <x:v>Not Assessed</x:v>
      </x:c>
      <x:c r="P173" s="228" t="n">
        <x:f>IF(G173="Critical",5,IF(G173="High",4,IF(G173="Medium",3,2)))</x:f>
        <x:v>5</x:v>
      </x:c>
      <x:c r="Q173" s="228" t="n">
        <x:f>P173*K173</x:f>
        <x:v>0</x:v>
      </x:c>
      <x:c r="R173" s="228" t="n">
        <x:f>P173-Q173</x:f>
        <x:v>5</x:v>
      </x:c>
      <x:c r="S173" s="228" t="str"/>
      <x:c r="T173" s="236"/>
      <x:c r="U173" s="228" t="str">
        <x:v>SRC-75</x:v>
      </x:c>
      <x:c r="V173" s="228" t="str">
        <x:v>https://www.microsoft.com/en-us/security/blog/2024/12/04/frequent-freeloader-part-i-secret-blizzard-compromising-storm-0156-infrastructure-for-espionage/</x:v>
      </x:c>
      <x:c r="W173" s="295" t="str">
        <x:v>Nation-state web TTP requirement</x:v>
      </x:c>
    </x:row>
    <x:row r="174">
      <x:c r="A174" s="288" t="str">
        <x:v>RBI-173</x:v>
      </x:c>
      <x:c r="B174" s="221" t="str">
        <x:v>Nation-State Web Defense</x:v>
      </x:c>
      <x:c r="C174" s="221" t="str">
        <x:v>Malvertising</x:v>
      </x:c>
      <x:c r="D174" s="228" t="str">
        <x:v>Isolate or block third-party advertising, detect compromised advertising supply chains, and prevent ad-delivered browser exploits and fake software updates.</x:v>
      </x:c>
      <x:c r="E174" s="228" t="str">
        <x:v>Malvertising; zero-click browser exploit</x:v>
      </x:c>
      <x:c r="F174" s="228" t="str">
        <x:v>Mandatory</x:v>
      </x:c>
      <x:c r="G174" s="228" t="str">
        <x:v>High</x:v>
      </x:c>
      <x:c r="H174" s="228" t="str">
        <x:v>Internet Browsing</x:v>
      </x:c>
      <x:c r="I174" s="228" t="str">
        <x:v>Use test ad networks, redirects and fake-update lures and verify containment.</x:v>
      </x:c>
      <x:c r="J174" s="228" t="str">
        <x:v>Not Assessed</x:v>
      </x:c>
      <x:c r="K174" s="233" t="n">
        <x:f>IF(J174="Implemented",1,IF(J174="Partially Implemented",0.5,IF(J174="Planned",0.25,IF(J174="Not Applicable",1,0))))</x:f>
        <x:v>0</x:v>
      </x:c>
      <x:c r="L174" s="228" t="str"/>
      <x:c r="M174" s="228" t="str"/>
      <x:c r="N174" s="236"/>
      <x:c r="O174" s="228" t="str">
        <x:v>Not Assessed</x:v>
      </x:c>
      <x:c r="P174" s="228" t="n">
        <x:f>IF(G174="Critical",5,IF(G174="High",4,IF(G174="Medium",3,2)))</x:f>
        <x:v>4</x:v>
      </x:c>
      <x:c r="Q174" s="228" t="n">
        <x:f>P174*K174</x:f>
        <x:v>0</x:v>
      </x:c>
      <x:c r="R174" s="228" t="n">
        <x:f>P174-Q174</x:f>
        <x:v>4</x:v>
      </x:c>
      <x:c r="S174" s="228" t="str"/>
      <x:c r="T174" s="236"/>
      <x:c r="U174" s="228" t="str">
        <x:v>SRC-87</x:v>
      </x:c>
      <x:c r="V174" s="228" t="str">
        <x:v>https://cloud.google.com/blog/topics/threat-intelligence/2024-zero-day-trends</x:v>
      </x:c>
      <x:c r="W174" s="295" t="str">
        <x:v>Nation-state web TTP requirement</x:v>
      </x:c>
    </x:row>
    <x:row r="175">
      <x:c r="A175" s="288" t="str">
        <x:v>RBI-174</x:v>
      </x:c>
      <x:c r="B175" s="221" t="str">
        <x:v>Nation-State Web Defense</x:v>
      </x:c>
      <x:c r="C175" s="221" t="str">
        <x:v>Emergency Zero-Day Isolation</x:v>
      </x:c>
      <x:c r="D175" s="228" t="str">
        <x:v>Provide an emergency policy that forces full remote rendering, disables risky browser APIs and file transfer, and applies enhanced logging when a browser zero-day or active campaign is announced.</x:v>
      </x:c>
      <x:c r="E175" s="228" t="str">
        <x:v>Browser zero-day; emergency exploitation</x:v>
      </x:c>
      <x:c r="F175" s="228" t="str">
        <x:v>Mandatory</x:v>
      </x:c>
      <x:c r="G175" s="228" t="str">
        <x:v>Critical</x:v>
      </x:c>
      <x:c r="H175" s="228" t="str">
        <x:v>Universal</x:v>
      </x:c>
      <x:c r="I175" s="228" t="str">
        <x:v>Activate an emergency profile and validate enforcement across all browsers and platforms.</x:v>
      </x:c>
      <x:c r="J175" s="228" t="str">
        <x:v>Not Assessed</x:v>
      </x:c>
      <x:c r="K175" s="233" t="n">
        <x:f>IF(J175="Implemented",1,IF(J175="Partially Implemented",0.5,IF(J175="Planned",0.25,IF(J175="Not Applicable",1,0))))</x:f>
        <x:v>0</x:v>
      </x:c>
      <x:c r="L175" s="228" t="str"/>
      <x:c r="M175" s="228" t="str"/>
      <x:c r="N175" s="236"/>
      <x:c r="O175" s="228" t="str">
        <x:v>Not Assessed</x:v>
      </x:c>
      <x:c r="P175" s="228" t="n">
        <x:f>IF(G175="Critical",5,IF(G175="High",4,IF(G175="Medium",3,2)))</x:f>
        <x:v>5</x:v>
      </x:c>
      <x:c r="Q175" s="228" t="n">
        <x:f>P175*K175</x:f>
        <x:v>0</x:v>
      </x:c>
      <x:c r="R175" s="228" t="n">
        <x:f>P175-Q175</x:f>
        <x:v>5</x:v>
      </x:c>
      <x:c r="S175" s="228" t="str"/>
      <x:c r="T175" s="236"/>
      <x:c r="U175" s="228" t="str">
        <x:v>SRC-87</x:v>
      </x:c>
      <x:c r="V175" s="228" t="str">
        <x:v>https://cloud.google.com/blog/topics/threat-intelligence/2024-zero-day-trends</x:v>
      </x:c>
      <x:c r="W175" s="295" t="str">
        <x:v>Nation-state web TTP requirement</x:v>
      </x:c>
    </x:row>
    <x:row r="176">
      <x:c r="A176" s="288" t="str">
        <x:v>RBI-175</x:v>
      </x:c>
      <x:c r="B176" s="221" t="str">
        <x:v>Nation-State Web Defense</x:v>
      </x:c>
      <x:c r="C176" s="221" t="str">
        <x:v>High-Risk Target Profiles</x:v>
      </x:c>
      <x:c r="D176" s="228" t="str">
        <x:v>Maintain enhanced controls for executives, researchers, diplomats, journalists, developers, administrators and personnel working on sensitive geopolitical topics.</x:v>
      </x:c>
      <x:c r="E176" s="228" t="str">
        <x:v>Highly targeted nation-state phishing and exploitation</x:v>
      </x:c>
      <x:c r="F176" s="228" t="str">
        <x:v>Mandatory</x:v>
      </x:c>
      <x:c r="G176" s="228" t="str">
        <x:v>High</x:v>
      </x:c>
      <x:c r="H176" s="228" t="str">
        <x:v>High-Risk Users</x:v>
      </x:c>
      <x:c r="I176" s="228" t="str">
        <x:v>Review current high-risk population and test stricter policies for representative users.</x:v>
      </x:c>
      <x:c r="J176" s="228" t="str">
        <x:v>Not Assessed</x:v>
      </x:c>
      <x:c r="K176" s="233" t="n">
        <x:f>IF(J176="Implemented",1,IF(J176="Partially Implemented",0.5,IF(J176="Planned",0.25,IF(J176="Not Applicable",1,0))))</x:f>
        <x:v>0</x:v>
      </x:c>
      <x:c r="L176" s="228" t="str"/>
      <x:c r="M176" s="228" t="str"/>
      <x:c r="N176" s="236"/>
      <x:c r="O176" s="228" t="str">
        <x:v>Not Assessed</x:v>
      </x:c>
      <x:c r="P176" s="228" t="n">
        <x:f>IF(G176="Critical",5,IF(G176="High",4,IF(G176="Medium",3,2)))</x:f>
        <x:v>4</x:v>
      </x:c>
      <x:c r="Q176" s="228" t="n">
        <x:f>P176*K176</x:f>
        <x:v>0</x:v>
      </x:c>
      <x:c r="R176" s="228" t="n">
        <x:f>P176-Q176</x:f>
        <x:v>4</x:v>
      </x:c>
      <x:c r="S176" s="228" t="str"/>
      <x:c r="T176" s="236"/>
      <x:c r="U176" s="228" t="str">
        <x:v>SRC-61</x:v>
      </x:c>
      <x:c r="V176" s="228" t="str">
        <x:v>https://attack.mitre.org/groups/G0059/</x:v>
      </x:c>
      <x:c r="W176" s="295" t="str">
        <x:v>Nation-state web TTP requirement</x:v>
      </x:c>
    </x:row>
    <x:row r="177">
      <x:c r="A177" s="288" t="str">
        <x:v>RBI-176</x:v>
      </x:c>
      <x:c r="B177" s="221" t="str">
        <x:v>Public-Facing Web Security</x:v>
      </x:c>
      <x:c r="C177" s="221" t="str">
        <x:v>External Attack Surface</x:v>
      </x:c>
      <x:c r="D177" s="228" t="str">
        <x:v>Continuously inventory internet-facing applications, APIs, VPNs, identity portals, network devices, cloud services and shadow assets with accountable owners.</x:v>
      </x:c>
      <x:c r="E177" s="228" t="str">
        <x:v>Unknown exposed asset; public-facing exploitation</x:v>
      </x:c>
      <x:c r="F177" s="228" t="str">
        <x:v>Mandatory</x:v>
      </x:c>
      <x:c r="G177" s="228" t="str">
        <x:v>Critical</x:v>
      </x:c>
      <x:c r="H177" s="228" t="str">
        <x:v>Adjacent Control - Outside RBI</x:v>
      </x:c>
      <x:c r="I177" s="228" t="str">
        <x:v>Compare external discovery with CMDB, DNS, certificates, cloud and vulnerability data.</x:v>
      </x:c>
      <x:c r="J177" s="228" t="str">
        <x:v>Not Assessed</x:v>
      </x:c>
      <x:c r="K177" s="233" t="n">
        <x:f>IF(J177="Implemented",1,IF(J177="Partially Implemented",0.5,IF(J177="Planned",0.25,IF(J177="Not Applicable",1,0))))</x:f>
        <x:v>0</x:v>
      </x:c>
      <x:c r="L177" s="228" t="str"/>
      <x:c r="M177" s="228" t="str"/>
      <x:c r="N177" s="236"/>
      <x:c r="O177" s="228" t="str">
        <x:v>Not Assessed</x:v>
      </x:c>
      <x:c r="P177" s="228" t="n">
        <x:f>IF(G177="Critical",5,IF(G177="High",4,IF(G177="Medium",3,2)))</x:f>
        <x:v>5</x:v>
      </x:c>
      <x:c r="Q177" s="228" t="n">
        <x:f>P177*K177</x:f>
        <x:v>0</x:v>
      </x:c>
      <x:c r="R177" s="228" t="n">
        <x:f>P177-Q177</x:f>
        <x:v>5</x:v>
      </x:c>
      <x:c r="S177" s="228" t="str"/>
      <x:c r="T177" s="236"/>
      <x:c r="U177" s="228" t="str">
        <x:v>SRC-92</x:v>
      </x:c>
      <x:c r="V177" s="228" t="str">
        <x:v>https://attack.mitre.org/techniques/T1190/</x:v>
      </x:c>
      <x:c r="W177" s="295" t="str">
        <x:v>Nation-state web TTP requirement</x:v>
      </x:c>
    </x:row>
    <x:row r="178">
      <x:c r="A178" s="288" t="str">
        <x:v>RBI-177</x:v>
      </x:c>
      <x:c r="B178" s="221" t="str">
        <x:v>Public-Facing Web Security</x:v>
      </x:c>
      <x:c r="C178" s="221" t="str">
        <x:v>KEV and Edge Patching</x:v>
      </x:c>
      <x:c r="D178" s="228" t="str">
        <x:v>Patch or mitigate actively exploited vulnerabilities in VPNs, firewalls, email servers, collaboration platforms and edge appliances within emergency service levels.</x:v>
      </x:c>
      <x:c r="E178" s="228" t="str">
        <x:v>N-day and zero-day edge exploitation</x:v>
      </x:c>
      <x:c r="F178" s="228" t="str">
        <x:v>Mandatory</x:v>
      </x:c>
      <x:c r="G178" s="228" t="str">
        <x:v>Critical</x:v>
      </x:c>
      <x:c r="H178" s="228" t="str">
        <x:v>Adjacent Control - Outside RBI</x:v>
      </x:c>
      <x:c r="I178" s="228" t="str">
        <x:v>Measure detection-to-mitigation time for critical edge vulnerabilities and test emergency controls.</x:v>
      </x:c>
      <x:c r="J178" s="228" t="str">
        <x:v>Not Assessed</x:v>
      </x:c>
      <x:c r="K178" s="233" t="n">
        <x:f>IF(J178="Implemented",1,IF(J178="Partially Implemented",0.5,IF(J178="Planned",0.25,IF(J178="Not Applicable",1,0))))</x:f>
        <x:v>0</x:v>
      </x:c>
      <x:c r="L178" s="228" t="str"/>
      <x:c r="M178" s="228" t="str"/>
      <x:c r="N178" s="236"/>
      <x:c r="O178" s="228" t="str">
        <x:v>Not Assessed</x:v>
      </x:c>
      <x:c r="P178" s="228" t="n">
        <x:f>IF(G178="Critical",5,IF(G178="High",4,IF(G178="Medium",3,2)))</x:f>
        <x:v>5</x:v>
      </x:c>
      <x:c r="Q178" s="228" t="n">
        <x:f>P178*K178</x:f>
        <x:v>0</x:v>
      </x:c>
      <x:c r="R178" s="228" t="n">
        <x:f>P178-Q178</x:f>
        <x:v>5</x:v>
      </x:c>
      <x:c r="S178" s="228" t="str"/>
      <x:c r="T178" s="236"/>
      <x:c r="U178" s="228" t="str">
        <x:v>SRC-81</x:v>
      </x:c>
      <x:c r="V178" s="228" t="str">
        <x:v>https://www.cisa.gov/news-events/cybersecurity-advisories/aa25-239a</x:v>
      </x:c>
      <x:c r="W178" s="295" t="str">
        <x:v>Nation-state web TTP requirement</x:v>
      </x:c>
    </x:row>
    <x:row r="179">
      <x:c r="A179" s="288" t="str">
        <x:v>RBI-178</x:v>
      </x:c>
      <x:c r="B179" s="221" t="str">
        <x:v>Public-Facing Web Security</x:v>
      </x:c>
      <x:c r="C179" s="221" t="str">
        <x:v>WAF and API Protection</x:v>
      </x:c>
      <x:c r="D179" s="228" t="str">
        <x:v>Deploy protocol-aware WAF and API protections that detect exploitation, path traversal, injection, deserialization, authentication bypass and abnormal API behavior.</x:v>
      </x:c>
      <x:c r="E179" s="228" t="str">
        <x:v>Exploit public-facing application; API abuse</x:v>
      </x:c>
      <x:c r="F179" s="228" t="str">
        <x:v>Mandatory</x:v>
      </x:c>
      <x:c r="G179" s="228" t="str">
        <x:v>Critical</x:v>
      </x:c>
      <x:c r="H179" s="228" t="str">
        <x:v>Adjacent Control - Outside RBI</x:v>
      </x:c>
      <x:c r="I179" s="228" t="str">
        <x:v>Replay exploit patterns and correlate requests with server errors, processes and outbound connections.</x:v>
      </x:c>
      <x:c r="J179" s="228" t="str">
        <x:v>Not Assessed</x:v>
      </x:c>
      <x:c r="K179" s="233" t="n">
        <x:f>IF(J179="Implemented",1,IF(J179="Partially Implemented",0.5,IF(J179="Planned",0.25,IF(J179="Not Applicable",1,0))))</x:f>
        <x:v>0</x:v>
      </x:c>
      <x:c r="L179" s="228" t="str"/>
      <x:c r="M179" s="228" t="str"/>
      <x:c r="N179" s="236"/>
      <x:c r="O179" s="228" t="str">
        <x:v>Not Assessed</x:v>
      </x:c>
      <x:c r="P179" s="228" t="n">
        <x:f>IF(G179="Critical",5,IF(G179="High",4,IF(G179="Medium",3,2)))</x:f>
        <x:v>5</x:v>
      </x:c>
      <x:c r="Q179" s="228" t="n">
        <x:f>P179*K179</x:f>
        <x:v>0</x:v>
      </x:c>
      <x:c r="R179" s="228" t="n">
        <x:f>P179-Q179</x:f>
        <x:v>5</x:v>
      </x:c>
      <x:c r="S179" s="228" t="str"/>
      <x:c r="T179" s="236"/>
      <x:c r="U179" s="228" t="str">
        <x:v>SRC-92</x:v>
      </x:c>
      <x:c r="V179" s="228" t="str">
        <x:v>https://attack.mitre.org/techniques/T1190/</x:v>
      </x:c>
      <x:c r="W179" s="295" t="str">
        <x:v>Nation-state web TTP requirement</x:v>
      </x:c>
    </x:row>
    <x:row r="180">
      <x:c r="A180" s="288" t="str">
        <x:v>RBI-179</x:v>
      </x:c>
      <x:c r="B180" s="221" t="str">
        <x:v>Public-Facing Web Security</x:v>
      </x:c>
      <x:c r="C180" s="221" t="str">
        <x:v>Web Shell Detection</x:v>
      </x:c>
      <x:c r="D180" s="228" t="str">
        <x:v>Detect new or modified web files, abnormal server modules, web-process child shells, encoded commands and outbound callbacks and provide rapid isolation.</x:v>
      </x:c>
      <x:c r="E180" s="228" t="str">
        <x:v>Web shell persistence; remote command execution</x:v>
      </x:c>
      <x:c r="F180" s="228" t="str">
        <x:v>Mandatory</x:v>
      </x:c>
      <x:c r="G180" s="228" t="str">
        <x:v>Critical</x:v>
      </x:c>
      <x:c r="H180" s="228" t="str">
        <x:v>Adjacent Control - Outside RBI</x:v>
      </x:c>
      <x:c r="I180" s="228" t="str">
        <x:v>Deploy a controlled web shell and validate file, process, module and network detections.</x:v>
      </x:c>
      <x:c r="J180" s="228" t="str">
        <x:v>Not Assessed</x:v>
      </x:c>
      <x:c r="K180" s="233" t="n">
        <x:f>IF(J180="Implemented",1,IF(J180="Partially Implemented",0.5,IF(J180="Planned",0.25,IF(J180="Not Applicable",1,0))))</x:f>
        <x:v>0</x:v>
      </x:c>
      <x:c r="L180" s="228" t="str"/>
      <x:c r="M180" s="228" t="str"/>
      <x:c r="N180" s="236"/>
      <x:c r="O180" s="228" t="str">
        <x:v>Not Assessed</x:v>
      </x:c>
      <x:c r="P180" s="228" t="n">
        <x:f>IF(G180="Critical",5,IF(G180="High",4,IF(G180="Medium",3,2)))</x:f>
        <x:v>5</x:v>
      </x:c>
      <x:c r="Q180" s="228" t="n">
        <x:f>P180*K180</x:f>
        <x:v>0</x:v>
      </x:c>
      <x:c r="R180" s="228" t="n">
        <x:f>P180-Q180</x:f>
        <x:v>5</x:v>
      </x:c>
      <x:c r="S180" s="228" t="str"/>
      <x:c r="T180" s="236"/>
      <x:c r="U180" s="228" t="str">
        <x:v>SRC-93</x:v>
      </x:c>
      <x:c r="V180" s="228" t="str">
        <x:v>https://attack.mitre.org/techniques/T1505/003/</x:v>
      </x:c>
      <x:c r="W180" s="295" t="str">
        <x:v>Nation-state web TTP requirement</x:v>
      </x:c>
    </x:row>
    <x:row r="181">
      <x:c r="A181" s="288" t="str">
        <x:v>RBI-180</x:v>
      </x:c>
      <x:c r="B181" s="221" t="str">
        <x:v>Public-Facing Web Security</x:v>
      </x:c>
      <x:c r="C181" s="221" t="str">
        <x:v>Edge Management Plane</x:v>
      </x:c>
      <x:c r="D181" s="228" t="str">
        <x:v>Remove administrative interfaces from the public internet, enforce phishing-resistant MFA, restrict management networks and monitor configuration integrity.</x:v>
      </x:c>
      <x:c r="E181" s="228" t="str">
        <x:v>Edge appliance takeover; credential abuse</x:v>
      </x:c>
      <x:c r="F181" s="228" t="str">
        <x:v>Mandatory</x:v>
      </x:c>
      <x:c r="G181" s="228" t="str">
        <x:v>Critical</x:v>
      </x:c>
      <x:c r="H181" s="228" t="str">
        <x:v>Adjacent Control - Outside RBI</x:v>
      </x:c>
      <x:c r="I181" s="228" t="str">
        <x:v>Attempt external management access and unauthorized configuration changes.</x:v>
      </x:c>
      <x:c r="J181" s="228" t="str">
        <x:v>Not Assessed</x:v>
      </x:c>
      <x:c r="K181" s="233" t="n">
        <x:f>IF(J181="Implemented",1,IF(J181="Partially Implemented",0.5,IF(J181="Planned",0.25,IF(J181="Not Applicable",1,0))))</x:f>
        <x:v>0</x:v>
      </x:c>
      <x:c r="L181" s="228" t="str"/>
      <x:c r="M181" s="228" t="str"/>
      <x:c r="N181" s="236"/>
      <x:c r="O181" s="228" t="str">
        <x:v>Not Assessed</x:v>
      </x:c>
      <x:c r="P181" s="228" t="n">
        <x:f>IF(G181="Critical",5,IF(G181="High",4,IF(G181="Medium",3,2)))</x:f>
        <x:v>5</x:v>
      </x:c>
      <x:c r="Q181" s="228" t="n">
        <x:f>P181*K181</x:f>
        <x:v>0</x:v>
      </x:c>
      <x:c r="R181" s="228" t="n">
        <x:f>P181-Q181</x:f>
        <x:v>5</x:v>
      </x:c>
      <x:c r="S181" s="228" t="str"/>
      <x:c r="T181" s="236"/>
      <x:c r="U181" s="228" t="str">
        <x:v>SRC-80</x:v>
      </x:c>
      <x:c r="V181" s="228" t="str">
        <x:v>https://www.cisa.gov/news-events/cybersecurity-advisories/aa24-038a</x:v>
      </x:c>
      <x:c r="W181" s="295" t="str">
        <x:v>Nation-state web TTP requirement</x:v>
      </x:c>
    </x:row>
    <x:row r="182">
      <x:c r="A182" s="288" t="str">
        <x:v>RBI-181</x:v>
      </x:c>
      <x:c r="B182" s="221" t="str">
        <x:v>Public-Facing Web Security</x:v>
      </x:c>
      <x:c r="C182" s="221" t="str">
        <x:v>Proxy Infrastructure Detection</x:v>
      </x:c>
      <x:c r="D182" s="228" t="str">
        <x:v>Identify connections through compromised SOHO routers, residential proxies, anonymization services and unusual relay infrastructure using multi-signal risk analysis.</x:v>
      </x:c>
      <x:c r="E182" s="228" t="str">
        <x:v>Actor-controlled proxy; source obfuscation</x:v>
      </x:c>
      <x:c r="F182" s="228" t="str">
        <x:v>Mandatory</x:v>
      </x:c>
      <x:c r="G182" s="228" t="str">
        <x:v>High</x:v>
      </x:c>
      <x:c r="H182" s="228" t="str">
        <x:v>Universal</x:v>
      </x:c>
      <x:c r="I182" s="228" t="str">
        <x:v>Test access through residential proxies, compromised-router ranges and rapid network changes.</x:v>
      </x:c>
      <x:c r="J182" s="228" t="str">
        <x:v>Not Assessed</x:v>
      </x:c>
      <x:c r="K182" s="233" t="n">
        <x:f>IF(J182="Implemented",1,IF(J182="Partially Implemented",0.5,IF(J182="Planned",0.25,IF(J182="Not Applicable",1,0))))</x:f>
        <x:v>0</x:v>
      </x:c>
      <x:c r="L182" s="228" t="str"/>
      <x:c r="M182" s="228" t="str"/>
      <x:c r="N182" s="236"/>
      <x:c r="O182" s="228" t="str">
        <x:v>Not Assessed</x:v>
      </x:c>
      <x:c r="P182" s="228" t="n">
        <x:f>IF(G182="Critical",5,IF(G182="High",4,IF(G182="Medium",3,2)))</x:f>
        <x:v>4</x:v>
      </x:c>
      <x:c r="Q182" s="228" t="n">
        <x:f>P182*K182</x:f>
        <x:v>0</x:v>
      </x:c>
      <x:c r="R182" s="228" t="n">
        <x:f>P182-Q182</x:f>
        <x:v>4</x:v>
      </x:c>
      <x:c r="S182" s="228" t="str"/>
      <x:c r="T182" s="236"/>
      <x:c r="U182" s="228" t="str">
        <x:v>SRC-76</x:v>
      </x:c>
      <x:c r="V182" s="228" t="str">
        <x:v>https://attack.mitre.org/groups/G1017/</x:v>
      </x:c>
      <x:c r="W182" s="295" t="str">
        <x:v>Nation-state web TTP requirement</x:v>
      </x:c>
    </x:row>
    <x:row r="183">
      <x:c r="A183" s="288" t="str">
        <x:v>RBI-182</x:v>
      </x:c>
      <x:c r="B183" s="221" t="str">
        <x:v>Software Supply Chain</x:v>
      </x:c>
      <x:c r="C183" s="221" t="str">
        <x:v>Package Integrity</x:v>
      </x:c>
      <x:c r="D183" s="228" t="str">
        <x:v>Require approved registries, dependency pinning, lock files, integrity hashes, signed packages, provenance and rapid revocation for JavaScript, npm and other software dependencies.</x:v>
      </x:c>
      <x:c r="E183" s="228" t="str">
        <x:v>Malicious package; dependency compromise</x:v>
      </x:c>
      <x:c r="F183" s="228" t="str">
        <x:v>Mandatory</x:v>
      </x:c>
      <x:c r="G183" s="228" t="str">
        <x:v>Critical</x:v>
      </x:c>
      <x:c r="H183" s="228" t="str">
        <x:v>Developers and CI/CD</x:v>
      </x:c>
      <x:c r="I183" s="228" t="str">
        <x:v>Attempt installation of a modified or newly published dependency and verify block and alert.</x:v>
      </x:c>
      <x:c r="J183" s="228" t="str">
        <x:v>Not Assessed</x:v>
      </x:c>
      <x:c r="K183" s="233" t="n">
        <x:f>IF(J183="Implemented",1,IF(J183="Partially Implemented",0.5,IF(J183="Planned",0.25,IF(J183="Not Applicable",1,0))))</x:f>
        <x:v>0</x:v>
      </x:c>
      <x:c r="L183" s="228" t="str"/>
      <x:c r="M183" s="228" t="str"/>
      <x:c r="N183" s="236"/>
      <x:c r="O183" s="228" t="str">
        <x:v>Not Assessed</x:v>
      </x:c>
      <x:c r="P183" s="228" t="n">
        <x:f>IF(G183="Critical",5,IF(G183="High",4,IF(G183="Medium",3,2)))</x:f>
        <x:v>5</x:v>
      </x:c>
      <x:c r="Q183" s="228" t="n">
        <x:f>P183*K183</x:f>
        <x:v>0</x:v>
      </x:c>
      <x:c r="R183" s="228" t="n">
        <x:f>P183-Q183</x:f>
        <x:v>5</x:v>
      </x:c>
      <x:c r="S183" s="228" t="str"/>
      <x:c r="T183" s="236"/>
      <x:c r="U183" s="228" t="str">
        <x:v>SRC-89</x:v>
      </x:c>
      <x:c r="V183" s="228" t="str">
        <x:v>https://www.microsoft.com/en-us/security/blog/2026/04/01/mitigating-the-axios-npm-supply-chain-compromise/</x:v>
      </x:c>
      <x:c r="W183" s="295" t="str">
        <x:v>Nation-state web TTP requirement</x:v>
      </x:c>
    </x:row>
    <x:row r="184">
      <x:c r="A184" s="288" t="str">
        <x:v>RBI-183</x:v>
      </x:c>
      <x:c r="B184" s="221" t="str">
        <x:v>Software Supply Chain</x:v>
      </x:c>
      <x:c r="C184" s="221" t="str">
        <x:v>Package Manager Egress</x:v>
      </x:c>
      <x:c r="D184" s="228" t="str">
        <x:v>Route npm, pip, Maven, NuGet and other package-manager traffic through governed repositories, malware analysis and domain allowlists.</x:v>
      </x:c>
      <x:c r="E184" s="228" t="str">
        <x:v>Package-manager C2; malicious dependency download</x:v>
      </x:c>
      <x:c r="F184" s="228" t="str">
        <x:v>Mandatory</x:v>
      </x:c>
      <x:c r="G184" s="228" t="str">
        <x:v>Critical</x:v>
      </x:c>
      <x:c r="H184" s="228" t="str">
        <x:v>Developers and CI/CD</x:v>
      </x:c>
      <x:c r="I184" s="228" t="str">
        <x:v>Attempt direct public-registry access and package post-install network callbacks.</x:v>
      </x:c>
      <x:c r="J184" s="228" t="str">
        <x:v>Not Assessed</x:v>
      </x:c>
      <x:c r="K184" s="233" t="n">
        <x:f>IF(J184="Implemented",1,IF(J184="Partially Implemented",0.5,IF(J184="Planned",0.25,IF(J184="Not Applicable",1,0))))</x:f>
        <x:v>0</x:v>
      </x:c>
      <x:c r="L184" s="228" t="str"/>
      <x:c r="M184" s="228" t="str"/>
      <x:c r="N184" s="236"/>
      <x:c r="O184" s="228" t="str">
        <x:v>Not Assessed</x:v>
      </x:c>
      <x:c r="P184" s="228" t="n">
        <x:f>IF(G184="Critical",5,IF(G184="High",4,IF(G184="Medium",3,2)))</x:f>
        <x:v>5</x:v>
      </x:c>
      <x:c r="Q184" s="228" t="n">
        <x:f>P184*K184</x:f>
        <x:v>0</x:v>
      </x:c>
      <x:c r="R184" s="228" t="n">
        <x:f>P184-Q184</x:f>
        <x:v>5</x:v>
      </x:c>
      <x:c r="S184" s="228" t="str"/>
      <x:c r="T184" s="236"/>
      <x:c r="U184" s="228" t="str">
        <x:v>SRC-89</x:v>
      </x:c>
      <x:c r="V184" s="228" t="str">
        <x:v>https://www.microsoft.com/en-us/security/blog/2026/04/01/mitigating-the-axios-npm-supply-chain-compromise/</x:v>
      </x:c>
      <x:c r="W184" s="295" t="str">
        <x:v>Nation-state web TTP requirement</x:v>
      </x:c>
    </x:row>
    <x:row r="185">
      <x:c r="A185" s="288" t="str">
        <x:v>RBI-184</x:v>
      </x:c>
      <x:c r="B185" s="221" t="str">
        <x:v>Software Supply Chain</x:v>
      </x:c>
      <x:c r="C185" s="221" t="str">
        <x:v>API Key and PAM Secrets</x:v>
      </x:c>
      <x:c r="D185" s="228" t="str">
        <x:v>Inventory, scope, rotate and monitor API keys, privileged-access tokens and cloud management credentials used by suppliers and administrative services.</x:v>
      </x:c>
      <x:c r="E185" s="228" t="str">
        <x:v>Stolen API key; downstream customer compromise</x:v>
      </x:c>
      <x:c r="F185" s="228" t="str">
        <x:v>Mandatory</x:v>
      </x:c>
      <x:c r="G185" s="228" t="str">
        <x:v>Critical</x:v>
      </x:c>
      <x:c r="H185" s="228" t="str">
        <x:v>Cloud and SaaS</x:v>
      </x:c>
      <x:c r="I185" s="228" t="str">
        <x:v>Use a test key from an unusual location and attempt downstream tenant access.</x:v>
      </x:c>
      <x:c r="J185" s="228" t="str">
        <x:v>Not Assessed</x:v>
      </x:c>
      <x:c r="K185" s="233" t="n">
        <x:f>IF(J185="Implemented",1,IF(J185="Partially Implemented",0.5,IF(J185="Planned",0.25,IF(J185="Not Applicable",1,0))))</x:f>
        <x:v>0</x:v>
      </x:c>
      <x:c r="L185" s="228" t="str"/>
      <x:c r="M185" s="228" t="str"/>
      <x:c r="N185" s="236"/>
      <x:c r="O185" s="228" t="str">
        <x:v>Not Assessed</x:v>
      </x:c>
      <x:c r="P185" s="228" t="n">
        <x:f>IF(G185="Critical",5,IF(G185="High",4,IF(G185="Medium",3,2)))</x:f>
        <x:v>5</x:v>
      </x:c>
      <x:c r="Q185" s="228" t="n">
        <x:f>P185*K185</x:f>
        <x:v>0</x:v>
      </x:c>
      <x:c r="R185" s="228" t="n">
        <x:f>P185-Q185</x:f>
        <x:v>5</x:v>
      </x:c>
      <x:c r="S185" s="228" t="str"/>
      <x:c r="T185" s="236"/>
      <x:c r="U185" s="228" t="str">
        <x:v>SRC-82</x:v>
      </x:c>
      <x:c r="V185" s="228" t="str">
        <x:v>https://www.microsoft.com/en-us/security/blog/2025/03/05/silk-typhoon-targeting-it-supply-chain/</x:v>
      </x:c>
      <x:c r="W185" s="295" t="str">
        <x:v>Nation-state web TTP requirement</x:v>
      </x:c>
    </x:row>
    <x:row r="186">
      <x:c r="A186" s="288" t="str">
        <x:v>RBI-185</x:v>
      </x:c>
      <x:c r="B186" s="221" t="str">
        <x:v>Nation-State Web Defense</x:v>
      </x:c>
      <x:c r="C186" s="221" t="str">
        <x:v>Third-Party SaaS Integrations</x:v>
      </x:c>
      <x:c r="D186" s="228" t="str">
        <x:v>Inventory and continuously evaluate OAuth and API integrations to SaaS platforms, including downstream vendor connections, token scopes and revocation capability.</x:v>
      </x:c>
      <x:c r="E186" s="228" t="str">
        <x:v>Trusted integration compromise; SaaS supply chain</x:v>
      </x:c>
      <x:c r="F186" s="228" t="str">
        <x:v>Mandatory</x:v>
      </x:c>
      <x:c r="G186" s="228" t="str">
        <x:v>Critical</x:v>
      </x:c>
      <x:c r="H186" s="228" t="str">
        <x:v>SaaS</x:v>
      </x:c>
      <x:c r="I186" s="228" t="str">
        <x:v>Revoke a test vendor integration and verify token invalidation and loss of API access.</x:v>
      </x:c>
      <x:c r="J186" s="228" t="str">
        <x:v>Not Assessed</x:v>
      </x:c>
      <x:c r="K186" s="233" t="n">
        <x:f>IF(J186="Implemented",1,IF(J186="Partially Implemented",0.5,IF(J186="Planned",0.25,IF(J186="Not Applicable",1,0))))</x:f>
        <x:v>0</x:v>
      </x:c>
      <x:c r="L186" s="228" t="str"/>
      <x:c r="M186" s="228" t="str"/>
      <x:c r="N186" s="236"/>
      <x:c r="O186" s="228" t="str">
        <x:v>Not Assessed</x:v>
      </x:c>
      <x:c r="P186" s="228" t="n">
        <x:f>IF(G186="Critical",5,IF(G186="High",4,IF(G186="Medium",3,2)))</x:f>
        <x:v>5</x:v>
      </x:c>
      <x:c r="Q186" s="228" t="n">
        <x:f>P186*K186</x:f>
        <x:v>0</x:v>
      </x:c>
      <x:c r="R186" s="228" t="n">
        <x:f>P186-Q186</x:f>
        <x:v>5</x:v>
      </x:c>
      <x:c r="S186" s="228" t="str"/>
      <x:c r="T186" s="236"/>
      <x:c r="U186" s="228" t="str">
        <x:v>SRC-82</x:v>
      </x:c>
      <x:c r="V186" s="228" t="str">
        <x:v>https://www.microsoft.com/en-us/security/blog/2025/03/05/silk-typhoon-targeting-it-supply-chain/</x:v>
      </x:c>
      <x:c r="W186" s="295" t="str">
        <x:v>Nation-state web TTP requirement</x:v>
      </x:c>
    </x:row>
    <x:row r="187">
      <x:c r="A187" s="288" t="str">
        <x:v>RBI-186</x:v>
      </x:c>
      <x:c r="B187" s="221" t="str">
        <x:v>Nation-State Web Defense</x:v>
      </x:c>
      <x:c r="C187" s="221" t="str">
        <x:v>QR and Visual Phishing</x:v>
      </x:c>
      <x:c r="D187" s="228" t="str">
        <x:v>Decode and inspect QR codes, barcodes and visual links in web pages, documents and collaboration messages before navigation or authentication.</x:v>
      </x:c>
      <x:c r="E187" s="228" t="str">
        <x:v>QR phishing; visual redirect; visual C2</x:v>
      </x:c>
      <x:c r="F187" s="228" t="str">
        <x:v>Mandatory</x:v>
      </x:c>
      <x:c r="G187" s="228" t="str">
        <x:v>High</x:v>
      </x:c>
      <x:c r="H187" s="228" t="str">
        <x:v>Universal</x:v>
      </x:c>
      <x:c r="I187" s="228" t="str">
        <x:v>Use QR codes pointing to phishing, OAuth and device-code pages and verify policy enforcement.</x:v>
      </x:c>
      <x:c r="J187" s="228" t="str">
        <x:v>Not Assessed</x:v>
      </x:c>
      <x:c r="K187" s="233" t="n">
        <x:f>IF(J187="Implemented",1,IF(J187="Partially Implemented",0.5,IF(J187="Planned",0.25,IF(J187="Not Applicable",1,0))))</x:f>
        <x:v>0</x:v>
      </x:c>
      <x:c r="L187" s="228" t="str"/>
      <x:c r="M187" s="228" t="str"/>
      <x:c r="N187" s="236"/>
      <x:c r="O187" s="228" t="str">
        <x:v>Not Assessed</x:v>
      </x:c>
      <x:c r="P187" s="228" t="n">
        <x:f>IF(G187="Critical",5,IF(G187="High",4,IF(G187="Medium",3,2)))</x:f>
        <x:v>4</x:v>
      </x:c>
      <x:c r="Q187" s="228" t="n">
        <x:f>P187*K187</x:f>
        <x:v>0</x:v>
      </x:c>
      <x:c r="R187" s="228" t="n">
        <x:f>P187-Q187</x:f>
        <x:v>4</x:v>
      </x:c>
      <x:c r="S187" s="228" t="str"/>
      <x:c r="T187" s="236"/>
      <x:c r="U187" s="228" t="str">
        <x:v>SRC-29</x:v>
      </x:c>
      <x:c r="V187" s="228" t="str">
        <x:v>https://cloud.google.com/blog/topics/threat-intelligence/c2-browser-isolation-environments</x:v>
      </x:c>
      <x:c r="W187" s="295" t="str">
        <x:v>Nation-state web TTP requirement</x:v>
      </x:c>
    </x:row>
    <x:row r="188">
      <x:c r="A188" s="288" t="str">
        <x:v>RBI-187</x:v>
      </x:c>
      <x:c r="B188" s="221" t="str">
        <x:v>Nation-State Web Defense</x:v>
      </x:c>
      <x:c r="C188" s="221" t="str">
        <x:v>Browser Data Theft</x:v>
      </x:c>
      <x:c r="D188" s="228" t="str">
        <x:v>Detect processes, extensions and scripts that access browser credential stores, cookies, local storage, profiles or session databases and correlate with outbound connections.</x:v>
      </x:c>
      <x:c r="E188" s="228" t="str">
        <x:v>Browser credential and token theft</x:v>
      </x:c>
      <x:c r="F188" s="228" t="str">
        <x:v>Mandatory</x:v>
      </x:c>
      <x:c r="G188" s="228" t="str">
        <x:v>Critical</x:v>
      </x:c>
      <x:c r="H188" s="228" t="str">
        <x:v>Managed Endpoints</x:v>
      </x:c>
      <x:c r="I188" s="228" t="str">
        <x:v>Run controlled browser-data access and token-extraction tests from local processes and extensions.</x:v>
      </x:c>
      <x:c r="J188" s="228" t="str">
        <x:v>Not Assessed</x:v>
      </x:c>
      <x:c r="K188" s="233" t="n">
        <x:f>IF(J188="Implemented",1,IF(J188="Partially Implemented",0.5,IF(J188="Planned",0.25,IF(J188="Not Applicable",1,0))))</x:f>
        <x:v>0</x:v>
      </x:c>
      <x:c r="L188" s="228" t="str"/>
      <x:c r="M188" s="228" t="str"/>
      <x:c r="N188" s="236"/>
      <x:c r="O188" s="228" t="str">
        <x:v>Not Assessed</x:v>
      </x:c>
      <x:c r="P188" s="228" t="n">
        <x:f>IF(G188="Critical",5,IF(G188="High",4,IF(G188="Medium",3,2)))</x:f>
        <x:v>5</x:v>
      </x:c>
      <x:c r="Q188" s="228" t="n">
        <x:f>P188*K188</x:f>
        <x:v>0</x:v>
      </x:c>
      <x:c r="R188" s="228" t="n">
        <x:f>P188-Q188</x:f>
        <x:v>5</x:v>
      </x:c>
      <x:c r="S188" s="228" t="str"/>
      <x:c r="T188" s="236"/>
      <x:c r="U188" s="228" t="str">
        <x:v>SRC-96</x:v>
      </x:c>
      <x:c r="V188" s="228" t="str">
        <x:v>https://attack.mitre.org/techniques/T1555/003/</x:v>
      </x:c>
      <x:c r="W188" s="295" t="str">
        <x:v>Nation-state web TTP requirement</x:v>
      </x:c>
    </x:row>
    <x:row r="189">
      <x:c r="A189" s="288" t="str">
        <x:v>RBI-188</x:v>
      </x:c>
      <x:c r="B189" s="221" t="str">
        <x:v>Browser Runtime</x:v>
      </x:c>
      <x:c r="C189" s="221" t="str">
        <x:v>PWA and Push Notifications</x:v>
      </x:c>
      <x:c r="D189" s="228" t="str">
        <x:v>Block or govern Progressive Web Application installation, push notifications and notification-driven redirects from untrusted sites.</x:v>
      </x:c>
      <x:c r="E189" s="228" t="str">
        <x:v>Persistent phishing; fake security alerts; PWA abuse</x:v>
      </x:c>
      <x:c r="F189" s="228" t="str">
        <x:v>Mandatory</x:v>
      </x:c>
      <x:c r="G189" s="228" t="str">
        <x:v>High</x:v>
      </x:c>
      <x:c r="H189" s="228" t="str">
        <x:v>Universal</x:v>
      </x:c>
      <x:c r="I189" s="228" t="str">
        <x:v>Attempt PWA installation and malicious push-notification delivery from an untrusted origin.</x:v>
      </x:c>
      <x:c r="J189" s="228" t="str">
        <x:v>Not Assessed</x:v>
      </x:c>
      <x:c r="K189" s="233" t="n">
        <x:f>IF(J189="Implemented",1,IF(J189="Partially Implemented",0.5,IF(J189="Planned",0.25,IF(J189="Not Applicable",1,0))))</x:f>
        <x:v>0</x:v>
      </x:c>
      <x:c r="L189" s="228" t="str"/>
      <x:c r="M189" s="228" t="str"/>
      <x:c r="N189" s="236"/>
      <x:c r="O189" s="228" t="str">
        <x:v>Not Assessed</x:v>
      </x:c>
      <x:c r="P189" s="228" t="n">
        <x:f>IF(G189="Critical",5,IF(G189="High",4,IF(G189="Medium",3,2)))</x:f>
        <x:v>4</x:v>
      </x:c>
      <x:c r="Q189" s="228" t="n">
        <x:f>P189*K189</x:f>
        <x:v>0</x:v>
      </x:c>
      <x:c r="R189" s="228" t="n">
        <x:f>P189-Q189</x:f>
        <x:v>4</x:v>
      </x:c>
      <x:c r="S189" s="228" t="str"/>
      <x:c r="T189" s="236"/>
      <x:c r="U189" s="228" t="str">
        <x:v>SRC-104</x:v>
      </x:c>
      <x:c r="V189" s="228" t="str">
        <x:v>https://attack.mitre.org/techniques/T1189/</x:v>
      </x:c>
      <x:c r="W189" s="295" t="str">
        <x:v>Nation-state web TTP requirement</x:v>
      </x:c>
    </x:row>
    <x:row r="190">
      <x:c r="A190" s="288" t="str">
        <x:v>RBI-189</x:v>
      </x:c>
      <x:c r="B190" s="221" t="str">
        <x:v>Web3 Protection</x:v>
      </x:c>
      <x:c r="C190" s="221" t="str">
        <x:v>Nation-State Cryptocurrency Mode</x:v>
      </x:c>
      <x:c r="D190" s="228" t="str">
        <x:v>Apply enhanced isolation, transaction simulation, trusted signing, browser-extension restrictions and developer protections for cryptocurrency and DeFi personnel.</x:v>
      </x:c>
      <x:c r="E190" s="228" t="str">
        <x:v>DPRK cryptocurrency theft; wallet drainer; fake application</x:v>
      </x:c>
      <x:c r="F190" s="228" t="str">
        <x:v>Mandatory</x:v>
      </x:c>
      <x:c r="G190" s="228" t="str">
        <x:v>Critical</x:v>
      </x:c>
      <x:c r="H190" s="228" t="str">
        <x:v>Cryptocurrency and DeFi</x:v>
      </x:c>
      <x:c r="I190" s="228" t="str">
        <x:v>Exercise fake dApps, malicious wallet prompts, fake meetings and developer-package lures.</x:v>
      </x:c>
      <x:c r="J190" s="228" t="str">
        <x:v>Not Assessed</x:v>
      </x:c>
      <x:c r="K190" s="233" t="n">
        <x:f>IF(J190="Implemented",1,IF(J190="Partially Implemented",0.5,IF(J190="Planned",0.25,IF(J190="Not Applicable",1,0))))</x:f>
        <x:v>0</x:v>
      </x:c>
      <x:c r="L190" s="228" t="str"/>
      <x:c r="M190" s="228" t="str"/>
      <x:c r="N190" s="236"/>
      <x:c r="O190" s="228" t="str">
        <x:v>Not Assessed</x:v>
      </x:c>
      <x:c r="P190" s="228" t="n">
        <x:f>IF(G190="Critical",5,IF(G190="High",4,IF(G190="Medium",3,2)))</x:f>
        <x:v>5</x:v>
      </x:c>
      <x:c r="Q190" s="228" t="n">
        <x:f>P190*K190</x:f>
        <x:v>0</x:v>
      </x:c>
      <x:c r="R190" s="228" t="n">
        <x:f>P190-Q190</x:f>
        <x:v>5</x:v>
      </x:c>
      <x:c r="S190" s="228" t="str"/>
      <x:c r="T190" s="236"/>
      <x:c r="U190" s="228" t="str">
        <x:v>SRC-88</x:v>
      </x:c>
      <x:c r="V190" s="228" t="str">
        <x:v>https://cloud.google.com/blog/topics/threat-intelligence/unc1069-targets-cryptocurrency-ai-social-engineering</x:v>
      </x:c>
      <x:c r="W190" s="295" t="str">
        <x:v>Nation-state web TTP requirement</x:v>
      </x:c>
    </x:row>
    <x:row r="191">
      <x:c r="A191" s="288" t="str">
        <x:v>RBI-190</x:v>
      </x:c>
      <x:c r="B191" s="221" t="str">
        <x:v>Monitoring &amp; Detection</x:v>
      </x:c>
      <x:c r="C191" s="221" t="str">
        <x:v>Cloud and Web C2</x:v>
      </x:c>
      <x:c r="D191" s="228" t="str">
        <x:v>Detect command-and-control and exfiltration over trusted cloud services, web storage, paste sites, code repositories and collaboration platforms using tenant, path, volume and behavioral analytics.</x:v>
      </x:c>
      <x:c r="E191" s="228" t="str">
        <x:v>Web-service C2; cloud exfiltration</x:v>
      </x:c>
      <x:c r="F191" s="228" t="str">
        <x:v>Mandatory</x:v>
      </x:c>
      <x:c r="G191" s="228" t="str">
        <x:v>High</x:v>
      </x:c>
      <x:c r="H191" s="228" t="str">
        <x:v>Universal</x:v>
      </x:c>
      <x:c r="I191" s="228" t="str">
        <x:v>Replay beaconing and staged exfiltration through sanctioned and unsanctioned web services.</x:v>
      </x:c>
      <x:c r="J191" s="228" t="str">
        <x:v>Not Assessed</x:v>
      </x:c>
      <x:c r="K191" s="233" t="n">
        <x:f>IF(J191="Implemented",1,IF(J191="Partially Implemented",0.5,IF(J191="Planned",0.25,IF(J191="Not Applicable",1,0))))</x:f>
        <x:v>0</x:v>
      </x:c>
      <x:c r="L191" s="228" t="str"/>
      <x:c r="M191" s="228" t="str"/>
      <x:c r="N191" s="236"/>
      <x:c r="O191" s="228" t="str">
        <x:v>Not Assessed</x:v>
      </x:c>
      <x:c r="P191" s="228" t="n">
        <x:f>IF(G191="Critical",5,IF(G191="High",4,IF(G191="Medium",3,2)))</x:f>
        <x:v>4</x:v>
      </x:c>
      <x:c r="Q191" s="228" t="n">
        <x:f>P191*K191</x:f>
        <x:v>0</x:v>
      </x:c>
      <x:c r="R191" s="228" t="n">
        <x:f>P191-Q191</x:f>
        <x:v>4</x:v>
      </x:c>
      <x:c r="S191" s="228" t="str"/>
      <x:c r="T191" s="236"/>
      <x:c r="U191" s="228" t="str">
        <x:v>SRC-106</x:v>
      </x:c>
      <x:c r="V191" s="228" t="str">
        <x:v>https://attack.mitre.org/techniques/T1567/002/</x:v>
      </x:c>
      <x:c r="W191" s="295" t="str">
        <x:v>Nation-state web TTP requirement</x:v>
      </x:c>
    </x:row>
    <x:row r="192">
      <x:c r="A192" s="288" t="str">
        <x:v>RBI-191</x:v>
      </x:c>
      <x:c r="B192" s="221" t="str">
        <x:v>Monitoring &amp; Detection</x:v>
      </x:c>
      <x:c r="C192" s="221" t="str">
        <x:v>Actor-Specific Hunting Packs</x:v>
      </x:c>
      <x:c r="D192" s="228" t="str">
        <x:v>Maintain hunting queries and detections mapped to Iranian, Russian, Chinese and North Korean web TTPs, ATT&amp;CK techniques and current campaigns.</x:v>
      </x:c>
      <x:c r="E192" s="228" t="str">
        <x:v>Known actor behavior not detected</x:v>
      </x:c>
      <x:c r="F192" s="228" t="str">
        <x:v>Mandatory</x:v>
      </x:c>
      <x:c r="G192" s="228" t="str">
        <x:v>High</x:v>
      </x:c>
      <x:c r="H192" s="228" t="str">
        <x:v>SOC and Threat Hunting</x:v>
      </x:c>
      <x:c r="I192" s="228" t="str">
        <x:v>Run quarterly hunts using recent actor procedures and record coverage and findings.</x:v>
      </x:c>
      <x:c r="J192" s="228" t="str">
        <x:v>Not Assessed</x:v>
      </x:c>
      <x:c r="K192" s="233" t="n">
        <x:f>IF(J192="Implemented",1,IF(J192="Partially Implemented",0.5,IF(J192="Planned",0.25,IF(J192="Not Applicable",1,0))))</x:f>
        <x:v>0</x:v>
      </x:c>
      <x:c r="L192" s="228" t="str"/>
      <x:c r="M192" s="228" t="str"/>
      <x:c r="N192" s="236"/>
      <x:c r="O192" s="228" t="str">
        <x:v>Not Assessed</x:v>
      </x:c>
      <x:c r="P192" s="228" t="n">
        <x:f>IF(G192="Critical",5,IF(G192="High",4,IF(G192="Medium",3,2)))</x:f>
        <x:v>4</x:v>
      </x:c>
      <x:c r="Q192" s="228" t="n">
        <x:f>P192*K192</x:f>
        <x:v>0</x:v>
      </x:c>
      <x:c r="R192" s="228" t="n">
        <x:f>P192-Q192</x:f>
        <x:v>4</x:v>
      </x:c>
      <x:c r="S192" s="228" t="str"/>
      <x:c r="T192" s="236"/>
      <x:c r="U192" s="228" t="str">
        <x:v>SRC-60</x:v>
      </x:c>
      <x:c r="V192" s="228" t="str">
        <x:v>https://www.cisa.gov/topics/cyber-threats-and-advisories/nation-state-cyber-actors</x:v>
      </x:c>
      <x:c r="W192" s="295" t="str">
        <x:v>Nation-state web TTP requirement</x:v>
      </x:c>
    </x:row>
    <x:row r="193">
      <x:c r="A193" s="288" t="str">
        <x:v>RBI-192</x:v>
      </x:c>
      <x:c r="B193" s="221" t="str">
        <x:v>Governance &amp; Assurance</x:v>
      </x:c>
      <x:c r="C193" s="221" t="str">
        <x:v>Threat Intelligence Lifecycle</x:v>
      </x:c>
      <x:c r="D193" s="228" t="str">
        <x:v>Refresh actor, campaign, domain, vulnerability and TTP mappings at least monthly and after major advisories, with source, confidence and last-reviewed fields.</x:v>
      </x:c>
      <x:c r="E193" s="228" t="str">
        <x:v>Stale threat model; attribution uncertainty</x:v>
      </x:c>
      <x:c r="F193" s="228" t="str">
        <x:v>Mandatory</x:v>
      </x:c>
      <x:c r="G193" s="228" t="str">
        <x:v>High</x:v>
      </x:c>
      <x:c r="H193" s="228" t="str">
        <x:v>Universal</x:v>
      </x:c>
      <x:c r="I193" s="228" t="str">
        <x:v>Review update timestamps and trace a recent advisory into policy, detection and testing changes.</x:v>
      </x:c>
      <x:c r="J193" s="228" t="str">
        <x:v>Not Assessed</x:v>
      </x:c>
      <x:c r="K193" s="233" t="n">
        <x:f>IF(J193="Implemented",1,IF(J193="Partially Implemented",0.5,IF(J193="Planned",0.25,IF(J193="Not Applicable",1,0))))</x:f>
        <x:v>0</x:v>
      </x:c>
      <x:c r="L193" s="228" t="str"/>
      <x:c r="M193" s="228" t="str"/>
      <x:c r="N193" s="236"/>
      <x:c r="O193" s="228" t="str">
        <x:v>Not Assessed</x:v>
      </x:c>
      <x:c r="P193" s="228" t="n">
        <x:f>IF(G193="Critical",5,IF(G193="High",4,IF(G193="Medium",3,2)))</x:f>
        <x:v>4</x:v>
      </x:c>
      <x:c r="Q193" s="228" t="n">
        <x:f>P193*K193</x:f>
        <x:v>0</x:v>
      </x:c>
      <x:c r="R193" s="228" t="n">
        <x:f>P193-Q193</x:f>
        <x:v>4</x:v>
      </x:c>
      <x:c r="S193" s="228" t="str"/>
      <x:c r="T193" s="236"/>
      <x:c r="U193" s="228" t="str">
        <x:v>SRC-60</x:v>
      </x:c>
      <x:c r="V193" s="228" t="str">
        <x:v>https://www.cisa.gov/topics/cyber-threats-and-advisories/nation-state-cyber-actors</x:v>
      </x:c>
      <x:c r="W193" s="295" t="str">
        <x:v>Nation-state web TTP requirement</x:v>
      </x:c>
    </x:row>
    <x:row r="194">
      <x:c r="A194" s="288" t="str">
        <x:v>RBI-193</x:v>
      </x:c>
      <x:c r="B194" s="221" t="str">
        <x:v>Governance &amp; Assurance</x:v>
      </x:c>
      <x:c r="C194" s="221" t="str">
        <x:v>Nation-State Emulation</x:v>
      </x:c>
      <x:c r="D194" s="228" t="str">
        <x:v>Conduct authorized threat-informed exercises covering at least one representative web attack chain for each of Iran, Russia, China and North Korea annually.</x:v>
      </x:c>
      <x:c r="E194" s="228" t="str">
        <x:v>Untested control chain; false assurance</x:v>
      </x:c>
      <x:c r="F194" s="228" t="str">
        <x:v>Mandatory</x:v>
      </x:c>
      <x:c r="G194" s="228" t="str">
        <x:v>High</x:v>
      </x:c>
      <x:c r="H194" s="228" t="str">
        <x:v>Universal</x:v>
      </x:c>
      <x:c r="I194" s="228" t="str">
        <x:v>Execute phishing, edge exploitation, OAuth, watering-hole, supply-chain and browser-token scenarios in a controlled environment.</x:v>
      </x:c>
      <x:c r="J194" s="228" t="str">
        <x:v>Not Assessed</x:v>
      </x:c>
      <x:c r="K194" s="233" t="n">
        <x:f>IF(J194="Implemented",1,IF(J194="Partially Implemented",0.5,IF(J194="Planned",0.25,IF(J194="Not Applicable",1,0))))</x:f>
        <x:v>0</x:v>
      </x:c>
      <x:c r="L194" s="228" t="str"/>
      <x:c r="M194" s="228" t="str"/>
      <x:c r="N194" s="236"/>
      <x:c r="O194" s="228" t="str">
        <x:v>Not Assessed</x:v>
      </x:c>
      <x:c r="P194" s="228" t="n">
        <x:f>IF(G194="Critical",5,IF(G194="High",4,IF(G194="Medium",3,2)))</x:f>
        <x:v>4</x:v>
      </x:c>
      <x:c r="Q194" s="228" t="n">
        <x:f>P194*K194</x:f>
        <x:v>0</x:v>
      </x:c>
      <x:c r="R194" s="228" t="n">
        <x:f>P194-Q194</x:f>
        <x:v>4</x:v>
      </x:c>
      <x:c r="S194" s="228" t="str"/>
      <x:c r="T194" s="236"/>
      <x:c r="U194" s="228" t="str">
        <x:v>SRC-60</x:v>
      </x:c>
      <x:c r="V194" s="228" t="str">
        <x:v>https://www.cisa.gov/topics/cyber-threats-and-advisories/nation-state-cyber-actors</x:v>
      </x:c>
      <x:c r="W194" s="295" t="str">
        <x:v>Nation-state web TTP requirement</x:v>
      </x:c>
    </x:row>
    <x:row r="195">
      <x:c r="A195" s="288" t="str">
        <x:v>RBI-194</x:v>
      </x:c>
      <x:c r="B195" s="221" t="str">
        <x:v>Nation-State Web Defense</x:v>
      </x:c>
      <x:c r="C195" s="221" t="str">
        <x:v>Synthetic Persona Verification</x:v>
      </x:c>
      <x:c r="D195" s="228" t="str">
        <x:v>Require out-of-band verification for unexpected high-impact requests involving deepfake video, voice, executive impersonation or AI-generated personas.</x:v>
      </x:c>
      <x:c r="E195" s="228" t="str">
        <x:v>Deepfake social engineering; identity deception</x:v>
      </x:c>
      <x:c r="F195" s="228" t="str">
        <x:v>Mandatory</x:v>
      </x:c>
      <x:c r="G195" s="228" t="str">
        <x:v>High</x:v>
      </x:c>
      <x:c r="H195" s="228" t="str">
        <x:v>High-Risk Users</x:v>
      </x:c>
      <x:c r="I195" s="228" t="str">
        <x:v>Conduct a controlled deepfake or synthetic-persona exercise and verify escalation.</x:v>
      </x:c>
      <x:c r="J195" s="228" t="str">
        <x:v>Not Assessed</x:v>
      </x:c>
      <x:c r="K195" s="233" t="n">
        <x:f>IF(J195="Implemented",1,IF(J195="Partially Implemented",0.5,IF(J195="Planned",0.25,IF(J195="Not Applicable",1,0))))</x:f>
        <x:v>0</x:v>
      </x:c>
      <x:c r="L195" s="228" t="str"/>
      <x:c r="M195" s="228" t="str"/>
      <x:c r="N195" s="236"/>
      <x:c r="O195" s="228" t="str">
        <x:v>Not Assessed</x:v>
      </x:c>
      <x:c r="P195" s="228" t="n">
        <x:f>IF(G195="Critical",5,IF(G195="High",4,IF(G195="Medium",3,2)))</x:f>
        <x:v>4</x:v>
      </x:c>
      <x:c r="Q195" s="228" t="n">
        <x:f>P195*K195</x:f>
        <x:v>0</x:v>
      </x:c>
      <x:c r="R195" s="228" t="n">
        <x:f>P195-Q195</x:f>
        <x:v>4</x:v>
      </x:c>
      <x:c r="S195" s="228" t="str"/>
      <x:c r="T195" s="236"/>
      <x:c r="U195" s="228" t="str">
        <x:v>SRC-88</x:v>
      </x:c>
      <x:c r="V195" s="228" t="str">
        <x:v>https://cloud.google.com/blog/topics/threat-intelligence/unc1069-targets-cryptocurrency-ai-social-engineering</x:v>
      </x:c>
      <x:c r="W195" s="295" t="str">
        <x:v>Nation-state web TTP requirement</x:v>
      </x:c>
    </x:row>
    <x:row r="196">
      <x:c r="A196" s="288" t="str">
        <x:v>RBI-195</x:v>
      </x:c>
      <x:c r="B196" s="221" t="str">
        <x:v>Nation-State Web Defense</x:v>
      </x:c>
      <x:c r="C196" s="221" t="str">
        <x:v>Webmail Login Pinning</x:v>
      </x:c>
      <x:c r="D196" s="228" t="str">
        <x:v>Allow enterprise webmail authentication only on approved exact domains and tenants and prominently warn or block Zimbra, OWA and other login-page lookalikes.</x:v>
      </x:c>
      <x:c r="E196" s="228" t="str">
        <x:v>Webmail credential phishing</x:v>
      </x:c>
      <x:c r="F196" s="228" t="str">
        <x:v>Mandatory</x:v>
      </x:c>
      <x:c r="G196" s="228" t="str">
        <x:v>Critical</x:v>
      </x:c>
      <x:c r="H196" s="228" t="str">
        <x:v>Email Users</x:v>
      </x:c>
      <x:c r="I196" s="228" t="str">
        <x:v>Test exact-domain, subdomain, homograph and reverse-proxy login pages.</x:v>
      </x:c>
      <x:c r="J196" s="228" t="str">
        <x:v>Not Assessed</x:v>
      </x:c>
      <x:c r="K196" s="233" t="n">
        <x:f>IF(J196="Implemented",1,IF(J196="Partially Implemented",0.5,IF(J196="Planned",0.25,IF(J196="Not Applicable",1,0))))</x:f>
        <x:v>0</x:v>
      </x:c>
      <x:c r="L196" s="228" t="str"/>
      <x:c r="M196" s="228" t="str"/>
      <x:c r="N196" s="236"/>
      <x:c r="O196" s="228" t="str">
        <x:v>Not Assessed</x:v>
      </x:c>
      <x:c r="P196" s="228" t="n">
        <x:f>IF(G196="Critical",5,IF(G196="High",4,IF(G196="Medium",3,2)))</x:f>
        <x:v>5</x:v>
      </x:c>
      <x:c r="Q196" s="228" t="n">
        <x:f>P196*K196</x:f>
        <x:v>0</x:v>
      </x:c>
      <x:c r="R196" s="228" t="n">
        <x:f>P196-Q196</x:f>
        <x:v>5</x:v>
      </x:c>
      <x:c r="S196" s="228" t="str"/>
      <x:c r="T196" s="236"/>
      <x:c r="U196" s="228" t="str">
        <x:v>SRC-74</x:v>
      </x:c>
      <x:c r="V196" s="228" t="str">
        <x:v>https://www.cisa.gov/news-events/cybersecurity-advisories/aa26-204a</x:v>
      </x:c>
      <x:c r="W196" s="295" t="str">
        <x:v>Nation-state web TTP requirement</x:v>
      </x:c>
    </x:row>
    <x:row r="197">
      <x:c r="A197" s="288" t="str">
        <x:v>RBI-196</x:v>
      </x:c>
      <x:c r="B197" s="221" t="str">
        <x:v>Monitoring &amp; Detection</x:v>
      </x:c>
      <x:c r="C197" s="221" t="str">
        <x:v>Multi-Channel Correlation</x:v>
      </x:c>
      <x:c r="D197" s="228" t="str">
        <x:v>Correlate email, social media, messaging, browser navigation, DNS, identity, OAuth and endpoint events into one phishing or account-compromise incident.</x:v>
      </x:c>
      <x:c r="E197" s="228" t="str">
        <x:v>Fragmented phishing visibility</x:v>
      </x:c>
      <x:c r="F197" s="228" t="str">
        <x:v>Mandatory</x:v>
      </x:c>
      <x:c r="G197" s="228" t="str">
        <x:v>Critical</x:v>
      </x:c>
      <x:c r="H197" s="228" t="str">
        <x:v>SOC and Identity</x:v>
      </x:c>
      <x:c r="I197" s="228" t="str">
        <x:v>Run a multi-stage lure across email and messaging followed by browser and identity activity.</x:v>
      </x:c>
      <x:c r="J197" s="228" t="str">
        <x:v>Not Assessed</x:v>
      </x:c>
      <x:c r="K197" s="233" t="n">
        <x:f>IF(J197="Implemented",1,IF(J197="Partially Implemented",0.5,IF(J197="Planned",0.25,IF(J197="Not Applicable",1,0))))</x:f>
        <x:v>0</x:v>
      </x:c>
      <x:c r="L197" s="228" t="str"/>
      <x:c r="M197" s="228" t="str"/>
      <x:c r="N197" s="236"/>
      <x:c r="O197" s="228" t="str">
        <x:v>Not Assessed</x:v>
      </x:c>
      <x:c r="P197" s="228" t="n">
        <x:f>IF(G197="Critical",5,IF(G197="High",4,IF(G197="Medium",3,2)))</x:f>
        <x:v>5</x:v>
      </x:c>
      <x:c r="Q197" s="228" t="n">
        <x:f>P197*K197</x:f>
        <x:v>0</x:v>
      </x:c>
      <x:c r="R197" s="228" t="n">
        <x:f>P197-Q197</x:f>
        <x:v>5</x:v>
      </x:c>
      <x:c r="S197" s="228" t="str"/>
      <x:c r="T197" s="236"/>
      <x:c r="U197" s="228" t="str">
        <x:v>SRC-91</x:v>
      </x:c>
      <x:c r="V197" s="228" t="str">
        <x:v>https://attack.mitre.org/techniques/T1566/002/</x:v>
      </x:c>
      <x:c r="W197" s="295" t="str">
        <x:v>Nation-state web TTP requirement</x:v>
      </x:c>
    </x:row>
    <x:row r="198">
      <x:c r="A198" s="288" t="str">
        <x:v>RBI-197</x:v>
      </x:c>
      <x:c r="B198" s="221" t="str">
        <x:v>Nation-State Web Defense</x:v>
      </x:c>
      <x:c r="C198" s="221" t="str">
        <x:v>Developer and Researcher Protection</x:v>
      </x:c>
      <x:c r="D198" s="228" t="str">
        <x:v>Use isolated development and research profiles with restricted package installation, separate identities, no privileged tokens and controlled file export.</x:v>
      </x:c>
      <x:c r="E198" s="228" t="str">
        <x:v>Developer targeting; security-researcher compromise</x:v>
      </x:c>
      <x:c r="F198" s="228" t="str">
        <x:v>Mandatory</x:v>
      </x:c>
      <x:c r="G198" s="228" t="str">
        <x:v>Critical</x:v>
      </x:c>
      <x:c r="H198" s="228" t="str">
        <x:v>Developers and Security Researchers</x:v>
      </x:c>
      <x:c r="I198" s="228" t="str">
        <x:v>Test fake recruiter, proof-of-concept repository, package and collaboration lures.</x:v>
      </x:c>
      <x:c r="J198" s="228" t="str">
        <x:v>Not Assessed</x:v>
      </x:c>
      <x:c r="K198" s="233" t="n">
        <x:f>IF(J198="Implemented",1,IF(J198="Partially Implemented",0.5,IF(J198="Planned",0.25,IF(J198="Not Applicable",1,0))))</x:f>
        <x:v>0</x:v>
      </x:c>
      <x:c r="L198" s="228" t="str"/>
      <x:c r="M198" s="228" t="str"/>
      <x:c r="N198" s="236"/>
      <x:c r="O198" s="228" t="str">
        <x:v>Not Assessed</x:v>
      </x:c>
      <x:c r="P198" s="228" t="n">
        <x:f>IF(G198="Critical",5,IF(G198="High",4,IF(G198="Medium",3,2)))</x:f>
        <x:v>5</x:v>
      </x:c>
      <x:c r="Q198" s="228" t="n">
        <x:f>P198*K198</x:f>
        <x:v>0</x:v>
      </x:c>
      <x:c r="R198" s="228" t="n">
        <x:f>P198-Q198</x:f>
        <x:v>5</x:v>
      </x:c>
      <x:c r="S198" s="228" t="str"/>
      <x:c r="T198" s="236"/>
      <x:c r="U198" s="228" t="str">
        <x:v>SRC-88</x:v>
      </x:c>
      <x:c r="V198" s="228" t="str">
        <x:v>https://cloud.google.com/blog/topics/threat-intelligence/unc1069-targets-cryptocurrency-ai-social-engineering</x:v>
      </x:c>
      <x:c r="W198" s="295" t="str">
        <x:v>Nation-state web TTP requirement</x:v>
      </x:c>
    </x:row>
    <x:row r="199">
      <x:c r="A199" s="288" t="str">
        <x:v>RBI-198</x:v>
      </x:c>
      <x:c r="B199" s="221" t="str">
        <x:v>Browser Runtime</x:v>
      </x:c>
      <x:c r="C199" s="221" t="str">
        <x:v>Emergency Patch SLA</x:v>
      </x:c>
      <x:c r="D199" s="228" t="str">
        <x:v>Define severity-based emergency patch and forced browser-version enforcement for endpoint and remote browsers, operating systems and rendering components.</x:v>
      </x:c>
      <x:c r="E199" s="228" t="str">
        <x:v>Browser and client zero-day exploitation</x:v>
      </x:c>
      <x:c r="F199" s="228" t="str">
        <x:v>Mandatory</x:v>
      </x:c>
      <x:c r="G199" s="228" t="str">
        <x:v>Critical</x:v>
      </x:c>
      <x:c r="H199" s="228" t="str">
        <x:v>Universal</x:v>
      </x:c>
      <x:c r="I199" s="228" t="str">
        <x:v>Measure time from advisory to enforced patched version and isolate unsupported clients.</x:v>
      </x:c>
      <x:c r="J199" s="228" t="str">
        <x:v>Not Assessed</x:v>
      </x:c>
      <x:c r="K199" s="233" t="n">
        <x:f>IF(J199="Implemented",1,IF(J199="Partially Implemented",0.5,IF(J199="Planned",0.25,IF(J199="Not Applicable",1,0))))</x:f>
        <x:v>0</x:v>
      </x:c>
      <x:c r="L199" s="228" t="str"/>
      <x:c r="M199" s="228" t="str"/>
      <x:c r="N199" s="236"/>
      <x:c r="O199" s="228" t="str">
        <x:v>Not Assessed</x:v>
      </x:c>
      <x:c r="P199" s="228" t="n">
        <x:f>IF(G199="Critical",5,IF(G199="High",4,IF(G199="Medium",3,2)))</x:f>
        <x:v>5</x:v>
      </x:c>
      <x:c r="Q199" s="228" t="n">
        <x:f>P199*K199</x:f>
        <x:v>0</x:v>
      </x:c>
      <x:c r="R199" s="228" t="n">
        <x:f>P199-Q199</x:f>
        <x:v>5</x:v>
      </x:c>
      <x:c r="S199" s="228" t="str"/>
      <x:c r="T199" s="236"/>
      <x:c r="U199" s="228" t="str">
        <x:v>SRC-87</x:v>
      </x:c>
      <x:c r="V199" s="228" t="str">
        <x:v>https://cloud.google.com/blog/topics/threat-intelligence/2024-zero-day-trends</x:v>
      </x:c>
      <x:c r="W199" s="295" t="str">
        <x:v>Nation-state web TTP requirement</x:v>
      </x:c>
    </x:row>
    <x:row r="200">
      <x:c r="A200" s="290" t="str">
        <x:v>RBI-199</x:v>
      </x:c>
      <x:c r="B200" s="291" t="str">
        <x:v>Nation-State Web Defense</x:v>
      </x:c>
      <x:c r="C200" s="291" t="str">
        <x:v>URL Deobfuscation</x:v>
      </x:c>
      <x:c r="D200" s="296" t="str">
        <x:v>Expand link shorteners, redirect chains, nested URLs, encoded parameters and user-info tricks before reputation, DLP and policy evaluation.</x:v>
      </x:c>
      <x:c r="E200" s="296" t="str">
        <x:v>Obfuscated malicious link; redirect evasion</x:v>
      </x:c>
      <x:c r="F200" s="296" t="str">
        <x:v>Mandatory</x:v>
      </x:c>
      <x:c r="G200" s="296" t="str">
        <x:v>High</x:v>
      </x:c>
      <x:c r="H200" s="296" t="str">
        <x:v>Universal</x:v>
      </x:c>
      <x:c r="I200" s="296" t="str">
        <x:v>Test shortened, nested, encoded and multi-hop malicious links.</x:v>
      </x:c>
      <x:c r="J200" s="296" t="str">
        <x:v>Not Assessed</x:v>
      </x:c>
      <x:c r="K200" s="299" t="n">
        <x:f>IF(J200="Implemented",1,IF(J200="Partially Implemented",0.5,IF(J200="Planned",0.25,IF(J200="Not Applicable",1,0))))</x:f>
        <x:v>0</x:v>
      </x:c>
      <x:c r="L200" s="296" t="str"/>
      <x:c r="M200" s="296" t="str"/>
      <x:c r="N200" s="301"/>
      <x:c r="O200" s="296" t="str">
        <x:v>Not Assessed</x:v>
      </x:c>
      <x:c r="P200" s="296" t="n">
        <x:f>IF(G200="Critical",5,IF(G200="High",4,IF(G200="Medium",3,2)))</x:f>
        <x:v>4</x:v>
      </x:c>
      <x:c r="Q200" s="296" t="n">
        <x:f>P200*K200</x:f>
        <x:v>0</x:v>
      </x:c>
      <x:c r="R200" s="296" t="n">
        <x:f>P200-Q200</x:f>
        <x:v>4</x:v>
      </x:c>
      <x:c r="S200" s="296" t="str"/>
      <x:c r="T200" s="301"/>
      <x:c r="U200" s="296" t="str">
        <x:v>SRC-91</x:v>
      </x:c>
      <x:c r="V200" s="296" t="str">
        <x:v>https://attack.mitre.org/techniques/T1566/002/</x:v>
      </x:c>
      <x:c r="W200" s="297" t="str">
        <x:v>Nation-state web TTP requirement</x:v>
      </x:c>
    </x:row>
    <x:row r="201">
      <x:c r="A201" s="405" t="str">
        <x:v>RBI-200</x:v>
      </x:c>
      <x:c r="B201" s="406" t="str">
        <x:v>Files &amp; Content</x:v>
      </x:c>
      <x:c r="C201" s="406" t="str">
        <x:v>Password-Protected File Inspection</x:v>
      </x:c>
      <x:c r="D201" s="413" t="str">
        <x:v>Inspect password-protected documents and archives inside the isolated or malware-analysis environment when an authorized user supplies the password; never release content that remains uninspectable.</x:v>
      </x:c>
      <x:c r="E201" s="413" t="str">
        <x:v>Encrypted malware; password-protected delivery; inspection bypass</x:v>
      </x:c>
      <x:c r="F201" s="413" t="str">
        <x:v>Mandatory</x:v>
      </x:c>
      <x:c r="G201" s="413" t="str">
        <x:v>Critical</x:v>
      </x:c>
      <x:c r="H201" s="413" t="str">
        <x:v>Downloaded and Uploaded Files</x:v>
      </x:c>
      <x:c r="I201" s="413" t="str">
        <x:v>Test password-protected Office files, PDFs and archives containing benign and malicious content and verify inspect-or-block behavior.</x:v>
      </x:c>
      <x:c r="J201" s="413" t="str">
        <x:v>Not Assessed</x:v>
      </x:c>
      <x:c r="K201" s="418" t="n">
        <x:f>IF(J201="Implemented",1,IF(J201="Partially Implemented",0.5,IF(J201="Planned",0.25,IF(J201="Not Applicable",1,0))))</x:f>
        <x:v>0</x:v>
      </x:c>
      <x:c r="L201" s="413" t="str"/>
      <x:c r="M201" s="413" t="str"/>
      <x:c r="N201" s="420"/>
      <x:c r="O201" s="413" t="str">
        <x:v>Not Assessed</x:v>
      </x:c>
      <x:c r="P201" s="413" t="n">
        <x:f>IF(G201="Critical",5,IF(G201="High",4,IF(G201="Medium",3,2)))</x:f>
        <x:v>5</x:v>
      </x:c>
      <x:c r="Q201" s="413" t="n">
        <x:f>P201*K201</x:f>
        <x:v>0</x:v>
      </x:c>
      <x:c r="R201" s="413" t="n">
        <x:f>P201-Q201</x:f>
        <x:v>5</x:v>
      </x:c>
      <x:c r="S201" s="413" t="str"/>
      <x:c r="T201" s="420"/>
      <x:c r="U201" s="413" t="str">
        <x:v>SRC-110</x:v>
      </x:c>
      <x:c r="V201" s="413" t="str">
        <x:v>https://blogs.cisco.com/security/gain-web-control-with-browser-isolation</x:v>
      </x:c>
      <x:c r="W201" s="414" t="str">
        <x:v>Additional vendor-derived requirement</x:v>
      </x:c>
    </x:row>
    <x:row r="202">
      <x:c r="A202" s="408" t="str">
        <x:v>RBI-201</x:v>
      </x:c>
      <x:c r="B202" s="221" t="str">
        <x:v>Files &amp; Content</x:v>
      </x:c>
      <x:c r="C202" s="221" t="str">
        <x:v>Retrospective File Verdict</x:v>
      </x:c>
      <x:c r="D202" s="228" t="str">
        <x:v>Retain file hashes and disposition history so that a file initially classified as benign but later determined malicious triggers retrospective alerting, user and endpoint identification, quarantine or remediation workflow.</x:v>
      </x:c>
      <x:c r="E202" s="228" t="str">
        <x:v>Time-of-check gap; delayed malware classification</x:v>
      </x:c>
      <x:c r="F202" s="228" t="str">
        <x:v>Mandatory</x:v>
      </x:c>
      <x:c r="G202" s="228" t="str">
        <x:v>High</x:v>
      </x:c>
      <x:c r="H202" s="228" t="str">
        <x:v>Downloaded Files and SaaS Content</x:v>
      </x:c>
      <x:c r="I202" s="228" t="str">
        <x:v>Change the verdict of a controlled sample after delivery and verify retrospective detection, correlation and remediation.</x:v>
      </x:c>
      <x:c r="J202" s="228" t="str">
        <x:v>Not Assessed</x:v>
      </x:c>
      <x:c r="K202" s="233" t="n">
        <x:f>IF(J202="Implemented",1,IF(J202="Partially Implemented",0.5,IF(J202="Planned",0.25,IF(J202="Not Applicable",1,0))))</x:f>
        <x:v>0</x:v>
      </x:c>
      <x:c r="L202" s="228" t="str"/>
      <x:c r="M202" s="228" t="str"/>
      <x:c r="N202" s="236"/>
      <x:c r="O202" s="228" t="str">
        <x:v>Not Assessed</x:v>
      </x:c>
      <x:c r="P202" s="228" t="n">
        <x:f>IF(G202="Critical",5,IF(G202="High",4,IF(G202="Medium",3,2)))</x:f>
        <x:v>4</x:v>
      </x:c>
      <x:c r="Q202" s="228" t="n">
        <x:f>P202*K202</x:f>
        <x:v>0</x:v>
      </x:c>
      <x:c r="R202" s="228" t="n">
        <x:f>P202-Q202</x:f>
        <x:v>4</x:v>
      </x:c>
      <x:c r="S202" s="228" t="str"/>
      <x:c r="T202" s="236"/>
      <x:c r="U202" s="228" t="str">
        <x:v>SRC-109</x:v>
      </x:c>
      <x:c r="V202" s="228" t="str">
        <x:v>https://www.cisco.com/c/en/us/products/collateral/security/secure-access/secure-access-ds.html</x:v>
      </x:c>
      <x:c r="W202" s="415" t="str">
        <x:v>Additional vendor-derived requirement</x:v>
      </x:c>
    </x:row>
    <x:row r="203">
      <x:c r="A203" s="408" t="str">
        <x:v>RBI-202</x:v>
      </x:c>
      <x:c r="B203" s="221" t="str">
        <x:v>Monitoring &amp; Detection</x:v>
      </x:c>
      <x:c r="C203" s="221" t="str">
        <x:v>Threat Infrastructure Enrichment</x:v>
      </x:c>
      <x:c r="D203" s="228" t="str">
        <x:v>Enrich malicious browser and file events with related domains, IP addresses, ASNs, passive DNS, reputation, malware-family and infrastructure context and forward the enrichment to SIEM or XDR.</x:v>
      </x:c>
      <x:c r="E203" s="228" t="str">
        <x:v>Fragmented threat context; missed related infrastructure</x:v>
      </x:c>
      <x:c r="F203" s="228" t="str">
        <x:v>Mandatory</x:v>
      </x:c>
      <x:c r="G203" s="228" t="str">
        <x:v>High</x:v>
      </x:c>
      <x:c r="H203" s="228" t="str">
        <x:v>SOC and Threat Hunting</x:v>
      </x:c>
      <x:c r="I203" s="228" t="str">
        <x:v>Submit a malicious test file and verify enrichment of associated network infrastructure and SIEM/XDR ingestion.</x:v>
      </x:c>
      <x:c r="J203" s="228" t="str">
        <x:v>Not Assessed</x:v>
      </x:c>
      <x:c r="K203" s="233" t="n">
        <x:f>IF(J203="Implemented",1,IF(J203="Partially Implemented",0.5,IF(J203="Planned",0.25,IF(J203="Not Applicable",1,0))))</x:f>
        <x:v>0</x:v>
      </x:c>
      <x:c r="L203" s="228" t="str"/>
      <x:c r="M203" s="228" t="str"/>
      <x:c r="N203" s="236"/>
      <x:c r="O203" s="228" t="str">
        <x:v>Not Assessed</x:v>
      </x:c>
      <x:c r="P203" s="228" t="n">
        <x:f>IF(G203="Critical",5,IF(G203="High",4,IF(G203="Medium",3,2)))</x:f>
        <x:v>4</x:v>
      </x:c>
      <x:c r="Q203" s="228" t="n">
        <x:f>P203*K203</x:f>
        <x:v>0</x:v>
      </x:c>
      <x:c r="R203" s="228" t="n">
        <x:f>P203-Q203</x:f>
        <x:v>4</x:v>
      </x:c>
      <x:c r="S203" s="228" t="str"/>
      <x:c r="T203" s="236"/>
      <x:c r="U203" s="228" t="str">
        <x:v>SRC-109</x:v>
      </x:c>
      <x:c r="V203" s="228" t="str">
        <x:v>https://www.cisco.com/c/en/us/products/collateral/security/secure-access/secure-access-ds.html</x:v>
      </x:c>
      <x:c r="W203" s="415" t="str">
        <x:v>Additional vendor-derived requirement</x:v>
      </x:c>
    </x:row>
    <x:row r="204">
      <x:c r="A204" s="408" t="str">
        <x:v>RBI-203</x:v>
      </x:c>
      <x:c r="B204" s="221" t="str">
        <x:v>Identity</x:v>
      </x:c>
      <x:c r="C204" s="221" t="str">
        <x:v>Corporate Password Reuse Prevention</x:v>
      </x:c>
      <x:c r="D204" s="228" t="str">
        <x:v>Prevent users from entering or reusing corporate passwords on non-business, lookalike, newly registered or otherwise unapproved web destinations without exposing the actual password to the security service.</x:v>
      </x:c>
      <x:c r="E204" s="228" t="str">
        <x:v>Credential phishing; password reuse; lookalike login</x:v>
      </x:c>
      <x:c r="F204" s="228" t="str">
        <x:v>Mandatory</x:v>
      </x:c>
      <x:c r="G204" s="228" t="str">
        <x:v>Critical</x:v>
      </x:c>
      <x:c r="H204" s="228" t="str">
        <x:v>Managed Users</x:v>
      </x:c>
      <x:c r="I204" s="228" t="str">
        <x:v>Attempt corporate credential entry on approved, personal, lookalike and malicious destinations and verify selective blocking.</x:v>
      </x:c>
      <x:c r="J204" s="228" t="str">
        <x:v>Not Assessed</x:v>
      </x:c>
      <x:c r="K204" s="233" t="n">
        <x:f>IF(J204="Implemented",1,IF(J204="Partially Implemented",0.5,IF(J204="Planned",0.25,IF(J204="Not Applicable",1,0))))</x:f>
        <x:v>0</x:v>
      </x:c>
      <x:c r="L204" s="228" t="str"/>
      <x:c r="M204" s="228" t="str"/>
      <x:c r="N204" s="236"/>
      <x:c r="O204" s="228" t="str">
        <x:v>Not Assessed</x:v>
      </x:c>
      <x:c r="P204" s="228" t="n">
        <x:f>IF(G204="Critical",5,IF(G204="High",4,IF(G204="Medium",3,2)))</x:f>
        <x:v>5</x:v>
      </x:c>
      <x:c r="Q204" s="228" t="n">
        <x:f>P204*K204</x:f>
        <x:v>0</x:v>
      </x:c>
      <x:c r="R204" s="228" t="n">
        <x:f>P204-Q204</x:f>
        <x:v>5</x:v>
      </x:c>
      <x:c r="S204" s="228" t="str"/>
      <x:c r="T204" s="236"/>
      <x:c r="U204" s="228" t="str">
        <x:v>SRC-112</x:v>
      </x:c>
      <x:c r="V204" s="228" t="str">
        <x:v>https://www.checkpoint.com/resources/white-paper-e0a1/solution-brief-comprehensive-threat-prevention-for-web-users-with-harmony-browse</x:v>
      </x:c>
      <x:c r="W204" s="415" t="str">
        <x:v>Additional vendor-derived requirement</x:v>
      </x:c>
    </x:row>
    <x:row r="205">
      <x:c r="A205" s="408" t="str">
        <x:v>RBI-204</x:v>
      </x:c>
      <x:c r="B205" s="221" t="str">
        <x:v>Nation-State Web Defense</x:v>
      </x:c>
      <x:c r="C205" s="221" t="str">
        <x:v>Visual and Semantic Phishing Analysis</x:v>
      </x:c>
      <x:c r="D205" s="228" t="str">
        <x:v>Analyze login pages using domain, reputation, visual similarity, page text, forms and behavioral indicators and block credential entry when the page is assessed as phishing.</x:v>
      </x:c>
      <x:c r="E205" s="228" t="str">
        <x:v>Zero-day phishing; browser-in-browser; visually cloned login pages</x:v>
      </x:c>
      <x:c r="F205" s="228" t="str">
        <x:v>Mandatory</x:v>
      </x:c>
      <x:c r="G205" s="228" t="str">
        <x:v>Critical</x:v>
      </x:c>
      <x:c r="H205" s="228" t="str">
        <x:v>Universal</x:v>
      </x:c>
      <x:c r="I205" s="228" t="str">
        <x:v>Test cloned login pages, homographs, browser-in-browser overlays and newly registered phishing domains.</x:v>
      </x:c>
      <x:c r="J205" s="228" t="str">
        <x:v>Not Assessed</x:v>
      </x:c>
      <x:c r="K205" s="233" t="n">
        <x:f>IF(J205="Implemented",1,IF(J205="Partially Implemented",0.5,IF(J205="Planned",0.25,IF(J205="Not Applicable",1,0))))</x:f>
        <x:v>0</x:v>
      </x:c>
      <x:c r="L205" s="228" t="str"/>
      <x:c r="M205" s="228" t="str"/>
      <x:c r="N205" s="236"/>
      <x:c r="O205" s="228" t="str">
        <x:v>Not Assessed</x:v>
      </x:c>
      <x:c r="P205" s="228" t="n">
        <x:f>IF(G205="Critical",5,IF(G205="High",4,IF(G205="Medium",3,2)))</x:f>
        <x:v>5</x:v>
      </x:c>
      <x:c r="Q205" s="228" t="n">
        <x:f>P205*K205</x:f>
        <x:v>0</x:v>
      </x:c>
      <x:c r="R205" s="228" t="n">
        <x:f>P205-Q205</x:f>
        <x:v>5</x:v>
      </x:c>
      <x:c r="S205" s="228" t="str"/>
      <x:c r="T205" s="236"/>
      <x:c r="U205" s="228" t="str">
        <x:v>SRC-112</x:v>
      </x:c>
      <x:c r="V205" s="228" t="str">
        <x:v>https://www.checkpoint.com/resources/white-paper-e0a1/solution-brief-comprehensive-threat-prevention-for-web-users-with-harmony-browse</x:v>
      </x:c>
      <x:c r="W205" s="415" t="str">
        <x:v>Additional vendor-derived requirement</x:v>
      </x:c>
    </x:row>
    <x:row r="206">
      <x:c r="A206" s="408" t="str">
        <x:v>RBI-205</x:v>
      </x:c>
      <x:c r="B206" s="221" t="str">
        <x:v>Files &amp; Content</x:v>
      </x:c>
      <x:c r="C206" s="221" t="str">
        <x:v>Upload Malware Inspection</x:v>
      </x:c>
      <x:c r="D206" s="228" t="str">
        <x:v>Scan, emulate or sandbox files before they are uploaded from a user device or isolated browser into protected corporate web applications and SaaS services.</x:v>
      </x:c>
      <x:c r="E206" s="228" t="str">
        <x:v>Malicious upload; compromised BYOD; infected contractor file</x:v>
      </x:c>
      <x:c r="F206" s="228" t="str">
        <x:v>Mandatory</x:v>
      </x:c>
      <x:c r="G206" s="228" t="str">
        <x:v>Critical</x:v>
      </x:c>
      <x:c r="H206" s="228" t="str">
        <x:v>Protected Web Applications</x:v>
      </x:c>
      <x:c r="I206" s="228" t="str">
        <x:v>Upload controlled malicious and suspicious files to protected applications and verify pre-delivery blocking.</x:v>
      </x:c>
      <x:c r="J206" s="228" t="str">
        <x:v>Not Assessed</x:v>
      </x:c>
      <x:c r="K206" s="233" t="n">
        <x:f>IF(J206="Implemented",1,IF(J206="Partially Implemented",0.5,IF(J206="Planned",0.25,IF(J206="Not Applicable",1,0))))</x:f>
        <x:v>0</x:v>
      </x:c>
      <x:c r="L206" s="228" t="str"/>
      <x:c r="M206" s="228" t="str"/>
      <x:c r="N206" s="236"/>
      <x:c r="O206" s="228" t="str">
        <x:v>Not Assessed</x:v>
      </x:c>
      <x:c r="P206" s="228" t="n">
        <x:f>IF(G206="Critical",5,IF(G206="High",4,IF(G206="Medium",3,2)))</x:f>
        <x:v>5</x:v>
      </x:c>
      <x:c r="Q206" s="228" t="n">
        <x:f>P206*K206</x:f>
        <x:v>0</x:v>
      </x:c>
      <x:c r="R206" s="228" t="n">
        <x:f>P206-Q206</x:f>
        <x:v>5</x:v>
      </x:c>
      <x:c r="S206" s="228" t="str"/>
      <x:c r="T206" s="236"/>
      <x:c r="U206" s="228" t="str">
        <x:v>SRC-113</x:v>
      </x:c>
      <x:c r="V206" s="228" t="str">
        <x:v>https://sc1.checkpoint.com/documents/Infinity_Portal/WebAdminGuides/EN/Harmony-Browse-Admin-Guide/Topics-HB/Web-and-Files-Protection.htm</x:v>
      </x:c>
      <x:c r="W206" s="415" t="str">
        <x:v>Additional vendor-derived requirement</x:v>
      </x:c>
    </x:row>
    <x:row r="207">
      <x:c r="A207" s="408" t="str">
        <x:v>RBI-206</x:v>
      </x:c>
      <x:c r="B207" s="221" t="str">
        <x:v>Files &amp; Content</x:v>
      </x:c>
      <x:c r="C207" s="221" t="str">
        <x:v>Steganographic Upload Sanitization</x:v>
      </x:c>
      <x:c r="D207" s="228" t="str">
        <x:v>Apply CDR or equivalent sanitization to image and supported document uploads when data-exfiltration risk is high, and detect or remove hidden payloads and steganographic content before transfer.</x:v>
      </x:c>
      <x:c r="E207" s="228" t="str">
        <x:v>Steganographic exfiltration; hidden payload upload</x:v>
      </x:c>
      <x:c r="F207" s="228" t="str">
        <x:v>Mandatory</x:v>
      </x:c>
      <x:c r="G207" s="228" t="str">
        <x:v>High</x:v>
      </x:c>
      <x:c r="H207" s="228" t="str">
        <x:v>Sensitive Applications</x:v>
      </x:c>
      <x:c r="I207" s="228" t="str">
        <x:v>Upload images and documents containing controlled hidden data and verify sanitization or blocking.</x:v>
      </x:c>
      <x:c r="J207" s="228" t="str">
        <x:v>Not Assessed</x:v>
      </x:c>
      <x:c r="K207" s="233" t="n">
        <x:f>IF(J207="Implemented",1,IF(J207="Partially Implemented",0.5,IF(J207="Planned",0.25,IF(J207="Not Applicable",1,0))))</x:f>
        <x:v>0</x:v>
      </x:c>
      <x:c r="L207" s="228" t="str"/>
      <x:c r="M207" s="228" t="str"/>
      <x:c r="N207" s="236"/>
      <x:c r="O207" s="228" t="str">
        <x:v>Not Assessed</x:v>
      </x:c>
      <x:c r="P207" s="228" t="n">
        <x:f>IF(G207="Critical",5,IF(G207="High",4,IF(G207="Medium",3,2)))</x:f>
        <x:v>4</x:v>
      </x:c>
      <x:c r="Q207" s="228" t="n">
        <x:f>P207*K207</x:f>
        <x:v>0</x:v>
      </x:c>
      <x:c r="R207" s="228" t="n">
        <x:f>P207-Q207</x:f>
        <x:v>4</x:v>
      </x:c>
      <x:c r="S207" s="228" t="str"/>
      <x:c r="T207" s="236"/>
      <x:c r="U207" s="228" t="str">
        <x:v>SRC-114</x:v>
      </x:c>
      <x:c r="V207" s="228" t="str">
        <x:v>https://www.forcepoint.com/product/remote-browser-isolation</x:v>
      </x:c>
      <x:c r="W207" s="415" t="str">
        <x:v>Additional vendor-derived requirement</x:v>
      </x:c>
    </x:row>
    <x:row r="208">
      <x:c r="A208" s="408" t="str">
        <x:v>RBI-207</x:v>
      </x:c>
      <x:c r="B208" s="221" t="str">
        <x:v>Policy &amp; Access</x:v>
      </x:c>
      <x:c r="C208" s="221" t="str">
        <x:v>Anonymous Research Profile</x:v>
      </x:c>
      <x:c r="D208" s="228" t="str">
        <x:v>Provide a dedicated anonymous research profile that suppresses organizational identity, tracking identifiers, persistent cookies and unnecessary browser fingerprinting for approved CTI, OSINT, investigative and research use.</x:v>
      </x:c>
      <x:c r="E208" s="228" t="str">
        <x:v>Researcher attribution; tracking; targeted retaliation; persistent profiling</x:v>
      </x:c>
      <x:c r="F208" s="228" t="str">
        <x:v>Recommended</x:v>
      </x:c>
      <x:c r="G208" s="228" t="str">
        <x:v>High</x:v>
      </x:c>
      <x:c r="H208" s="228" t="str">
        <x:v>CTI, OSINT and Research Users</x:v>
      </x:c>
      <x:c r="I208" s="228" t="str">
        <x:v>Compare normal and anonymous profiles for egress identity, cookies, persistent identifiers and browser fingerprinting signals.</x:v>
      </x:c>
      <x:c r="J208" s="228" t="str">
        <x:v>Not Assessed</x:v>
      </x:c>
      <x:c r="K208" s="233" t="n">
        <x:f>IF(J208="Implemented",1,IF(J208="Partially Implemented",0.5,IF(J208="Planned",0.25,IF(J208="Not Applicable",1,0))))</x:f>
        <x:v>0</x:v>
      </x:c>
      <x:c r="L208" s="228" t="str"/>
      <x:c r="M208" s="228" t="str"/>
      <x:c r="N208" s="236"/>
      <x:c r="O208" s="228" t="str">
        <x:v>Not Assessed</x:v>
      </x:c>
      <x:c r="P208" s="228" t="n">
        <x:f>IF(G208="Critical",5,IF(G208="High",4,IF(G208="Medium",3,2)))</x:f>
        <x:v>4</x:v>
      </x:c>
      <x:c r="Q208" s="228" t="n">
        <x:f>P208*K208</x:f>
        <x:v>0</x:v>
      </x:c>
      <x:c r="R208" s="228" t="n">
        <x:f>P208-Q208</x:f>
        <x:v>4</x:v>
      </x:c>
      <x:c r="S208" s="228" t="str"/>
      <x:c r="T208" s="236"/>
      <x:c r="U208" s="228" t="str">
        <x:v>SRC-116</x:v>
      </x:c>
      <x:c r="V208" s="228" t="str">
        <x:v>https://www.iboss.com/browser-isolation</x:v>
      </x:c>
      <x:c r="W208" s="415" t="str">
        <x:v>Additional vendor-derived requirement</x:v>
      </x:c>
    </x:row>
    <x:row r="209">
      <x:c r="A209" s="408" t="str">
        <x:v>RBI-208</x:v>
      </x:c>
      <x:c r="B209" s="221" t="str">
        <x:v>Policy &amp; Access</x:v>
      </x:c>
      <x:c r="C209" s="221" t="str">
        <x:v>Agentless HTTPS Inspection</x:v>
      </x:c>
      <x:c r="D209" s="228" t="str">
        <x:v>For unmanaged, contractor and guest access, support TLS inspection and policy enforcement inside the isolated session when endpoint software is unavailable, subject to privacy, legal and certificate-pinning exceptions.</x:v>
      </x:c>
      <x:c r="E209" s="228" t="str">
        <x:v>Encrypted threat bypass; unmanaged endpoint visibility gap</x:v>
      </x:c>
      <x:c r="F209" s="228" t="str">
        <x:v>Mandatory</x:v>
      </x:c>
      <x:c r="G209" s="228" t="str">
        <x:v>High</x:v>
      </x:c>
      <x:c r="H209" s="228" t="str">
        <x:v>Unmanaged and External Users</x:v>
      </x:c>
      <x:c r="I209" s="228" t="str">
        <x:v>Access encrypted test sites from an unmanaged device and verify in-session inspection, policy enforcement and exception handling.</x:v>
      </x:c>
      <x:c r="J209" s="228" t="str">
        <x:v>Not Assessed</x:v>
      </x:c>
      <x:c r="K209" s="233" t="n">
        <x:f>IF(J209="Implemented",1,IF(J209="Partially Implemented",0.5,IF(J209="Planned",0.25,IF(J209="Not Applicable",1,0))))</x:f>
        <x:v>0</x:v>
      </x:c>
      <x:c r="L209" s="228" t="str"/>
      <x:c r="M209" s="228" t="str"/>
      <x:c r="N209" s="236"/>
      <x:c r="O209" s="228" t="str">
        <x:v>Not Assessed</x:v>
      </x:c>
      <x:c r="P209" s="228" t="n">
        <x:f>IF(G209="Critical",5,IF(G209="High",4,IF(G209="Medium",3,2)))</x:f>
        <x:v>4</x:v>
      </x:c>
      <x:c r="Q209" s="228" t="n">
        <x:f>P209*K209</x:f>
        <x:v>0</x:v>
      </x:c>
      <x:c r="R209" s="228" t="n">
        <x:f>P209-Q209</x:f>
        <x:v>4</x:v>
      </x:c>
      <x:c r="S209" s="228" t="str"/>
      <x:c r="T209" s="236"/>
      <x:c r="U209" s="228" t="str">
        <x:v>SRC-116</x:v>
      </x:c>
      <x:c r="V209" s="228" t="str">
        <x:v>https://www.iboss.com/browser-isolation</x:v>
      </x:c>
      <x:c r="W209" s="415" t="str">
        <x:v>Additional vendor-derived requirement</x:v>
      </x:c>
    </x:row>
    <x:row r="210">
      <x:c r="A210" s="408" t="str">
        <x:v>RBI-209</x:v>
      </x:c>
      <x:c r="B210" s="221" t="str">
        <x:v>Policy &amp; Access</x:v>
      </x:c>
      <x:c r="C210" s="221" t="str">
        <x:v>Reverse Isolation for Protected Applications</x:v>
      </x:c>
      <x:c r="D210" s="228" t="str">
        <x:v>Use reverse isolation for sensitive applications accessed from unmanaged or untrusted devices so application data remains remote and clipboard, print, upload and download permissions are explicitly governed.</x:v>
      </x:c>
      <x:c r="E210" s="228" t="str">
        <x:v>Data leakage to unmanaged endpoint; malicious upload; compromised contractor device</x:v>
      </x:c>
      <x:c r="F210" s="228" t="str">
        <x:v>Mandatory</x:v>
      </x:c>
      <x:c r="G210" s="228" t="str">
        <x:v>Critical</x:v>
      </x:c>
      <x:c r="H210" s="228" t="str">
        <x:v>BYOD, Contractors and Sensitive Applications</x:v>
      </x:c>
      <x:c r="I210" s="228" t="str">
        <x:v>Access a protected application from an unmanaged device and verify no sensitive content is cached locally and all interaction channels are policy controlled.</x:v>
      </x:c>
      <x:c r="J210" s="228" t="str">
        <x:v>Not Assessed</x:v>
      </x:c>
      <x:c r="K210" s="233" t="n">
        <x:f>IF(J210="Implemented",1,IF(J210="Partially Implemented",0.5,IF(J210="Planned",0.25,IF(J210="Not Applicable",1,0))))</x:f>
        <x:v>0</x:v>
      </x:c>
      <x:c r="L210" s="228" t="str"/>
      <x:c r="M210" s="228" t="str"/>
      <x:c r="N210" s="236"/>
      <x:c r="O210" s="228" t="str">
        <x:v>Not Assessed</x:v>
      </x:c>
      <x:c r="P210" s="228" t="n">
        <x:f>IF(G210="Critical",5,IF(G210="High",4,IF(G210="Medium",3,2)))</x:f>
        <x:v>5</x:v>
      </x:c>
      <x:c r="Q210" s="228" t="n">
        <x:f>P210*K210</x:f>
        <x:v>0</x:v>
      </x:c>
      <x:c r="R210" s="228" t="n">
        <x:f>P210-Q210</x:f>
        <x:v>5</x:v>
      </x:c>
      <x:c r="S210" s="228" t="str"/>
      <x:c r="T210" s="236"/>
      <x:c r="U210" s="228" t="str">
        <x:v>SRC-114</x:v>
      </x:c>
      <x:c r="V210" s="228" t="str">
        <x:v>https://www.forcepoint.com/product/remote-browser-isolation</x:v>
      </x:c>
      <x:c r="W210" s="415" t="str">
        <x:v>Additional vendor-derived requirement</x:v>
      </x:c>
    </x:row>
    <x:row r="211">
      <x:c r="A211" s="408" t="str">
        <x:v>RBI-210</x:v>
      </x:c>
      <x:c r="B211" s="221" t="str">
        <x:v>Architecture</x:v>
      </x:c>
      <x:c r="C211" s="221" t="str">
        <x:v>Endpoint Artifact Minimization</x:v>
      </x:c>
      <x:c r="D211" s="228" t="str">
        <x:v>In strict isolation modes, prevent original page code, sensitive application content, files, cookies and cache artifacts from persisting on the endpoint beyond the minimum rendering data required.</x:v>
      </x:c>
      <x:c r="E211" s="228" t="str">
        <x:v>Endpoint data remanence; cache leakage; post-session recovery</x:v>
      </x:c>
      <x:c r="F211" s="228" t="str">
        <x:v>Mandatory</x:v>
      </x:c>
      <x:c r="G211" s="228" t="str">
        <x:v>Critical</x:v>
      </x:c>
      <x:c r="H211" s="228" t="str">
        <x:v>High-Security and Unmanaged Access</x:v>
      </x:c>
      <x:c r="I211" s="228" t="str">
        <x:v>Inspect browser cache, local storage, cookies, downloaded objects and endpoint filesystem before and after isolated sessions.</x:v>
      </x:c>
      <x:c r="J211" s="228" t="str">
        <x:v>Not Assessed</x:v>
      </x:c>
      <x:c r="K211" s="233" t="n">
        <x:f>IF(J211="Implemented",1,IF(J211="Partially Implemented",0.5,IF(J211="Planned",0.25,IF(J211="Not Applicable",1,0))))</x:f>
        <x:v>0</x:v>
      </x:c>
      <x:c r="L211" s="228" t="str"/>
      <x:c r="M211" s="228" t="str"/>
      <x:c r="N211" s="236"/>
      <x:c r="O211" s="228" t="str">
        <x:v>Not Assessed</x:v>
      </x:c>
      <x:c r="P211" s="228" t="n">
        <x:f>IF(G211="Critical",5,IF(G211="High",4,IF(G211="Medium",3,2)))</x:f>
        <x:v>5</x:v>
      </x:c>
      <x:c r="Q211" s="228" t="n">
        <x:f>P211*K211</x:f>
        <x:v>0</x:v>
      </x:c>
      <x:c r="R211" s="228" t="n">
        <x:f>P211-Q211</x:f>
        <x:v>5</x:v>
      </x:c>
      <x:c r="S211" s="228" t="str"/>
      <x:c r="T211" s="236"/>
      <x:c r="U211" s="228" t="str">
        <x:v>SRC-116</x:v>
      </x:c>
      <x:c r="V211" s="228" t="str">
        <x:v>https://www.iboss.com/browser-isolation</x:v>
      </x:c>
      <x:c r="W211" s="415" t="str">
        <x:v>Additional vendor-derived requirement</x:v>
      </x:c>
    </x:row>
    <x:row r="212">
      <x:c r="A212" s="408" t="str">
        <x:v>RBI-211</x:v>
      </x:c>
      <x:c r="B212" s="221" t="str">
        <x:v>AI &amp; Agentic Browsing</x:v>
      </x:c>
      <x:c r="C212" s="221" t="str">
        <x:v>MCP Semantic Threat Inspection</x:v>
      </x:c>
      <x:c r="D212" s="228" t="str">
        <x:v>Inspect Model Context Protocol messages semantically to detect and block prompt injection, tool poisoning, tool shadowing, unauthorized tool use and data exfiltration, with visibility to the affected MCP server endpoint and action.</x:v>
      </x:c>
      <x:c r="E212" s="228" t="str">
        <x:v>MCP tool poisoning; tool shadowing; prompt injection; agentic data exfiltration</x:v>
      </x:c>
      <x:c r="F212" s="228" t="str">
        <x:v>Mandatory</x:v>
      </x:c>
      <x:c r="G212" s="228" t="str">
        <x:v>Critical</x:v>
      </x:c>
      <x:c r="H212" s="228" t="str">
        <x:v>AI Agents and MCP</x:v>
      </x:c>
      <x:c r="I212" s="228" t="str">
        <x:v>Replay controlled malicious MCP messages for tool poisoning, shadowing, injection and exfiltration and verify block plus detailed event telemetry.</x:v>
      </x:c>
      <x:c r="J212" s="228" t="str">
        <x:v>Not Assessed</x:v>
      </x:c>
      <x:c r="K212" s="233" t="n">
        <x:f>IF(J212="Implemented",1,IF(J212="Partially Implemented",0.5,IF(J212="Planned",0.25,IF(J212="Not Applicable",1,0))))</x:f>
        <x:v>0</x:v>
      </x:c>
      <x:c r="L212" s="228" t="str"/>
      <x:c r="M212" s="228" t="str"/>
      <x:c r="N212" s="236"/>
      <x:c r="O212" s="228" t="str">
        <x:v>Not Assessed</x:v>
      </x:c>
      <x:c r="P212" s="228" t="n">
        <x:f>IF(G212="Critical",5,IF(G212="High",4,IF(G212="Medium",3,2)))</x:f>
        <x:v>5</x:v>
      </x:c>
      <x:c r="Q212" s="228" t="n">
        <x:f>P212*K212</x:f>
        <x:v>0</x:v>
      </x:c>
      <x:c r="R212" s="228" t="n">
        <x:f>P212-Q212</x:f>
        <x:v>5</x:v>
      </x:c>
      <x:c r="S212" s="228" t="str"/>
      <x:c r="T212" s="236"/>
      <x:c r="U212" s="228" t="str">
        <x:v>SRC-109</x:v>
      </x:c>
      <x:c r="V212" s="228" t="str">
        <x:v>https://www.cisco.com/c/en/us/products/collateral/security/secure-access/secure-access-ds.html</x:v>
      </x:c>
      <x:c r="W212" s="415" t="str">
        <x:v>Additional vendor-derived requirement</x:v>
      </x:c>
    </x:row>
    <x:row r="213">
      <x:c r="A213" s="410" t="str">
        <x:v>RBI-212</x:v>
      </x:c>
      <x:c r="B213" s="411" t="str">
        <x:v>Policy &amp; Access</x:v>
      </x:c>
      <x:c r="C213" s="411" t="str">
        <x:v>Browser-Based Privileged Protocol Isolation</x:v>
      </x:c>
      <x:c r="D213" s="416" t="str">
        <x:v>If SSH or RDP is provided through a browser, require isolated rendering, SSO and phishing-resistant MFA, complete session audit, and policy controls for clipboard, file transfer and local resource redirection.</x:v>
      </x:c>
      <x:c r="E213" s="416" t="str">
        <x:v>Privileged session compromise; credential theft; unmanaged administrative access</x:v>
      </x:c>
      <x:c r="F213" s="416" t="str">
        <x:v>Recommended</x:v>
      </x:c>
      <x:c r="G213" s="416" t="str">
        <x:v>High</x:v>
      </x:c>
      <x:c r="H213" s="416" t="str">
        <x:v>Privileged and Third-Party Access</x:v>
      </x:c>
      <x:c r="I213" s="416" t="str">
        <x:v>Establish browser-based SSH and RDP sessions from managed and unmanaged devices and verify identity, audit and data-transfer controls.</x:v>
      </x:c>
      <x:c r="J213" s="416" t="str">
        <x:v>Not Assessed</x:v>
      </x:c>
      <x:c r="K213" s="419" t="n">
        <x:f>IF(J213="Implemented",1,IF(J213="Partially Implemented",0.5,IF(J213="Planned",0.25,IF(J213="Not Applicable",1,0))))</x:f>
        <x:v>0</x:v>
      </x:c>
      <x:c r="L213" s="416" t="str"/>
      <x:c r="M213" s="416" t="str"/>
      <x:c r="N213" s="421"/>
      <x:c r="O213" s="416" t="str">
        <x:v>Not Assessed</x:v>
      </x:c>
      <x:c r="P213" s="416" t="n">
        <x:f>IF(G213="Critical",5,IF(G213="High",4,IF(G213="Medium",3,2)))</x:f>
        <x:v>4</x:v>
      </x:c>
      <x:c r="Q213" s="416" t="n">
        <x:f>P213*K213</x:f>
        <x:v>0</x:v>
      </x:c>
      <x:c r="R213" s="416" t="n">
        <x:f>P213-Q213</x:f>
        <x:v>4</x:v>
      </x:c>
      <x:c r="S213" s="416" t="str"/>
      <x:c r="T213" s="421"/>
      <x:c r="U213" s="416" t="str">
        <x:v>SRC-116</x:v>
      </x:c>
      <x:c r="V213" s="416" t="str">
        <x:v>https://www.iboss.com/browser-isolation</x:v>
      </x:c>
      <x:c r="W213" s="417" t="str">
        <x:v>Additional vendor-derived requirement</x:v>
      </x:c>
    </x:row>
    <x:row r="214">
      <x:c r="A214" s="454" t="str">
        <x:v>RBI-213</x:v>
      </x:c>
      <x:c r="B214" s="455" t="str">
        <x:v>Architecture</x:v>
      </x:c>
      <x:c r="C214" s="455" t="str">
        <x:v>Traffic Scope Assurance</x:v>
      </x:c>
      <x:c r="D214" s="462" t="str">
        <x:v>Document exactly which traffic classes are protected by RBI, proxy, browser extension, agent and SASE enforcement, and ensure that non-web traffic or unsupported user types cannot silently bypass required security controls.</x:v>
      </x:c>
      <x:c r="E214" s="462" t="str">
        <x:v>Proxy-only RBI scope; non-web traffic bypass; unmanaged traffic path</x:v>
      </x:c>
      <x:c r="F214" s="462" t="str">
        <x:v>Mandatory</x:v>
      </x:c>
      <x:c r="G214" s="462" t="str">
        <x:v>Critical</x:v>
      </x:c>
      <x:c r="H214" s="462" t="str">
        <x:v>Universal</x:v>
      </x:c>
      <x:c r="I214" s="462" t="str">
        <x:v>Test HTTP, HTTPS, QUIC, DNS, SSH, RDP, custom TCP/UDP and non-browser application traffic from each supported deployment mode.</x:v>
      </x:c>
      <x:c r="J214" s="462" t="str">
        <x:v>Not Assessed</x:v>
      </x:c>
      <x:c r="K214" s="467" t="n">
        <x:f>IF(J214="Implemented",1,IF(J214="Partially Implemented",0.5,IF(J214="Planned",0.25,IF(J214="Not Applicable",1,0))))</x:f>
        <x:v>0</x:v>
      </x:c>
      <x:c r="L214" s="462" t="str"/>
      <x:c r="M214" s="462" t="str"/>
      <x:c r="N214" s="469"/>
      <x:c r="O214" s="462" t="str">
        <x:v>Not Assessed</x:v>
      </x:c>
      <x:c r="P214" s="462" t="n">
        <x:f>IF(G214="Critical",5,IF(G214="High",4,IF(G214="Medium",3,2)))</x:f>
        <x:v>5</x:v>
      </x:c>
      <x:c r="Q214" s="462" t="n">
        <x:f>P214*K214</x:f>
        <x:v>0</x:v>
      </x:c>
      <x:c r="R214" s="462" t="n">
        <x:f>P214-Q214</x:f>
        <x:v>5</x:v>
      </x:c>
      <x:c r="S214" s="462" t="str"/>
      <x:c r="T214" s="469"/>
      <x:c r="U214" s="462" t="str">
        <x:v>SRC-119</x:v>
      </x:c>
      <x:c r="V214" s="462" t="str">
        <x:v>https://docs.fortinet.com/document/fortisase/26.1.107/feature-administration-guide/084033/rbi</x:v>
      </x:c>
      <x:c r="W214" s="463" t="str">
        <x:v>Fortinet-derived requirement</x:v>
      </x:c>
    </x:row>
    <x:row r="215">
      <x:c r="A215" s="457" t="str">
        <x:v>RBI-214</x:v>
      </x:c>
      <x:c r="B215" s="221" t="str">
        <x:v>Resilience</x:v>
      </x:c>
      <x:c r="C215" s="221" t="str">
        <x:v>Isolation Quota Exhaustion</x:v>
      </x:c>
      <x:c r="D215" s="228" t="str">
        <x:v>Monitor isolation bandwidth and entitlement consumption with early-warning thresholds and define an approved fail-safe action before quota exhaustion; loss of RBI capacity must not create an uncontrolled direct-browsing path.</x:v>
      </x:c>
      <x:c r="E215" s="228" t="str">
        <x:v>Isolation quota exhaustion; service denial; emergency fail-open pressure</x:v>
      </x:c>
      <x:c r="F215" s="228" t="str">
        <x:v>Mandatory</x:v>
      </x:c>
      <x:c r="G215" s="228" t="str">
        <x:v>Critical</x:v>
      </x:c>
      <x:c r="H215" s="228" t="str">
        <x:v>Cloud RBI</x:v>
      </x:c>
      <x:c r="I215" s="228" t="str">
        <x:v>Drive a test tenant toward configured isolation-capacity thresholds and verify alerts, policy behavior and approved fallback.</x:v>
      </x:c>
      <x:c r="J215" s="228" t="str">
        <x:v>Not Assessed</x:v>
      </x:c>
      <x:c r="K215" s="233" t="n">
        <x:f>IF(J215="Implemented",1,IF(J215="Partially Implemented",0.5,IF(J215="Planned",0.25,IF(J215="Not Applicable",1,0))))</x:f>
        <x:v>0</x:v>
      </x:c>
      <x:c r="L215" s="228" t="str"/>
      <x:c r="M215" s="228" t="str"/>
      <x:c r="N215" s="236"/>
      <x:c r="O215" s="228" t="str">
        <x:v>Not Assessed</x:v>
      </x:c>
      <x:c r="P215" s="228" t="n">
        <x:f>IF(G215="Critical",5,IF(G215="High",4,IF(G215="Medium",3,2)))</x:f>
        <x:v>5</x:v>
      </x:c>
      <x:c r="Q215" s="228" t="n">
        <x:f>P215*K215</x:f>
        <x:v>0</x:v>
      </x:c>
      <x:c r="R215" s="228" t="n">
        <x:f>P215-Q215</x:f>
        <x:v>5</x:v>
      </x:c>
      <x:c r="S215" s="228" t="str"/>
      <x:c r="T215" s="236"/>
      <x:c r="U215" s="228" t="str">
        <x:v>SRC-120</x:v>
      </x:c>
      <x:c r="V215" s="228" t="str">
        <x:v>https://docs.fortinet.com/document/fortisase/26.1.107/feature-release-notes/969608</x:v>
      </x:c>
      <x:c r="W215" s="464" t="str">
        <x:v>Fortinet-derived requirement</x:v>
      </x:c>
    </x:row>
    <x:row r="216">
      <x:c r="A216" s="457" t="str">
        <x:v>RBI-215</x:v>
      </x:c>
      <x:c r="B216" s="221" t="str">
        <x:v>Governance &amp; Assurance</x:v>
      </x:c>
      <x:c r="C216" s="221" t="str">
        <x:v>Product Lifecycle and Migration</x:v>
      </x:c>
      <x:c r="D216" s="228" t="str">
        <x:v>Require the vendor to disclose feature availability status, roadmap, deprecation or replacement plans, migration tooling and security-equivalence gaps between RBI and any recommended enterprise-browser or extension alternative.</x:v>
      </x:c>
      <x:c r="E216" s="228" t="str">
        <x:v>Control deprecation; unsupported architecture; migration security gap</x:v>
      </x:c>
      <x:c r="F216" s="228" t="str">
        <x:v>Mandatory</x:v>
      </x:c>
      <x:c r="G216" s="228" t="str">
        <x:v>High</x:v>
      </x:c>
      <x:c r="H216" s="228" t="str">
        <x:v>Vendor Evaluation</x:v>
      </x:c>
      <x:c r="I216" s="228" t="str">
        <x:v>Review current product documentation, support status, roadmap commitments and a controlled migration from RBI to the recommended alternative.</x:v>
      </x:c>
      <x:c r="J216" s="228" t="str">
        <x:v>Not Assessed</x:v>
      </x:c>
      <x:c r="K216" s="233" t="n">
        <x:f>IF(J216="Implemented",1,IF(J216="Partially Implemented",0.5,IF(J216="Planned",0.25,IF(J216="Not Applicable",1,0))))</x:f>
        <x:v>0</x:v>
      </x:c>
      <x:c r="L216" s="228" t="str"/>
      <x:c r="M216" s="228" t="str"/>
      <x:c r="N216" s="236"/>
      <x:c r="O216" s="228" t="str">
        <x:v>Not Assessed</x:v>
      </x:c>
      <x:c r="P216" s="228" t="n">
        <x:f>IF(G216="Critical",5,IF(G216="High",4,IF(G216="Medium",3,2)))</x:f>
        <x:v>4</x:v>
      </x:c>
      <x:c r="Q216" s="228" t="n">
        <x:f>P216*K216</x:f>
        <x:v>0</x:v>
      </x:c>
      <x:c r="R216" s="228" t="n">
        <x:f>P216-Q216</x:f>
        <x:v>4</x:v>
      </x:c>
      <x:c r="S216" s="228" t="str"/>
      <x:c r="T216" s="236"/>
      <x:c r="U216" s="228" t="str">
        <x:v>SRC-119</x:v>
      </x:c>
      <x:c r="V216" s="228" t="str">
        <x:v>https://docs.fortinet.com/document/fortisase/26.1.107/feature-administration-guide/084033/rbi</x:v>
      </x:c>
      <x:c r="W216" s="464" t="str">
        <x:v>Fortinet-derived requirement</x:v>
      </x:c>
    </x:row>
    <x:row r="217">
      <x:c r="A217" s="457" t="str">
        <x:v>RBI-216</x:v>
      </x:c>
      <x:c r="B217" s="221" t="str">
        <x:v>Enterprise Browser Security</x:v>
      </x:c>
      <x:c r="C217" s="221" t="str">
        <x:v>Private Browsing Enforcement</x:v>
      </x:c>
      <x:c r="D217" s="228" t="str">
        <x:v>Prevent private or incognito browsing from disabling required security extensions or enforcement components; either centrally disable private browsing or force the security extension to remain active in that mode.</x:v>
      </x:c>
      <x:c r="E217" s="228" t="str">
        <x:v>Incognito extension bypass; unenforced browser session</x:v>
      </x:c>
      <x:c r="F217" s="228" t="str">
        <x:v>Mandatory</x:v>
      </x:c>
      <x:c r="G217" s="228" t="str">
        <x:v>Critical</x:v>
      </x:c>
      <x:c r="H217" s="228" t="str">
        <x:v>Browser Extension Deployments</x:v>
      </x:c>
      <x:c r="I217" s="228" t="str">
        <x:v>Open private or incognito sessions and verify the security extension remains active or private browsing is unavailable.</x:v>
      </x:c>
      <x:c r="J217" s="228" t="str">
        <x:v>Not Assessed</x:v>
      </x:c>
      <x:c r="K217" s="233" t="n">
        <x:f>IF(J217="Implemented",1,IF(J217="Partially Implemented",0.5,IF(J217="Planned",0.25,IF(J217="Not Applicable",1,0))))</x:f>
        <x:v>0</x:v>
      </x:c>
      <x:c r="L217" s="228" t="str"/>
      <x:c r="M217" s="228" t="str"/>
      <x:c r="N217" s="236"/>
      <x:c r="O217" s="228" t="str">
        <x:v>Not Assessed</x:v>
      </x:c>
      <x:c r="P217" s="228" t="n">
        <x:f>IF(G217="Critical",5,IF(G217="High",4,IF(G217="Medium",3,2)))</x:f>
        <x:v>5</x:v>
      </x:c>
      <x:c r="Q217" s="228" t="n">
        <x:f>P217*K217</x:f>
        <x:v>0</x:v>
      </x:c>
      <x:c r="R217" s="228" t="n">
        <x:f>P217-Q217</x:f>
        <x:v>5</x:v>
      </x:c>
      <x:c r="S217" s="228" t="str"/>
      <x:c r="T217" s="236"/>
      <x:c r="U217" s="228" t="str">
        <x:v>SRC-121</x:v>
      </x:c>
      <x:c r="V217" s="228" t="str">
        <x:v>https://docs.fortinet.com/document/fortisase/latest/feature-administration-guide/397486/secure-browser</x:v>
      </x:c>
      <x:c r="W217" s="464" t="str">
        <x:v>Fortinet-derived requirement</x:v>
      </x:c>
    </x:row>
    <x:row r="218">
      <x:c r="A218" s="457" t="str">
        <x:v>RBI-217</x:v>
      </x:c>
      <x:c r="B218" s="221" t="str">
        <x:v>Interaction Controls</x:v>
      </x:c>
      <x:c r="C218" s="221" t="str">
        <x:v>Exported Copy Protection</x:v>
      </x:c>
      <x:c r="D218" s="228" t="str">
        <x:v>Ensure that watermarks, data-classification markings and policy restrictions remain effective when users save local copies, print, export, screenshot or otherwise transform protected web content; where persistence cannot be guaranteed, block the action.</x:v>
      </x:c>
      <x:c r="E218" s="228" t="str">
        <x:v>Loss of watermark on saved copy; uncontrolled data export</x:v>
      </x:c>
      <x:c r="F218" s="228" t="str">
        <x:v>Mandatory</x:v>
      </x:c>
      <x:c r="G218" s="228" t="str">
        <x:v>High</x:v>
      </x:c>
      <x:c r="H218" s="228" t="str">
        <x:v>Sensitive Applications</x:v>
      </x:c>
      <x:c r="I218" s="228" t="str">
        <x:v>Save, print, export and capture protected content and verify markings and policy controls persist or the action is blocked.</x:v>
      </x:c>
      <x:c r="J218" s="228" t="str">
        <x:v>Not Assessed</x:v>
      </x:c>
      <x:c r="K218" s="233" t="n">
        <x:f>IF(J218="Implemented",1,IF(J218="Partially Implemented",0.5,IF(J218="Planned",0.25,IF(J218="Not Applicable",1,0))))</x:f>
        <x:v>0</x:v>
      </x:c>
      <x:c r="L218" s="228" t="str"/>
      <x:c r="M218" s="228" t="str"/>
      <x:c r="N218" s="236"/>
      <x:c r="O218" s="228" t="str">
        <x:v>Not Assessed</x:v>
      </x:c>
      <x:c r="P218" s="228" t="n">
        <x:f>IF(G218="Critical",5,IF(G218="High",4,IF(G218="Medium",3,2)))</x:f>
        <x:v>4</x:v>
      </x:c>
      <x:c r="Q218" s="228" t="n">
        <x:f>P218*K218</x:f>
        <x:v>0</x:v>
      </x:c>
      <x:c r="R218" s="228" t="n">
        <x:f>P218-Q218</x:f>
        <x:v>4</x:v>
      </x:c>
      <x:c r="S218" s="228" t="str"/>
      <x:c r="T218" s="236"/>
      <x:c r="U218" s="228" t="str">
        <x:v>SRC-121</x:v>
      </x:c>
      <x:c r="V218" s="228" t="str">
        <x:v>https://docs.fortinet.com/document/fortisase/latest/feature-administration-guide/397486/secure-browser</x:v>
      </x:c>
      <x:c r="W218" s="464" t="str">
        <x:v>Fortinet-derived requirement</x:v>
      </x:c>
    </x:row>
    <x:row r="219">
      <x:c r="A219" s="457" t="str">
        <x:v>RBI-218</x:v>
      </x:c>
      <x:c r="B219" s="221" t="str">
        <x:v>Interaction Controls</x:v>
      </x:c>
      <x:c r="C219" s="221" t="str">
        <x:v>Application-Specific Clipboard Bypass Testing</x:v>
      </x:c>
      <x:c r="D219" s="228" t="str">
        <x:v>Test clipboard and paste restrictions against application-specific controls such as inline copy buttons, code blocks, rich editors and custom JavaScript widgets, and block or compensate for UI paths that bypass standard clipboard policy.</x:v>
      </x:c>
      <x:c r="E219" s="228" t="str">
        <x:v>Clipboard bypass; AI code-block data movement; custom UI exfiltration</x:v>
      </x:c>
      <x:c r="F219" s="228" t="str">
        <x:v>Mandatory</x:v>
      </x:c>
      <x:c r="G219" s="228" t="str">
        <x:v>High</x:v>
      </x:c>
      <x:c r="H219" s="228" t="str">
        <x:v>AI and SaaS Applications</x:v>
      </x:c>
      <x:c r="I219" s="228" t="str">
        <x:v>Exercise inline copy buttons, code blocks, custom editors and browser context menus on protected applications and verify equivalent policy enforcement.</x:v>
      </x:c>
      <x:c r="J219" s="228" t="str">
        <x:v>Not Assessed</x:v>
      </x:c>
      <x:c r="K219" s="233" t="n">
        <x:f>IF(J219="Implemented",1,IF(J219="Partially Implemented",0.5,IF(J219="Planned",0.25,IF(J219="Not Applicable",1,0))))</x:f>
        <x:v>0</x:v>
      </x:c>
      <x:c r="L219" s="228" t="str"/>
      <x:c r="M219" s="228" t="str"/>
      <x:c r="N219" s="236"/>
      <x:c r="O219" s="228" t="str">
        <x:v>Not Assessed</x:v>
      </x:c>
      <x:c r="P219" s="228" t="n">
        <x:f>IF(G219="Critical",5,IF(G219="High",4,IF(G219="Medium",3,2)))</x:f>
        <x:v>4</x:v>
      </x:c>
      <x:c r="Q219" s="228" t="n">
        <x:f>P219*K219</x:f>
        <x:v>0</x:v>
      </x:c>
      <x:c r="R219" s="228" t="n">
        <x:f>P219-Q219</x:f>
        <x:v>4</x:v>
      </x:c>
      <x:c r="S219" s="228" t="str"/>
      <x:c r="T219" s="236"/>
      <x:c r="U219" s="228" t="str">
        <x:v>SRC-121</x:v>
      </x:c>
      <x:c r="V219" s="228" t="str">
        <x:v>https://docs.fortinet.com/document/fortisase/latest/feature-administration-guide/397486/secure-browser</x:v>
      </x:c>
      <x:c r="W219" s="464" t="str">
        <x:v>Fortinet-derived requirement</x:v>
      </x:c>
    </x:row>
    <x:row r="220">
      <x:c r="A220" s="457" t="str">
        <x:v>RBI-219</x:v>
      </x:c>
      <x:c r="B220" s="221" t="str">
        <x:v>Identity</x:v>
      </x:c>
      <x:c r="C220" s="221" t="str">
        <x:v>Authentication Cookie Lifetime</x:v>
      </x:c>
      <x:c r="D220" s="228" t="str">
        <x:v>Set authentication-cookie lifetime according to user and application risk, require reauthentication for sensitive sessions, and prohibit long-lived authorization cookies for privileged or unmanaged access.</x:v>
      </x:c>
      <x:c r="E220" s="228" t="str">
        <x:v>Long-lived authorization cookie; session replay; stale authentication</x:v>
      </x:c>
      <x:c r="F220" s="228" t="str">
        <x:v>Mandatory</x:v>
      </x:c>
      <x:c r="G220" s="228" t="str">
        <x:v>High</x:v>
      </x:c>
      <x:c r="H220" s="228" t="str">
        <x:v>Universal</x:v>
      </x:c>
      <x:c r="I220" s="228" t="str">
        <x:v>Test normal, privileged, guest and unmanaged profiles with short and extended cookie lifetimes and verify expiration and reauthentication.</x:v>
      </x:c>
      <x:c r="J220" s="228" t="str">
        <x:v>Not Assessed</x:v>
      </x:c>
      <x:c r="K220" s="233" t="n">
        <x:f>IF(J220="Implemented",1,IF(J220="Partially Implemented",0.5,IF(J220="Planned",0.25,IF(J220="Not Applicable",1,0))))</x:f>
        <x:v>0</x:v>
      </x:c>
      <x:c r="L220" s="228" t="str"/>
      <x:c r="M220" s="228" t="str"/>
      <x:c r="N220" s="236"/>
      <x:c r="O220" s="228" t="str">
        <x:v>Not Assessed</x:v>
      </x:c>
      <x:c r="P220" s="228" t="n">
        <x:f>IF(G220="Critical",5,IF(G220="High",4,IF(G220="Medium",3,2)))</x:f>
        <x:v>4</x:v>
      </x:c>
      <x:c r="Q220" s="228" t="n">
        <x:f>P220*K220</x:f>
        <x:v>0</x:v>
      </x:c>
      <x:c r="R220" s="228" t="n">
        <x:f>P220-Q220</x:f>
        <x:v>4</x:v>
      </x:c>
      <x:c r="S220" s="228" t="str"/>
      <x:c r="T220" s="236"/>
      <x:c r="U220" s="228" t="str">
        <x:v>SRC-125</x:v>
      </x:c>
      <x:c r="V220" s="228" t="str">
        <x:v>https://docs.fortinet.com/document/fortiisolator/3.0.0/administration-guide/248120/policy</x:v>
      </x:c>
      <x:c r="W220" s="464" t="str">
        <x:v>Fortinet-derived requirement</x:v>
      </x:c>
    </x:row>
    <x:row r="221">
      <x:c r="A221" s="459" t="str">
        <x:v>RBI-220</x:v>
      </x:c>
      <x:c r="B221" s="460" t="str">
        <x:v>Monitoring &amp; Detection</x:v>
      </x:c>
      <x:c r="C221" s="460" t="str">
        <x:v>Denied Interaction Logging</x:v>
      </x:c>
      <x:c r="D221" s="465" t="str">
        <x:v>Log denied clipboard, paste, print, upload, download, screen-share and other last-mile browser actions with user, device, application, URL, policy and session identifiers.</x:v>
      </x:c>
      <x:c r="E221" s="465" t="str">
        <x:v>Unlogged policy violation; missing exfiltration evidence</x:v>
      </x:c>
      <x:c r="F221" s="465" t="str">
        <x:v>Mandatory</x:v>
      </x:c>
      <x:c r="G221" s="465" t="str">
        <x:v>High</x:v>
      </x:c>
      <x:c r="H221" s="465" t="str">
        <x:v>Universal</x:v>
      </x:c>
      <x:c r="I221" s="465" t="str">
        <x:v>Trigger every denied interaction type and verify searchable SIEM or XDR events with complete context.</x:v>
      </x:c>
      <x:c r="J221" s="465" t="str">
        <x:v>Not Assessed</x:v>
      </x:c>
      <x:c r="K221" s="468" t="n">
        <x:f>IF(J221="Implemented",1,IF(J221="Partially Implemented",0.5,IF(J221="Planned",0.25,IF(J221="Not Applicable",1,0))))</x:f>
        <x:v>0</x:v>
      </x:c>
      <x:c r="L221" s="465" t="str"/>
      <x:c r="M221" s="465" t="str"/>
      <x:c r="N221" s="470"/>
      <x:c r="O221" s="465" t="str">
        <x:v>Not Assessed</x:v>
      </x:c>
      <x:c r="P221" s="465" t="n">
        <x:f>IF(G221="Critical",5,IF(G221="High",4,IF(G221="Medium",3,2)))</x:f>
        <x:v>4</x:v>
      </x:c>
      <x:c r="Q221" s="465" t="n">
        <x:f>P221*K221</x:f>
        <x:v>0</x:v>
      </x:c>
      <x:c r="R221" s="465" t="n">
        <x:f>P221-Q221</x:f>
        <x:v>4</x:v>
      </x:c>
      <x:c r="S221" s="465" t="str"/>
      <x:c r="T221" s="470"/>
      <x:c r="U221" s="465" t="str">
        <x:v>SRC-122</x:v>
      </x:c>
      <x:c r="V221" s="465" t="str">
        <x:v>https://docs.fortinet.com/document/fortisase/latest/administration-guide/370324/secure-browser-profiles</x:v>
      </x:c>
      <x:c r="W221" s="466" t="str">
        <x:v>Fortinet-derived requirement</x:v>
      </x:c>
    </x:row>
  </x:sheetData>
  <x:conditionalFormatting sqref="K2:K124">
    <x:cfRule type="colorScale" priority="1">
      <x:colorScale>
        <x:cfvo type="min"/>
        <x:cfvo type="percentile" val="50"/>
        <x:cfvo type="max"/>
        <x:color rgb="FFFCE4D6"/>
        <x:color rgb="FFFFF2CC"/>
        <x:color rgb="FFE2F0D9"/>
      </x:colorScale>
    </x:cfRule>
  </x:conditionalFormatting>
  <x:conditionalFormatting sqref="R2:R124">
    <x:cfRule type="dataBar" priority="2">
      <x:dataBar>
        <x:cfvo type="min"/>
        <x:cfvo type="max"/>
        <x:color rgb="FFC00000"/>
      </x:dataBar>
      <x:extLst>
        <x:ext xmlns:x14="http://schemas.microsoft.com/office/spreadsheetml/2009/9/main" uri="{B025F937-C7B1-47D3-B67F-A62EFF666E3E}">
          <x14:id>{A76DBF3C-4E5A-183F-60A2-413D51603DC1}</x14:id>
        </x:ext>
      </x:extLst>
    </x:cfRule>
  </x:conditionalFormatting>
  <x:conditionalFormatting sqref="G2:G124">
    <x:cfRule type="expression" dxfId="0" priority="3">
      <x:formula>G2="Critical"</x:formula>
    </x:cfRule>
  </x:conditionalFormatting>
  <x:conditionalFormatting sqref="J2:J124">
    <x:cfRule type="expression" dxfId="1" priority="4">
      <x:formula>J2="Implemented"</x:formula>
    </x:cfRule>
    <x:cfRule type="expression" dxfId="2" priority="5">
      <x:formula>J2="Not Assessed"</x:formula>
    </x:cfRule>
    <x:cfRule type="expression" dxfId="3" priority="6">
      <x:formula>J2="Partially Implemented"</x:formula>
    </x:cfRule>
  </x:conditionalFormatting>
  <x:conditionalFormatting sqref="K125:K159">
    <x:cfRule type="colorScale" priority="7">
      <x:colorScale>
        <x:cfvo type="min"/>
        <x:cfvo type="percentile" val="50"/>
        <x:cfvo type="max"/>
        <x:color rgb="FFFCE4D6"/>
        <x:color rgb="FFFFF2CC"/>
        <x:color rgb="FFE2F0D9"/>
      </x:colorScale>
    </x:cfRule>
  </x:conditionalFormatting>
  <x:conditionalFormatting sqref="R125:R159">
    <x:cfRule type="dataBar" priority="8">
      <x:dataBar>
        <x:cfvo type="min"/>
        <x:cfvo type="max"/>
        <x:color rgb="FFC00000"/>
      </x:dataBar>
      <x:extLst>
        <x:ext xmlns:x14="http://schemas.microsoft.com/office/spreadsheetml/2009/9/main" uri="{B025F937-C7B1-47D3-B67F-A62EFF666E3E}">
          <x14:id>{3639F686-64E4-3369-8036-0D49D78A37C5}</x14:id>
        </x:ext>
      </x:extLst>
    </x:cfRule>
  </x:conditionalFormatting>
  <x:conditionalFormatting sqref="K160:K200">
    <x:cfRule type="colorScale" priority="9">
      <x:colorScale>
        <x:cfvo type="min"/>
        <x:cfvo type="percentile" val="50"/>
        <x:cfvo type="max"/>
        <x:color rgb="FFFCE4D6"/>
        <x:color rgb="FFFFF2CC"/>
        <x:color rgb="FFE2F0D9"/>
      </x:colorScale>
    </x:cfRule>
  </x:conditionalFormatting>
  <x:conditionalFormatting sqref="R160:R200">
    <x:cfRule type="dataBar" priority="10">
      <x:dataBar>
        <x:cfvo type="min"/>
        <x:cfvo type="max"/>
        <x:color rgb="FFC00000"/>
      </x:dataBar>
      <x:extLst>
        <x:ext xmlns:x14="http://schemas.microsoft.com/office/spreadsheetml/2009/9/main" uri="{B025F937-C7B1-47D3-B67F-A62EFF666E3E}">
          <x14:id>{F950F9AC-557D-2045-DC4F-4B9D177BC54A}</x14:id>
        </x:ext>
      </x:extLst>
    </x:cfRule>
  </x:conditionalFormatting>
  <x:conditionalFormatting sqref="K201:K213">
    <x:cfRule type="colorScale" priority="11">
      <x:colorScale>
        <x:cfvo type="min"/>
        <x:cfvo type="percentile" val="50"/>
        <x:cfvo type="max"/>
        <x:color rgb="FFFCE4D6"/>
        <x:color rgb="FFFFF2CC"/>
        <x:color rgb="FFE2F0D9"/>
      </x:colorScale>
    </x:cfRule>
  </x:conditionalFormatting>
  <x:conditionalFormatting sqref="R201:R213">
    <x:cfRule type="dataBar" priority="12">
      <x:dataBar>
        <x:cfvo type="min"/>
        <x:cfvo type="max"/>
        <x:color rgb="FFC00000"/>
      </x:dataBar>
      <x:extLst>
        <x:ext xmlns:x14="http://schemas.microsoft.com/office/spreadsheetml/2009/9/main" uri="{B025F937-C7B1-47D3-B67F-A62EFF666E3E}">
          <x14:id>{D34B6983-3932-EAFC-EB0F-5F5C9A2BABE0}</x14:id>
        </x:ext>
      </x:extLst>
    </x:cfRule>
  </x:conditionalFormatting>
  <x:conditionalFormatting sqref="K214:K221">
    <x:cfRule type="colorScale" priority="13">
      <x:colorScale>
        <x:cfvo type="min"/>
        <x:cfvo type="percentile" val="50"/>
        <x:cfvo type="max"/>
        <x:color rgb="FFFCE4D6"/>
        <x:color rgb="FFFFF2CC"/>
        <x:color rgb="FFE2F0D9"/>
      </x:colorScale>
    </x:cfRule>
  </x:conditionalFormatting>
  <x:conditionalFormatting sqref="R214:R221">
    <x:cfRule type="dataBar" priority="14">
      <x:dataBar>
        <x:cfvo type="min"/>
        <x:cfvo type="max"/>
        <x:color rgb="FFC00000"/>
      </x:dataBar>
      <x:extLst>
        <x:ext xmlns:x14="http://schemas.microsoft.com/office/spreadsheetml/2009/9/main" uri="{B025F937-C7B1-47D3-B67F-A62EFF666E3E}">
          <x14:id>{21CF24BD-BE7B-676D-874C-9805B3D01A5B}</x14:id>
        </x:ext>
      </x:extLst>
    </x:cfRule>
  </x:conditionalFormatting>
  <x:dataValidations count="20">
    <x:dataValidation type="list" sqref="F2:F124">
      <x:formula1>"Mandatory,Recommended,Optional"</x:formula1>
    </x:dataValidation>
    <x:dataValidation type="list" sqref="G2:G124">
      <x:formula1>"Critical,High,Medium,Low"</x:formula1>
    </x:dataValidation>
    <x:dataValidation type="list" sqref="J2:J124">
      <x:formula1>"Not Assessed,Planned,Partially Implemented,Implemented,Not Applicable"</x:formula1>
    </x:dataValidation>
    <x:dataValidation type="list" sqref="O2:O124">
      <x:formula1>"Not Assessed,Critical,High,Medium,Low,Accepted"</x:formula1>
    </x:dataValidation>
    <x:dataValidation type="list" sqref="F125:F159">
      <x:formula1>"Mandatory,Recommended,Optional"</x:formula1>
    </x:dataValidation>
    <x:dataValidation type="list" sqref="G125:G159">
      <x:formula1>"Critical,High,Medium,Low"</x:formula1>
    </x:dataValidation>
    <x:dataValidation type="list" sqref="J125:J159">
      <x:formula1>"Not Assessed,Planned,Partially Implemented,Implemented,Not Applicable"</x:formula1>
    </x:dataValidation>
    <x:dataValidation type="list" sqref="O125:O159">
      <x:formula1>"Not Assessed,Critical,High,Medium,Low,Accepted"</x:formula1>
    </x:dataValidation>
    <x:dataValidation type="list" sqref="F160:F200">
      <x:formula1>"Mandatory,Recommended,Optional"</x:formula1>
    </x:dataValidation>
    <x:dataValidation type="list" sqref="G160:G200">
      <x:formula1>"Critical,High,Medium,Low"</x:formula1>
    </x:dataValidation>
    <x:dataValidation type="list" sqref="J160:J200">
      <x:formula1>"Not Assessed,Planned,Partially Implemented,Implemented,Not Applicable"</x:formula1>
    </x:dataValidation>
    <x:dataValidation type="list" sqref="O160:O200">
      <x:formula1>"Not Assessed,Critical,High,Medium,Low,Accepted"</x:formula1>
    </x:dataValidation>
    <x:dataValidation type="list" sqref="F201:F213">
      <x:formula1>"Mandatory,Recommended,Optional"</x:formula1>
    </x:dataValidation>
    <x:dataValidation type="list" sqref="G201:G213">
      <x:formula1>"Critical,High,Medium,Low"</x:formula1>
    </x:dataValidation>
    <x:dataValidation type="list" sqref="J201:J213">
      <x:formula1>"Not Assessed,Planned,Partially Implemented,Implemented,Not Applicable"</x:formula1>
    </x:dataValidation>
    <x:dataValidation type="list" sqref="O201:O213">
      <x:formula1>"Not Assessed,Critical,High,Medium,Low,Accepted"</x:formula1>
    </x:dataValidation>
    <x:dataValidation type="list" sqref="F214:F221">
      <x:formula1>"Mandatory,Recommended,Optional"</x:formula1>
    </x:dataValidation>
    <x:dataValidation type="list" sqref="G214:G221">
      <x:formula1>"Critical,High,Medium,Low"</x:formula1>
    </x:dataValidation>
    <x:dataValidation type="list" sqref="J214:J221">
      <x:formula1>"Not Assessed,Planned,Partially Implemented,Implemented,Not Applicable"</x:formula1>
    </x:dataValidation>
    <x:dataValidation type="list" sqref="O214:O221">
      <x:formula1>"Not Assessed,Critical,High,Medium,Low,Accepted"</x:formula1>
    </x:dataValidation>
  </x:dataValidations>
  <x:pageMargins left="0.7" right="0.7" top="0.75" bottom="0.75" header="0.3" footer="0.3"/>
  <x:tableParts count="1">
    <x:tablePart xmlns:r="http://schemas.openxmlformats.org/officeDocument/2006/relationships" r:id="R7c0b9e1cd8034133"/>
  </x:tableParts>
  <x:extLst>
    <x:ext xmlns:x14="http://schemas.microsoft.com/office/spreadsheetml/2009/9/main" xmlns:xm="http://schemas.microsoft.com/office/excel/2006/main" uri="{78C0D931-6437-407d-A8EE-F0AAD7539E65}">
      <x14:conditionalFormattings>
        <x14:conditionalFormatting>
          <x14:cfRule type="dataBar" priority="2" id="{A76DBF3C-4E5A-183F-60A2-413D51603DC1}">
            <x14:dataBar gradient="1">
              <x14:cfvo type="min"/>
              <x14:cfvo type="max"/>
              <x14:fillColor rgb="FFC00000"/>
            </x14:dataBar>
          </x14:cfRule>
          <xm:sqref>R2:R124</xm:sqref>
        </x14:conditionalFormatting>
        <x14:conditionalFormatting>
          <x14:cfRule type="dataBar" priority="8" id="{3639F686-64E4-3369-8036-0D49D78A37C5}">
            <x14:dataBar gradient="1">
              <x14:cfvo type="min"/>
              <x14:cfvo type="max"/>
              <x14:fillColor rgb="FFC00000"/>
            </x14:dataBar>
          </x14:cfRule>
          <xm:sqref>R125:R159</xm:sqref>
        </x14:conditionalFormatting>
        <x14:conditionalFormatting>
          <x14:cfRule type="dataBar" priority="10" id="{F950F9AC-557D-2045-DC4F-4B9D177BC54A}">
            <x14:dataBar gradient="1">
              <x14:cfvo type="min"/>
              <x14:cfvo type="max"/>
              <x14:fillColor rgb="FFC00000"/>
            </x14:dataBar>
          </x14:cfRule>
          <xm:sqref>R160:R200</xm:sqref>
        </x14:conditionalFormatting>
        <x14:conditionalFormatting>
          <x14:cfRule type="dataBar" priority="12" id="{D34B6983-3932-EAFC-EB0F-5F5C9A2BABE0}">
            <x14:dataBar gradient="1">
              <x14:cfvo type="min"/>
              <x14:cfvo type="max"/>
              <x14:fillColor rgb="FFC00000"/>
            </x14:dataBar>
          </x14:cfRule>
          <xm:sqref>R201:R213</xm:sqref>
        </x14:conditionalFormatting>
        <x14:conditionalFormatting>
          <x14:cfRule type="dataBar" priority="14" id="{21CF24BD-BE7B-676D-874C-9805B3D01A5B}">
            <x14:dataBar gradient="1">
              <x14:cfvo type="min"/>
              <x14:cfvo type="max"/>
              <x14:fillColor rgb="FFC00000"/>
            </x14:dataBar>
          </x14:cfRule>
          <xm:sqref>R214:R221</xm:sqref>
        </x14:conditionalFormatting>
      </x14:conditionalFormattings>
    </x:ext>
  </x:extLst>
</x:worksheet>
</file>

<file path=xl/worksheets/sheet4.xml><?xml version="1.0" encoding="utf-8"?>
<x:worksheet xmlns:x="http://schemas.openxmlformats.org/spreadsheetml/2006/main">
  <x:sheetFormatPr defaultRowHeight="15"/>
  <x:cols>
    <x:col min="1" max="1" width="11" hidden="0" customWidth="1"/>
    <x:col min="2" max="2" width="26" hidden="0" customWidth="1"/>
    <x:col min="3" max="3" width="45" hidden="0" customWidth="1"/>
    <x:col min="4" max="4" width="17" hidden="0" customWidth="1"/>
    <x:col min="5" max="5" width="36" hidden="0" customWidth="1"/>
    <x:col min="6" max="6" width="44" hidden="0" customWidth="1"/>
    <x:col min="7" max="7" width="35" hidden="0" customWidth="1"/>
    <x:col min="8" max="8" width="11" hidden="0" customWidth="1"/>
  </x:cols>
  <x:sheetData>
    <x:row r="1">
      <x:c r="A1" s="12" t="str">
        <x:v>Threat ID</x:v>
      </x:c>
      <x:c r="B1" s="13" t="str">
        <x:v>Threat / Attack</x:v>
      </x:c>
      <x:c r="C1" s="13" t="str">
        <x:v>Description</x:v>
      </x:c>
      <x:c r="D1" s="13" t="str">
        <x:v>RBI Effectiveness</x:v>
      </x:c>
      <x:c r="E1" s="13" t="str">
        <x:v>RBI Contribution</x:v>
      </x:c>
      <x:c r="F1" s="13" t="str">
        <x:v>Required Complementary Controls</x:v>
      </x:c>
      <x:c r="G1" s="13" t="str">
        <x:v>Relevant Domains</x:v>
      </x:c>
      <x:c r="H1" s="14" t="str">
        <x:v>Source ID</x:v>
      </x:c>
    </x:row>
    <x:row r="2">
      <x:c r="A2" s="15" t="str">
        <x:v>THR-01</x:v>
      </x:c>
      <x:c r="B2" s="30" t="str">
        <x:v>Drive-by compromise</x:v>
      </x:c>
      <x:c r="C2" s="30" t="str">
        <x:v>Browser exploit delivered during ordinary browsing</x:v>
      </x:c>
      <x:c r="D2" s="30" t="str">
        <x:v>High</x:v>
      </x:c>
      <x:c r="E2" s="30" t="str">
        <x:v>RBI contains browser execution</x:v>
      </x:c>
      <x:c r="F2" s="30" t="str">
        <x:v>Patch remote browser; EDR; SWG; DNS security</x:v>
      </x:c>
      <x:c r="G2" s="30" t="str">
        <x:v>Architecture; Browser Runtime</x:v>
      </x:c>
      <x:c r="H2" s="31" t="str">
        <x:v>SRC-04</x:v>
      </x:c>
    </x:row>
    <x:row r="3">
      <x:c r="A3" s="15" t="str">
        <x:v>THR-02</x:v>
      </x:c>
      <x:c r="B3" s="30" t="str">
        <x:v>Watering-hole attack</x:v>
      </x:c>
      <x:c r="C3" s="30" t="str">
        <x:v>Trusted site is compromised to target selected users</x:v>
      </x:c>
      <x:c r="D3" s="30" t="str">
        <x:v>High</x:v>
      </x:c>
      <x:c r="E3" s="30" t="str">
        <x:v>RBI contains active content</x:v>
      </x:c>
      <x:c r="F3" s="30" t="str">
        <x:v>Identity protection; destination reputation; monitoring</x:v>
      </x:c>
      <x:c r="G3" s="30" t="str">
        <x:v>Architecture; Monitoring</x:v>
      </x:c>
      <x:c r="H3" s="31" t="str">
        <x:v>SRC-04</x:v>
      </x:c>
    </x:row>
    <x:row r="4">
      <x:c r="A4" s="15" t="str">
        <x:v>THR-03</x:v>
      </x:c>
      <x:c r="B4" s="30" t="str">
        <x:v>Malvertising</x:v>
      </x:c>
      <x:c r="C4" s="30" t="str">
        <x:v>Malicious advertisements redirect or exploit users</x:v>
      </x:c>
      <x:c r="D4" s="30" t="str">
        <x:v>High</x:v>
      </x:c>
      <x:c r="E4" s="30" t="str">
        <x:v>Advertisements execute remotely</x:v>
      </x:c>
      <x:c r="F4" s="30" t="str">
        <x:v>Ad and URL filtering; redirect analysis</x:v>
      </x:c>
      <x:c r="G4" s="30" t="str">
        <x:v>Architecture; Policy &amp; Access</x:v>
      </x:c>
      <x:c r="H4" s="31" t="str">
        <x:v>SRC-04</x:v>
      </x:c>
    </x:row>
    <x:row r="5">
      <x:c r="A5" s="15" t="str">
        <x:v>THR-04</x:v>
      </x:c>
      <x:c r="B5" s="30" t="str">
        <x:v>Credential phishing</x:v>
      </x:c>
      <x:c r="C5" s="30" t="str">
        <x:v>Fake login page captures credentials</x:v>
      </x:c>
      <x:c r="D5" s="30" t="str">
        <x:v>Conditional</x:v>
      </x:c>
      <x:c r="E5" s="30" t="str">
        <x:v>Safe rendering does not stop user submission</x:v>
      </x:c>
      <x:c r="F5" s="30" t="str">
        <x:v>Read-only mode; approved auth domains; FIDO2</x:v>
      </x:c>
      <x:c r="G5" s="30" t="str">
        <x:v>Policy &amp; Access; Identity</x:v>
      </x:c>
      <x:c r="H5" s="31" t="str">
        <x:v>SRC-02</x:v>
      </x:c>
    </x:row>
    <x:row r="6">
      <x:c r="A6" s="15" t="str">
        <x:v>THR-05</x:v>
      </x:c>
      <x:c r="B6" s="30" t="str">
        <x:v>Adversary-in-the-middle phishing</x:v>
      </x:c>
      <x:c r="C6" s="30" t="str">
        <x:v>Reverse proxy steals credentials and session tokens</x:v>
      </x:c>
      <x:c r="D6" s="30" t="str">
        <x:v>Low</x:v>
      </x:c>
      <x:c r="E6" s="30" t="str">
        <x:v>Isolation does not validate the authentication origin</x:v>
      </x:c>
      <x:c r="F6" s="30" t="str">
        <x:v>Phishing-resistant MFA; device-bound sessions</x:v>
      </x:c>
      <x:c r="G6" s="30" t="str">
        <x:v>Identity</x:v>
      </x:c>
      <x:c r="H6" s="31" t="str">
        <x:v>SRC-02</x:v>
      </x:c>
    </x:row>
    <x:row r="7">
      <x:c r="A7" s="15" t="str">
        <x:v>THR-06</x:v>
      </x:c>
      <x:c r="B7" s="30" t="str">
        <x:v>OAuth consent phishing</x:v>
      </x:c>
      <x:c r="C7" s="30" t="str">
        <x:v>User authorizes malicious application</x:v>
      </x:c>
      <x:c r="D7" s="30" t="str">
        <x:v>Low</x:v>
      </x:c>
      <x:c r="E7" s="30" t="str">
        <x:v>Action may be syntactically legitimate</x:v>
      </x:c>
      <x:c r="F7" s="30" t="str">
        <x:v>Consent governance; publisher verification</x:v>
      </x:c>
      <x:c r="G7" s="30" t="str">
        <x:v>Identity; Policy &amp; Access</x:v>
      </x:c>
      <x:c r="H7" s="31" t="str">
        <x:v>SRC-02</x:v>
      </x:c>
    </x:row>
    <x:row r="8">
      <x:c r="A8" s="15" t="str">
        <x:v>THR-07</x:v>
      </x:c>
      <x:c r="B8" s="30" t="str">
        <x:v>HTML/SVG smuggling</x:v>
      </x:c>
      <x:c r="C8" s="30" t="str">
        <x:v>Payload is reconstructed inside the browser</x:v>
      </x:c>
      <x:c r="D8" s="30" t="str">
        <x:v>High</x:v>
      </x:c>
      <x:c r="E8" s="30" t="str">
        <x:v>Reconstruction remains remote if boundary is complete</x:v>
      </x:c>
      <x:c r="F8" s="30" t="str">
        <x:v>Download block; sandbox; CDR; file validation</x:v>
      </x:c>
      <x:c r="G8" s="30" t="str">
        <x:v>Files &amp; Content</x:v>
      </x:c>
      <x:c r="H8" s="31" t="str">
        <x:v>SRC-06</x:v>
      </x:c>
    </x:row>
    <x:row r="9">
      <x:c r="A9" s="15" t="str">
        <x:v>THR-08</x:v>
      </x:c>
      <x:c r="B9" s="30" t="str">
        <x:v>ClickFix</x:v>
      </x:c>
      <x:c r="C9" s="30" t="str">
        <x:v>Page persuades user to paste a command into a shell</x:v>
      </x:c>
      <x:c r="D9" s="30" t="str">
        <x:v>Conditional</x:v>
      </x:c>
      <x:c r="E9" s="30" t="str">
        <x:v>Remote execution helps, but social engineering remains</x:v>
      </x:c>
      <x:c r="F9" s="30" t="str">
        <x:v>Block remote-to-local copy; EDR; process policy</x:v>
      </x:c>
      <x:c r="G9" s="30" t="str">
        <x:v>Interaction Controls</x:v>
      </x:c>
      <x:c r="H9" s="31" t="str">
        <x:v>SRC-07</x:v>
      </x:c>
    </x:row>
    <x:row r="10">
      <x:c r="A10" s="15" t="str">
        <x:v>THR-09</x:v>
      </x:c>
      <x:c r="B10" s="30" t="str">
        <x:v>Malicious download</x:v>
      </x:c>
      <x:c r="C10" s="30" t="str">
        <x:v>Executable, script, archive or document is delivered</x:v>
      </x:c>
      <x:c r="D10" s="30" t="str">
        <x:v>Conditional</x:v>
      </x:c>
      <x:c r="E10" s="30" t="str">
        <x:v>Strong while file remains remote</x:v>
      </x:c>
      <x:c r="F10" s="30" t="str">
        <x:v>Remote view; sandbox; CDR; application control</x:v>
      </x:c>
      <x:c r="G10" s="30" t="str">
        <x:v>Files &amp; Content</x:v>
      </x:c>
      <x:c r="H10" s="31" t="str">
        <x:v>SRC-01</x:v>
      </x:c>
    </x:row>
    <x:row r="11">
      <x:c r="A11" s="15" t="str">
        <x:v>THR-10</x:v>
      </x:c>
      <x:c r="B11" s="30" t="str">
        <x:v>Browser zero-day</x:v>
      </x:c>
      <x:c r="C11" s="30" t="str">
        <x:v>Exploit targets browser engine or media parser</x:v>
      </x:c>
      <x:c r="D11" s="30" t="str">
        <x:v>High</x:v>
      </x:c>
      <x:c r="E11" s="30" t="str">
        <x:v>Exploit runs against remote environment</x:v>
      </x:c>
      <x:c r="F11" s="30" t="str">
        <x:v>Rapid patching; tenant isolation; hardening</x:v>
      </x:c>
      <x:c r="G11" s="30" t="str">
        <x:v>Architecture; Browser Runtime</x:v>
      </x:c>
      <x:c r="H11" s="31" t="str">
        <x:v>SRC-03</x:v>
      </x:c>
    </x:row>
    <x:row r="12">
      <x:c r="A12" s="15" t="str">
        <x:v>THR-11</x:v>
      </x:c>
      <x:c r="B12" s="30" t="str">
        <x:v>Malicious JavaScript</x:v>
      </x:c>
      <x:c r="C12" s="30" t="str">
        <x:v>Script performs exploitation, reconnaissance or payload generation</x:v>
      </x:c>
      <x:c r="D12" s="30" t="str">
        <x:v>High</x:v>
      </x:c>
      <x:c r="E12" s="30" t="str">
        <x:v>Script executes remotely</x:v>
      </x:c>
      <x:c r="F12" s="30" t="str">
        <x:v>SWG analysis; session disposal</x:v>
      </x:c>
      <x:c r="G12" s="30" t="str">
        <x:v>Architecture</x:v>
      </x:c>
      <x:c r="H12" s="31" t="str">
        <x:v>SRC-03</x:v>
      </x:c>
    </x:row>
    <x:row r="13">
      <x:c r="A13" s="15" t="str">
        <x:v>THR-12</x:v>
      </x:c>
      <x:c r="B13" s="30" t="str">
        <x:v>Malicious WebAssembly</x:v>
      </x:c>
      <x:c r="C13" s="30" t="str">
        <x:v>WASM performs cryptomining, obfuscation or exploitation</x:v>
      </x:c>
      <x:c r="D13" s="30" t="str">
        <x:v>High</x:v>
      </x:c>
      <x:c r="E13" s="30" t="str">
        <x:v>WASM executes remotely</x:v>
      </x:c>
      <x:c r="F13" s="30" t="str">
        <x:v>Block or remote-only execution; quotas</x:v>
      </x:c>
      <x:c r="G13" s="30" t="str">
        <x:v>Browser Runtime</x:v>
      </x:c>
      <x:c r="H13" s="31" t="str">
        <x:v>SRC-23</x:v>
      </x:c>
    </x:row>
    <x:row r="14">
      <x:c r="A14" s="15" t="str">
        <x:v>THR-13</x:v>
      </x:c>
      <x:c r="B14" s="30" t="str">
        <x:v>WebGPU/WebGL abuse</x:v>
      </x:c>
      <x:c r="C14" s="30" t="str">
        <x:v>GPU access enables exploitation, fingerprinting or resource abuse</x:v>
      </x:c>
      <x:c r="D14" s="30" t="str">
        <x:v>Conditional</x:v>
      </x:c>
      <x:c r="E14" s="30" t="str">
        <x:v>Remote GPU reduces endpoint exposure</x:v>
      </x:c>
      <x:c r="F14" s="30" t="str">
        <x:v>Disable for unknown sites; quotas; compatibility tests</x:v>
      </x:c>
      <x:c r="G14" s="30" t="str">
        <x:v>Browser Runtime</x:v>
      </x:c>
      <x:c r="H14" s="31" t="str">
        <x:v>SRC-27</x:v>
      </x:c>
    </x:row>
    <x:row r="15">
      <x:c r="A15" s="15" t="str">
        <x:v>THR-14</x:v>
      </x:c>
      <x:c r="B15" s="30" t="str">
        <x:v>Malicious browser extension</x:v>
      </x:c>
      <x:c r="C15" s="30" t="str">
        <x:v>Extension steals data, modifies pages or establishes persistence</x:v>
      </x:c>
      <x:c r="D15" s="30" t="str">
        <x:v>Conditional</x:v>
      </x:c>
      <x:c r="E15" s="30" t="str">
        <x:v>Depends on local and remote extension governance</x:v>
      </x:c>
      <x:c r="F15" s="30" t="str">
        <x:v>Default deny; inventory; force removal; detection</x:v>
      </x:c>
      <x:c r="G15" s="30" t="str">
        <x:v>Extensions &amp; Plugins</x:v>
      </x:c>
      <x:c r="H15" s="31" t="str">
        <x:v>SRC-08</x:v>
      </x:c>
    </x:row>
    <x:row r="16">
      <x:c r="A16" s="15" t="str">
        <x:v>THR-15</x:v>
      </x:c>
      <x:c r="B16" s="30" t="str">
        <x:v>Extension supply-chain compromise</x:v>
      </x:c>
      <x:c r="C16" s="30" t="str">
        <x:v>Approved extension or update becomes malicious</x:v>
      </x:c>
      <x:c r="D16" s="30" t="str">
        <x:v>Low</x:v>
      </x:c>
      <x:c r="E16" s="30" t="str">
        <x:v>Isolation does not make the extension trustworthy</x:v>
      </x:c>
      <x:c r="F16" s="30" t="str">
        <x:v>Update governance; emergency block; permission monitoring</x:v>
      </x:c>
      <x:c r="G16" s="30" t="str">
        <x:v>Extensions &amp; Plugins</x:v>
      </x:c>
      <x:c r="H16" s="31" t="str">
        <x:v>SRC-09</x:v>
      </x:c>
    </x:row>
    <x:row r="17">
      <x:c r="A17" s="15" t="str">
        <x:v>THR-16</x:v>
      </x:c>
      <x:c r="B17" s="30" t="str">
        <x:v>Service Worker persistence</x:v>
      </x:c>
      <x:c r="C17" s="30" t="str">
        <x:v>Worker intercepts requests and preserves malicious state</x:v>
      </x:c>
      <x:c r="D17" s="30" t="str">
        <x:v>High</x:v>
      </x:c>
      <x:c r="E17" s="30" t="str">
        <x:v>Strong if worker remains remote and disposable</x:v>
      </x:c>
      <x:c r="F17" s="30" t="str">
        <x:v>Session destruction; PWA restrictions</x:v>
      </x:c>
      <x:c r="G17" s="30" t="str">
        <x:v>Browser Runtime</x:v>
      </x:c>
      <x:c r="H17" s="31" t="str">
        <x:v>SRC-03</x:v>
      </x:c>
    </x:row>
    <x:row r="18">
      <x:c r="A18" s="15" t="str">
        <x:v>THR-17</x:v>
      </x:c>
      <x:c r="B18" s="30" t="str">
        <x:v>HTTP/HTTPS C2</x:v>
      </x:c>
      <x:c r="C18" s="30" t="str">
        <x:v>Commands and data blend with ordinary web traffic</x:v>
      </x:c>
      <x:c r="D18" s="30" t="str">
        <x:v>Conditional</x:v>
      </x:c>
      <x:c r="E18" s="30" t="str">
        <x:v>RBI contains clean endpoint browsing but remote egress may remain</x:v>
      </x:c>
      <x:c r="F18" s="30" t="str">
        <x:v>Protocol analytics; destination controls; EDR</x:v>
      </x:c>
      <x:c r="G18" s="30" t="str">
        <x:v>Tunneling &amp; Egress</x:v>
      </x:c>
      <x:c r="H18" s="31" t="str">
        <x:v>SRC-05</x:v>
      </x:c>
    </x:row>
    <x:row r="19">
      <x:c r="A19" s="15" t="str">
        <x:v>THR-18</x:v>
      </x:c>
      <x:c r="B19" s="30" t="str">
        <x:v>HTTP CONNECT tunnel</x:v>
      </x:c>
      <x:c r="C19" s="30" t="str">
        <x:v>Proxy tunnel carries opaque traffic</x:v>
      </x:c>
      <x:c r="D19" s="30" t="str">
        <x:v>Low</x:v>
      </x:c>
      <x:c r="E19" s="30" t="str">
        <x:v>Requires explicit proxy policy</x:v>
      </x:c>
      <x:c r="F19" s="30" t="str">
        <x:v>Destination and port restriction; authentication; logging</x:v>
      </x:c>
      <x:c r="G19" s="30" t="str">
        <x:v>Tunneling &amp; Egress</x:v>
      </x:c>
      <x:c r="H19" s="31" t="str">
        <x:v>SRC-05</x:v>
      </x:c>
    </x:row>
    <x:row r="20">
      <x:c r="A20" s="15" t="str">
        <x:v>THR-19</x:v>
      </x:c>
      <x:c r="B20" s="30" t="str">
        <x:v>HTTP/2 Extended CONNECT</x:v>
      </x:c>
      <x:c r="C20" s="30" t="str">
        <x:v>WebSocket or other protocol is tunneled per stream</x:v>
      </x:c>
      <x:c r="D20" s="30" t="str">
        <x:v>Low</x:v>
      </x:c>
      <x:c r="E20" s="30" t="str">
        <x:v>Requires stream-level parsing and authorization</x:v>
      </x:c>
      <x:c r="F20" s="30" t="str">
        <x:v>Disable by default; inspect :protocol; quotas</x:v>
      </x:c>
      <x:c r="G20" s="30" t="str">
        <x:v>HTTP/2 &amp; HTTP/3</x:v>
      </x:c>
      <x:c r="H20" s="31" t="str">
        <x:v>SRC-14</x:v>
      </x:c>
    </x:row>
    <x:row r="21">
      <x:c r="A21" s="15" t="str">
        <x:v>THR-20</x:v>
      </x:c>
      <x:c r="B21" s="30" t="str">
        <x:v>HTTP/2 request smuggling</x:v>
      </x:c>
      <x:c r="C21" s="30" t="str">
        <x:v>Frontend and backend parse requests differently</x:v>
      </x:c>
      <x:c r="D21" s="30" t="str">
        <x:v>None</x:v>
      </x:c>
      <x:c r="E21" s="30" t="str">
        <x:v>Infrastructure issue rather than endpoint isolation</x:v>
      </x:c>
      <x:c r="F21" s="30" t="str">
        <x:v>Strict parsing; downgrade testing; normalization</x:v>
      </x:c>
      <x:c r="G21" s="30" t="str">
        <x:v>HTTP/2 &amp; HTTP/3</x:v>
      </x:c>
      <x:c r="H21" s="31" t="str">
        <x:v>SRC-11</x:v>
      </x:c>
    </x:row>
    <x:row r="22">
      <x:c r="A22" s="15" t="str">
        <x:v>THR-21</x:v>
      </x:c>
      <x:c r="B22" s="30" t="str">
        <x:v>HTTP/2 Rapid Reset</x:v>
      </x:c>
      <x:c r="C22" s="30" t="str">
        <x:v>Stream reset behavior exhausts server resources</x:v>
      </x:c>
      <x:c r="D22" s="30" t="str">
        <x:v>None</x:v>
      </x:c>
      <x:c r="E22" s="30" t="str">
        <x:v>Targets RBI and gateway infrastructure</x:v>
      </x:c>
      <x:c r="F22" s="30" t="str">
        <x:v>Patch; stream-rate limits; DDoS protection</x:v>
      </x:c>
      <x:c r="G22" s="30" t="str">
        <x:v>HTTP/2 &amp; HTTP/3; Resilience</x:v>
      </x:c>
      <x:c r="H22" s="31" t="str">
        <x:v>SRC-22</x:v>
      </x:c>
    </x:row>
    <x:row r="23">
      <x:c r="A23" s="15" t="str">
        <x:v>THR-22</x:v>
      </x:c>
      <x:c r="B23" s="30" t="str">
        <x:v>Direct HTTP/3 bypass</x:v>
      </x:c>
      <x:c r="C23" s="30" t="str">
        <x:v>QUIC traffic avoids TCP-oriented controls</x:v>
      </x:c>
      <x:c r="D23" s="30" t="str">
        <x:v>Conditional</x:v>
      </x:c>
      <x:c r="E23" s="30" t="str">
        <x:v>Depends on native QUIC governance</x:v>
      </x:c>
      <x:c r="F23" s="30" t="str">
        <x:v>Native HTTP/3 inspection or block UDP/443</x:v>
      </x:c>
      <x:c r="G23" s="30" t="str">
        <x:v>HTTP/2 &amp; HTTP/3</x:v>
      </x:c>
      <x:c r="H23" s="31" t="str">
        <x:v>SRC-12</x:v>
      </x:c>
    </x:row>
    <x:row r="24">
      <x:c r="A24" s="15" t="str">
        <x:v>THR-23</x:v>
      </x:c>
      <x:c r="B24" s="30" t="str">
        <x:v>CONNECT-UDP / MASQUE</x:v>
      </x:c>
      <x:c r="C24" s="30" t="str">
        <x:v>UDP is proxied inside HTTP</x:v>
      </x:c>
      <x:c r="D24" s="30" t="str">
        <x:v>Low</x:v>
      </x:c>
      <x:c r="E24" s="30" t="str">
        <x:v>Requires datagram-aware control</x:v>
      </x:c>
      <x:c r="F24" s="30" t="str">
        <x:v>Default deny; approved proxies only; logging</x:v>
      </x:c>
      <x:c r="G24" s="30" t="str">
        <x:v>HTTP/2 &amp; HTTP/3</x:v>
      </x:c>
      <x:c r="H24" s="31" t="str">
        <x:v>SRC-17</x:v>
      </x:c>
    </x:row>
    <x:row r="25">
      <x:c r="A25" s="15" t="str">
        <x:v>THR-24</x:v>
      </x:c>
      <x:c r="B25" s="30" t="str">
        <x:v>CONNECT-IP</x:v>
      </x:c>
      <x:c r="C25" s="30" t="str">
        <x:v>Arbitrary IP packets are proxied inside HTTP</x:v>
      </x:c>
      <x:c r="D25" s="30" t="str">
        <x:v>Low</x:v>
      </x:c>
      <x:c r="E25" s="30" t="str">
        <x:v>Requires explicit recognition and blocking</x:v>
      </x:c>
      <x:c r="F25" s="30" t="str">
        <x:v>Default deny; restrict targets; tunnel telemetry</x:v>
      </x:c>
      <x:c r="G25" s="30" t="str">
        <x:v>HTTP/2 &amp; HTTP/3</x:v>
      </x:c>
      <x:c r="H25" s="31" t="str">
        <x:v>SRC-18</x:v>
      </x:c>
    </x:row>
    <x:row r="26">
      <x:c r="A26" s="15" t="str">
        <x:v>THR-25</x:v>
      </x:c>
      <x:c r="B26" s="30" t="str">
        <x:v>WebSocket tunnel</x:v>
      </x:c>
      <x:c r="C26" s="30" t="str">
        <x:v>Persistent bidirectional channel carries C2 or data</x:v>
      </x:c>
      <x:c r="D26" s="30" t="str">
        <x:v>Conditional</x:v>
      </x:c>
      <x:c r="E26" s="30" t="str">
        <x:v>Must be terminated and governed in RBI</x:v>
      </x:c>
      <x:c r="F26" s="30" t="str">
        <x:v>Origin and subprotocol allowlist; DLP; limits</x:v>
      </x:c>
      <x:c r="G26" s="30" t="str">
        <x:v>Tunneling &amp; Egress</x:v>
      </x:c>
      <x:c r="H26" s="31" t="str">
        <x:v>SRC-14</x:v>
      </x:c>
    </x:row>
    <x:row r="27">
      <x:c r="A27" s="15" t="str">
        <x:v>THR-26</x:v>
      </x:c>
      <x:c r="B27" s="30" t="str">
        <x:v>WebTransport tunnel</x:v>
      </x:c>
      <x:c r="C27" s="30" t="str">
        <x:v>Streams and datagrams create low-level web channel</x:v>
      </x:c>
      <x:c r="D27" s="30" t="str">
        <x:v>Conditional</x:v>
      </x:c>
      <x:c r="E27" s="30" t="str">
        <x:v>Requires protocol-aware policy</x:v>
      </x:c>
      <x:c r="F27" s="30" t="str">
        <x:v>Disable unknown origins; stream/datagram limits</x:v>
      </x:c>
      <x:c r="G27" s="30" t="str">
        <x:v>Tunneling &amp; Egress</x:v>
      </x:c>
      <x:c r="H27" s="31" t="str">
        <x:v>SRC-12</x:v>
      </x:c>
    </x:row>
    <x:row r="28">
      <x:c r="A28" s="15" t="str">
        <x:v>THR-27</x:v>
      </x:c>
      <x:c r="B28" s="30" t="str">
        <x:v>DNS tunneling</x:v>
      </x:c>
      <x:c r="C28" s="30" t="str">
        <x:v>Commands or data are encoded in DNS</x:v>
      </x:c>
      <x:c r="D28" s="30" t="str">
        <x:v>Low</x:v>
      </x:c>
      <x:c r="E28" s="30" t="str">
        <x:v>RBI is not a DNS analytics control</x:v>
      </x:c>
      <x:c r="F28" s="30" t="str">
        <x:v>Approved resolvers; entropy and beacon analytics</x:v>
      </x:c>
      <x:c r="G28" s="30" t="str">
        <x:v>DNS Security</x:v>
      </x:c>
      <x:c r="H28" s="31" t="str">
        <x:v>SRC-05</x:v>
      </x:c>
    </x:row>
    <x:row r="29">
      <x:c r="A29" s="15" t="str">
        <x:v>THR-28</x:v>
      </x:c>
      <x:c r="B29" s="30" t="str">
        <x:v>Unauthorized DoH</x:v>
      </x:c>
      <x:c r="C29" s="30" t="str">
        <x:v>Browser uses external HTTPS resolver</x:v>
      </x:c>
      <x:c r="D29" s="30" t="str">
        <x:v>Low</x:v>
      </x:c>
      <x:c r="E29" s="30" t="str">
        <x:v>May bypass enterprise DNS policy</x:v>
      </x:c>
      <x:c r="F29" s="30" t="str">
        <x:v>Block unauthorized DoH; managed resolver policy</x:v>
      </x:c>
      <x:c r="G29" s="30" t="str">
        <x:v>DNS Security</x:v>
      </x:c>
      <x:c r="H29" s="31" t="str">
        <x:v>SRC-19</x:v>
      </x:c>
    </x:row>
    <x:row r="30">
      <x:c r="A30" s="15" t="str">
        <x:v>THR-29</x:v>
      </x:c>
      <x:c r="B30" s="30" t="str">
        <x:v>Unauthorized DoQ</x:v>
      </x:c>
      <x:c r="C30" s="30" t="str">
        <x:v>Browser or application uses QUIC resolver</x:v>
      </x:c>
      <x:c r="D30" s="30" t="str">
        <x:v>Low</x:v>
      </x:c>
      <x:c r="E30" s="30" t="str">
        <x:v>May bypass enterprise DNS policy</x:v>
      </x:c>
      <x:c r="F30" s="30" t="str">
        <x:v>Block unauthorized DoQ; UDP governance</x:v>
      </x:c>
      <x:c r="G30" s="30" t="str">
        <x:v>DNS Security</x:v>
      </x:c>
      <x:c r="H30" s="31" t="str">
        <x:v>SRC-20</x:v>
      </x:c>
    </x:row>
    <x:row r="31">
      <x:c r="A31" s="15" t="str">
        <x:v>THR-30</x:v>
      </x:c>
      <x:c r="B31" s="30" t="str">
        <x:v>WebRTC exfiltration</x:v>
      </x:c>
      <x:c r="C31" s="30" t="str">
        <x:v>Peer-to-peer or relay channel transfers data</x:v>
      </x:c>
      <x:c r="D31" s="30" t="str">
        <x:v>Conditional</x:v>
      </x:c>
      <x:c r="E31" s="30" t="str">
        <x:v>Remote browser may still establish the channel</x:v>
      </x:c>
      <x:c r="F31" s="30" t="str">
        <x:v>Disable unknown sites; restrict STUN/TURN</x:v>
      </x:c>
      <x:c r="G31" s="30" t="str">
        <x:v>Tunneling &amp; Egress</x:v>
      </x:c>
      <x:c r="H31" s="31" t="str">
        <x:v>SRC-27</x:v>
      </x:c>
    </x:row>
    <x:row r="32">
      <x:c r="A32" s="15" t="str">
        <x:v>THR-31</x:v>
      </x:c>
      <x:c r="B32" s="30" t="str">
        <x:v>Domain fronting</x:v>
      </x:c>
      <x:c r="C32" s="30" t="str">
        <x:v>C2 hides behind trusted CDN or cloud infrastructure</x:v>
      </x:c>
      <x:c r="D32" s="30" t="str">
        <x:v>Low</x:v>
      </x:c>
      <x:c r="E32" s="30" t="str">
        <x:v>Requires multi-layer identity and destination analysis</x:v>
      </x:c>
      <x:c r="F32" s="30" t="str">
        <x:v>Correlate DNS, TLS, authority and origin</x:v>
      </x:c>
      <x:c r="G32" s="30" t="str">
        <x:v>Tunneling &amp; Egress</x:v>
      </x:c>
      <x:c r="H32" s="31" t="str">
        <x:v>SRC-05</x:v>
      </x:c>
    </x:row>
    <x:row r="33">
      <x:c r="A33" s="15" t="str">
        <x:v>THR-32</x:v>
      </x:c>
      <x:c r="B33" s="30" t="str">
        <x:v>Visual / QR C2</x:v>
      </x:c>
      <x:c r="C33" s="30" t="str">
        <x:v>Compromised endpoint decodes commands displayed in RBI</x:v>
      </x:c>
      <x:c r="D33" s="30" t="str">
        <x:v>Low</x:v>
      </x:c>
      <x:c r="E33" s="30" t="str">
        <x:v>Rendered pixels remain a communication channel</x:v>
      </x:c>
      <x:c r="F33" s="30" t="str">
        <x:v>EDR; headless-browser detection; visual analytics</x:v>
      </x:c>
      <x:c r="G33" s="30" t="str">
        <x:v>Monitoring &amp; Detection</x:v>
      </x:c>
      <x:c r="H33" s="31" t="str">
        <x:v>SRC-29</x:v>
      </x:c>
    </x:row>
    <x:row r="34">
      <x:c r="A34" s="15" t="str">
        <x:v>THR-33</x:v>
      </x:c>
      <x:c r="B34" s="30" t="str">
        <x:v>Sensitive prompt disclosure</x:v>
      </x:c>
      <x:c r="C34" s="30" t="str">
        <x:v>User submits secrets or records to public AI</x:v>
      </x:c>
      <x:c r="D34" s="30" t="str">
        <x:v>Conditional</x:v>
      </x:c>
      <x:c r="E34" s="30" t="str">
        <x:v>RBI can govern interaction but needs DLP</x:v>
      </x:c>
      <x:c r="F34" s="30" t="str">
        <x:v>AI DLP; tenant restriction; logging</x:v>
      </x:c>
      <x:c r="G34" s="30" t="str">
        <x:v>AI &amp; Agentic Browsing</x:v>
      </x:c>
      <x:c r="H34" s="31" t="str">
        <x:v>SRC-24</x:v>
      </x:c>
    </x:row>
    <x:row r="35">
      <x:c r="A35" s="15" t="str">
        <x:v>THR-34</x:v>
      </x:c>
      <x:c r="B35" s="30" t="str">
        <x:v>Indirect prompt injection</x:v>
      </x:c>
      <x:c r="C35" s="30" t="str">
        <x:v>Web content manipulates an AI browsing agent</x:v>
      </x:c>
      <x:c r="D35" s="30" t="str">
        <x:v>Low</x:v>
      </x:c>
      <x:c r="E35" s="30" t="str">
        <x:v>RBI contains code, not malicious semantics</x:v>
      </x:c>
      <x:c r="F35" s="30" t="str">
        <x:v>Instruction separation; policy engine; approval</x:v>
      </x:c>
      <x:c r="G35" s="30" t="str">
        <x:v>AI &amp; Agentic Browsing</x:v>
      </x:c>
      <x:c r="H35" s="31" t="str">
        <x:v>SRC-24</x:v>
      </x:c>
    </x:row>
    <x:row r="36">
      <x:c r="A36" s="15" t="str">
        <x:v>THR-35</x:v>
      </x:c>
      <x:c r="B36" s="30" t="str">
        <x:v>Excessive agent action</x:v>
      </x:c>
      <x:c r="C36" s="30" t="str">
        <x:v>AI agent performs unauthorized consequential action</x:v>
      </x:c>
      <x:c r="D36" s="30" t="str">
        <x:v>Low</x:v>
      </x:c>
      <x:c r="E36" s="30" t="str">
        <x:v>Requires authorization outside the model</x:v>
      </x:c>
      <x:c r="F36" s="30" t="str">
        <x:v>OPA or equivalent; human approval; scoped identity</x:v>
      </x:c>
      <x:c r="G36" s="30" t="str">
        <x:v>AI &amp; Agentic Browsing</x:v>
      </x:c>
      <x:c r="H36" s="31" t="str">
        <x:v>SRC-24</x:v>
      </x:c>
    </x:row>
    <x:row r="37">
      <x:c r="A37" s="15" t="str">
        <x:v>THR-36</x:v>
      </x:c>
      <x:c r="B37" s="30" t="str">
        <x:v>Malicious dApp frontend</x:v>
      </x:c>
      <x:c r="C37" s="30" t="str">
        <x:v>Web3 frontend steals data or deceives wallet user</x:v>
      </x:c>
      <x:c r="D37" s="30" t="str">
        <x:v>High</x:v>
      </x:c>
      <x:c r="E37" s="30" t="str">
        <x:v>Frontend code executes remotely</x:v>
      </x:c>
      <x:c r="F37" s="30" t="str">
        <x:v>Trusted signing and destination verification</x:v>
      </x:c>
      <x:c r="G37" s="30" t="str">
        <x:v>Web3 Protection</x:v>
      </x:c>
      <x:c r="H37" s="31" t="str">
        <x:v>SRC-25</x:v>
      </x:c>
    </x:row>
    <x:row r="38">
      <x:c r="A38" s="15" t="str">
        <x:v>THR-37</x:v>
      </x:c>
      <x:c r="B38" s="30" t="str">
        <x:v>Wallet drainer / blind signing</x:v>
      </x:c>
      <x:c r="C38" s="30" t="str">
        <x:v>User signs malicious contract or token approval</x:v>
      </x:c>
      <x:c r="D38" s="30" t="str">
        <x:v>None</x:v>
      </x:c>
      <x:c r="E38" s="30" t="str">
        <x:v>RBI cannot validate transaction intent</x:v>
      </x:c>
      <x:c r="F38" s="30" t="str">
        <x:v>Simulation; hardware signing; transaction policy</x:v>
      </x:c>
      <x:c r="G38" s="30" t="str">
        <x:v>Web3 Protection</x:v>
      </x:c>
      <x:c r="H38" s="31" t="str">
        <x:v>SRC-25</x:v>
      </x:c>
    </x:row>
    <x:row r="39">
      <x:c r="A39" s="15" t="str">
        <x:v>THR-38</x:v>
      </x:c>
      <x:c r="B39" s="30" t="str">
        <x:v>Data exfiltration by upload</x:v>
      </x:c>
      <x:c r="C39" s="30" t="str">
        <x:v>Sensitive file or form data leaves organization</x:v>
      </x:c>
      <x:c r="D39" s="30" t="str">
        <x:v>Conditional</x:v>
      </x:c>
      <x:c r="E39" s="30" t="str">
        <x:v>Requires interaction and DLP policies</x:v>
      </x:c>
      <x:c r="F39" s="30" t="str">
        <x:v>Upload controls; DLP; tenant restriction</x:v>
      </x:c>
      <x:c r="G39" s="30" t="str">
        <x:v>Files &amp; Content; Interaction Controls</x:v>
      </x:c>
      <x:c r="H39" s="31" t="str">
        <x:v>SRC-26</x:v>
      </x:c>
    </x:row>
    <x:row r="40">
      <x:c r="A40" s="15" t="str">
        <x:v>THR-39</x:v>
      </x:c>
      <x:c r="B40" s="30" t="str">
        <x:v>Clipboard data theft</x:v>
      </x:c>
      <x:c r="C40" s="30" t="str">
        <x:v>Website or extension reads or modifies clipboard</x:v>
      </x:c>
      <x:c r="D40" s="30" t="str">
        <x:v>Conditional</x:v>
      </x:c>
      <x:c r="E40" s="30" t="str">
        <x:v>Directional clipboard policy can reduce risk</x:v>
      </x:c>
      <x:c r="F40" s="30" t="str">
        <x:v>Clipboard controls; extension restriction</x:v>
      </x:c>
      <x:c r="G40" s="30" t="str">
        <x:v>Interaction Controls; Extensions &amp; Plugins</x:v>
      </x:c>
      <x:c r="H40" s="31" t="str">
        <x:v>SRC-26</x:v>
      </x:c>
    </x:row>
    <x:row r="41">
      <x:c r="A41" s="18" t="str">
        <x:v>THR-40</x:v>
      </x:c>
      <x:c r="B41" s="33" t="str">
        <x:v>Unmanaged endpoint capture</x:v>
      </x:c>
      <x:c r="C41" s="33" t="str">
        <x:v>Local malware records screen or keystrokes</x:v>
      </x:c>
      <x:c r="D41" s="33" t="str">
        <x:v>Low</x:v>
      </x:c>
      <x:c r="E41" s="33" t="str">
        <x:v>RBI does not make the endpoint trusted</x:v>
      </x:c>
      <x:c r="F41" s="33" t="str">
        <x:v>EDR; posture; view-only access; watermarking</x:v>
      </x:c>
      <x:c r="G41" s="33" t="str">
        <x:v>Policy &amp; Access; Identity</x:v>
      </x:c>
      <x:c r="H41" s="34" t="str">
        <x:v>SRC-02</x:v>
      </x:c>
    </x:row>
    <x:row r="42">
      <x:c r="A42" s="217" t="str">
        <x:v>THR-41</x:v>
      </x:c>
      <x:c r="B42" s="226" t="str">
        <x:v>Cross-domain isolation escape</x:v>
      </x:c>
      <x:c r="C42" s="226" t="str">
        <x:v>Redirect, SSO handoff, pop-up or new domain leaves isolation without equivalent controls.</x:v>
      </x:c>
      <x:c r="D42" s="226" t="str">
        <x:v>Low</x:v>
      </x:c>
      <x:c r="E42" s="226" t="str">
        <x:v>Continuous re-evaluation is required.</x:v>
      </x:c>
      <x:c r="F42" s="226" t="str">
        <x:v>Cross-domain policy continuity and transition logging</x:v>
      </x:c>
      <x:c r="G42" s="226" t="str">
        <x:v>Policy &amp; Access; Architecture</x:v>
      </x:c>
      <x:c r="H42" s="227" t="str">
        <x:v>SRC-37</x:v>
      </x:c>
    </x:row>
    <x:row r="43">
      <x:c r="A43" s="220" t="str">
        <x:v>THR-42</x:v>
      </x:c>
      <x:c r="B43" s="228" t="str">
        <x:v>Unsupported-request bypass</x:v>
      </x:c>
      <x:c r="C43" s="228" t="str">
        <x:v>API, JSON, update or non-browser request cannot be rendered by RBI.</x:v>
      </x:c>
      <x:c r="D43" s="228" t="str">
        <x:v>Low</x:v>
      </x:c>
      <x:c r="E43" s="228" t="str">
        <x:v>RBI cannot process every request type.</x:v>
      </x:c>
      <x:c r="F43" s="228" t="str">
        <x:v>Block or equivalent SWG, DLP and malware controls</x:v>
      </x:c>
      <x:c r="G43" s="228" t="str">
        <x:v>Architecture</x:v>
      </x:c>
      <x:c r="H43" s="229" t="str">
        <x:v>SRC-38</x:v>
      </x:c>
    </x:row>
    <x:row r="44">
      <x:c r="A44" s="220" t="str">
        <x:v>THR-43</x:v>
      </x:c>
      <x:c r="B44" s="228" t="str">
        <x:v>Persistent RBI cookie replay</x:v>
      </x:c>
      <x:c r="C44" s="228" t="str">
        <x:v>Cookies transported locally survive isolation and are reused.</x:v>
      </x:c>
      <x:c r="D44" s="228" t="str">
        <x:v>Conditional</x:v>
      </x:c>
      <x:c r="E44" s="228" t="str">
        <x:v>Private navigation reduces exposure.</x:v>
      </x:c>
      <x:c r="F44" s="228" t="str">
        <x:v>Private navigation, expiry, clearing and token revocation</x:v>
      </x:c>
      <x:c r="G44" s="228" t="str">
        <x:v>Identity</x:v>
      </x:c>
      <x:c r="H44" s="229" t="str">
        <x:v>SRC-39</x:v>
      </x:c>
    </x:row>
    <x:row r="45">
      <x:c r="A45" s="220" t="str">
        <x:v>THR-44</x:v>
      </x:c>
      <x:c r="B45" s="228" t="str">
        <x:v>Certificate-pinned traffic bypass</x:v>
      </x:c>
      <x:c r="C45" s="228" t="str">
        <x:v>Pinned applications bypass steering, decryption and inspection.</x:v>
      </x:c>
      <x:c r="D45" s="228" t="str">
        <x:v>None</x:v>
      </x:c>
      <x:c r="E45" s="228" t="str">
        <x:v>Traffic may never reach RBI.</x:v>
      </x:c>
      <x:c r="F45" s="228" t="str">
        <x:v>Exception inventory, expiry and compensating controls</x:v>
      </x:c>
      <x:c r="G45" s="228" t="str">
        <x:v>Tunneling &amp; Egress</x:v>
      </x:c>
      <x:c r="H45" s="229" t="str">
        <x:v>SRC-40</x:v>
      </x:c>
    </x:row>
    <x:row r="46">
      <x:c r="A46" s="220" t="str">
        <x:v>THR-45</x:v>
      </x:c>
      <x:c r="B46" s="228" t="str">
        <x:v>Policy-processing fail open</x:v>
      </x:c>
      <x:c r="C46" s="228" t="str">
        <x:v>Controls allow data movement when policy processing fails.</x:v>
      </x:c>
      <x:c r="D46" s="228" t="str">
        <x:v>None</x:v>
      </x:c>
      <x:c r="E46" s="228" t="str">
        <x:v>Requires explicit secure fallback actions.</x:v>
      </x:c>
      <x:c r="F46" s="228" t="str">
        <x:v>Block interaction controls and preserve warnings</x:v>
      </x:c>
      <x:c r="G46" s="228" t="str">
        <x:v>Architecture</x:v>
      </x:c>
      <x:c r="H46" s="229" t="str">
        <x:v>SRC-37</x:v>
      </x:c>
    </x:row>
    <x:row r="47">
      <x:c r="A47" s="220" t="str">
        <x:v>THR-46</x:v>
      </x:c>
      <x:c r="B47" s="228" t="str">
        <x:v>Personal-instance data exfiltration</x:v>
      </x:c>
      <x:c r="C47" s="228" t="str">
        <x:v>Sensitive data moves to a personal account on an approved service.</x:v>
      </x:c>
      <x:c r="D47" s="228" t="str">
        <x:v>Conditional</x:v>
      </x:c>
      <x:c r="E47" s="228" t="str">
        <x:v>Requires instance-aware DLP.</x:v>
      </x:c>
      <x:c r="F47" s="228" t="str">
        <x:v>Corporate-versus-personal tenant controls</x:v>
      </x:c>
      <x:c r="G47" s="228" t="str">
        <x:v>Policy &amp; Access</x:v>
      </x:c>
      <x:c r="H47" s="229" t="str">
        <x:v>SRC-38</x:v>
      </x:c>
    </x:row>
    <x:row r="48">
      <x:c r="A48" s="220" t="str">
        <x:v>THR-47</x:v>
      </x:c>
      <x:c r="B48" s="228" t="str">
        <x:v>Enforcement-agent tampering</x:v>
      </x:c>
      <x:c r="C48" s="228" t="str">
        <x:v>Browser security component is disabled, removed or downgraded.</x:v>
      </x:c>
      <x:c r="D48" s="228" t="str">
        <x:v>None</x:v>
      </x:c>
      <x:c r="E48" s="228" t="str">
        <x:v>Local protection fails if agent is absent.</x:v>
      </x:c>
      <x:c r="F48" s="228" t="str">
        <x:v>Tamper protection, health checks and fail-closed access</x:v>
      </x:c>
      <x:c r="G48" s="228" t="str">
        <x:v>Enterprise Browser Security</x:v>
      </x:c>
      <x:c r="H48" s="229" t="str">
        <x:v>SRC-48</x:v>
      </x:c>
    </x:row>
    <x:row r="49">
      <x:c r="A49" s="220" t="str">
        <x:v>THR-48</x:v>
      </x:c>
      <x:c r="B49" s="228" t="str">
        <x:v>Cross-browser control gap</x:v>
      </x:c>
      <x:c r="C49" s="228" t="str">
        <x:v>A platform lacks controls available in another browser or OS.</x:v>
      </x:c>
      <x:c r="D49" s="228" t="str">
        <x:v>None</x:v>
      </x:c>
      <x:c r="E49" s="228" t="str">
        <x:v>Capability parity cannot be assumed.</x:v>
      </x:c>
      <x:c r="F49" s="228" t="str">
        <x:v>Capability matrix and restricted fallback</x:v>
      </x:c>
      <x:c r="G49" s="228" t="str">
        <x:v>Enterprise Browser Security</x:v>
      </x:c>
      <x:c r="H49" s="229" t="str">
        <x:v>SRC-48</x:v>
      </x:c>
    </x:row>
    <x:row r="50">
      <x:c r="A50" s="220" t="str">
        <x:v>THR-49</x:v>
      </x:c>
      <x:c r="B50" s="228" t="str">
        <x:v>Cross-tab AI leakage</x:v>
      </x:c>
      <x:c r="C50" s="228" t="str">
        <x:v>AI assistant reads unrelated authenticated tabs.</x:v>
      </x:c>
      <x:c r="D50" s="228" t="str">
        <x:v>Low</x:v>
      </x:c>
      <x:c r="E50" s="228" t="str">
        <x:v>Semantic tab permissions are separate from RBI.</x:v>
      </x:c>
      <x:c r="F50" s="228" t="str">
        <x:v>Tab-specific authorization and context audit</x:v>
      </x:c>
      <x:c r="G50" s="228" t="str">
        <x:v>AI &amp; Agentic Browsing</x:v>
      </x:c>
      <x:c r="H50" s="229" t="str">
        <x:v>SRC-52</x:v>
      </x:c>
    </x:row>
    <x:row r="51">
      <x:c r="A51" s="220" t="str">
        <x:v>THR-50</x:v>
      </x:c>
      <x:c r="B51" s="228" t="str">
        <x:v>Hidden prompt injection</x:v>
      </x:c>
      <x:c r="C51" s="228" t="str">
        <x:v>Instructions are embedded in hidden HTML, images, files or metadata.</x:v>
      </x:c>
      <x:c r="D51" s="228" t="str">
        <x:v>Low</x:v>
      </x:c>
      <x:c r="E51" s="228" t="str">
        <x:v>Execution isolation does not neutralize semantics.</x:v>
      </x:c>
      <x:c r="F51" s="228" t="str">
        <x:v>Multimodal inspection, policy engine and approval</x:v>
      </x:c>
      <x:c r="G51" s="228" t="str">
        <x:v>AI &amp; Agentic Browsing</x:v>
      </x:c>
      <x:c r="H51" s="229" t="str">
        <x:v>SRC-45</x:v>
      </x:c>
    </x:row>
    <x:row r="52">
      <x:c r="A52" s="220" t="str">
        <x:v>THR-51</x:v>
      </x:c>
      <x:c r="B52" s="228" t="str">
        <x:v>Credential injection abuse</x:v>
      </x:c>
      <x:c r="C52" s="228" t="str">
        <x:v>Managed credentials are released to a spoofed origin or overlay.</x:v>
      </x:c>
      <x:c r="D52" s="228" t="str">
        <x:v>Low</x:v>
      </x:c>
      <x:c r="E52" s="228" t="str">
        <x:v>Requires exact-origin validation.</x:v>
      </x:c>
      <x:c r="F52" s="228" t="str">
        <x:v>Credential release policy and phishing-resistant authentication</x:v>
      </x:c>
      <x:c r="G52" s="228" t="str">
        <x:v>Identity</x:v>
      </x:c>
      <x:c r="H52" s="229" t="str">
        <x:v>SRC-51</x:v>
      </x:c>
    </x:row>
    <x:row r="53">
      <x:c r="A53" s="220" t="str">
        <x:v>THR-52</x:v>
      </x:c>
      <x:c r="B53" s="228" t="str">
        <x:v>Uninspected isolated egress</x:v>
      </x:c>
      <x:c r="C53" s="228" t="str">
        <x:v>Remote browser communicates with attacker infrastructure.</x:v>
      </x:c>
      <x:c r="D53" s="228" t="str">
        <x:v>Conditional</x:v>
      </x:c>
      <x:c r="E53" s="228" t="str">
        <x:v>Endpoint is isolated but egress remains exposed.</x:v>
      </x:c>
      <x:c r="F53" s="228" t="str">
        <x:v>Downstream DNS, URL, threat and DLP inspection</x:v>
      </x:c>
      <x:c r="G53" s="228" t="str">
        <x:v>Tunneling &amp; Egress</x:v>
      </x:c>
      <x:c r="H53" s="229" t="str">
        <x:v>SRC-55</x:v>
      </x:c>
    </x:row>
    <x:row r="54">
      <x:c r="A54" s="220" t="str">
        <x:v>THR-53</x:v>
      </x:c>
      <x:c r="B54" s="228" t="str">
        <x:v>Encrypted or unsupported file bypass</x:v>
      </x:c>
      <x:c r="C54" s="228" t="str">
        <x:v>A file cannot be inspected and is released.</x:v>
      </x:c>
      <x:c r="D54" s="228" t="str">
        <x:v>Conditional</x:v>
      </x:c>
      <x:c r="E54" s="228" t="str">
        <x:v>File policy determines residual risk.</x:v>
      </x:c>
      <x:c r="F54" s="228" t="str">
        <x:v>Block, remote view or controlled escalation</x:v>
      </x:c>
      <x:c r="G54" s="228" t="str">
        <x:v>Files &amp; Content</x:v>
      </x:c>
      <x:c r="H54" s="229" t="str">
        <x:v>SRC-57</x:v>
      </x:c>
    </x:row>
    <x:row r="55">
      <x:c r="A55" s="223" t="str">
        <x:v>THR-54</x:v>
      </x:c>
      <x:c r="B55" s="230" t="str">
        <x:v>Mobile feature bypass</x:v>
      </x:c>
      <x:c r="C55" s="230" t="str">
        <x:v>Mobile lacks posture, DLP, file, extension or account controls.</x:v>
      </x:c>
      <x:c r="D55" s="230" t="str">
        <x:v>None</x:v>
      </x:c>
      <x:c r="E55" s="230" t="str">
        <x:v>Mobile parity cannot be assumed.</x:v>
      </x:c>
      <x:c r="F55" s="230" t="str">
        <x:v>Mobile capability matrix and restricted policy</x:v>
      </x:c>
      <x:c r="G55" s="230" t="str">
        <x:v>Enterprise Browser Security</x:v>
      </x:c>
      <x:c r="H55" s="231" t="str">
        <x:v>SRC-53</x:v>
      </x:c>
    </x:row>
    <x:row r="56">
      <x:c r="A56" s="285" t="str">
        <x:v>THR-55</x:v>
      </x:c>
      <x:c r="B56" s="293" t="str">
        <x:v>Device-code phishing</x:v>
      </x:c>
      <x:c r="C56" s="293" t="str">
        <x:v>Victim authorizes attacker session through OAuth device flow.</x:v>
      </x:c>
      <x:c r="D56" s="293" t="str">
        <x:v>Low</x:v>
      </x:c>
      <x:c r="E56" s="293" t="str">
        <x:v>RBI does not validate token intent.</x:v>
      </x:c>
      <x:c r="F56" s="293" t="str">
        <x:v>Device-code restriction, token monitoring and device registration control</x:v>
      </x:c>
      <x:c r="G56" s="293" t="str">
        <x:v>Nation-State Web Defense; Identity</x:v>
      </x:c>
      <x:c r="H56" s="294" t="str">
        <x:v>SRC-71</x:v>
      </x:c>
    </x:row>
    <x:row r="57">
      <x:c r="A57" s="288" t="str">
        <x:v>THR-56</x:v>
      </x:c>
      <x:c r="B57" s="228" t="str">
        <x:v>OAuth consent and app persistence</x:v>
      </x:c>
      <x:c r="C57" s="228" t="str">
        <x:v>User or compromised account grants high-risk permissions to a malicious application.</x:v>
      </x:c>
      <x:c r="D57" s="228" t="str">
        <x:v>Low</x:v>
      </x:c>
      <x:c r="E57" s="228" t="str">
        <x:v>Action may be legitimate from browser perspective.</x:v>
      </x:c>
      <x:c r="F57" s="228" t="str">
        <x:v>Consent governance, service-principal inventory and revocation</x:v>
      </x:c>
      <x:c r="G57" s="228" t="str">
        <x:v>Nation-State Web Defense</x:v>
      </x:c>
      <x:c r="H57" s="295" t="str">
        <x:v>SRC-94</x:v>
      </x:c>
    </x:row>
    <x:row r="58">
      <x:c r="A58" s="288" t="str">
        <x:v>THR-57</x:v>
      </x:c>
      <x:c r="B58" s="228" t="str">
        <x:v>Captive-portal manipulation</x:v>
      </x:c>
      <x:c r="C58" s="228" t="str">
        <x:v>DNS or HTTP traffic is altered on travel networks to redirect users.</x:v>
      </x:c>
      <x:c r="D58" s="228" t="str">
        <x:v>Low</x:v>
      </x:c>
      <x:c r="E58" s="228" t="str">
        <x:v>Requires network and identity validation.</x:v>
      </x:c>
      <x:c r="F58" s="228" t="str">
        <x:v>Travel mode, DNS/HTTP manipulation detection and token binding</x:v>
      </x:c>
      <x:c r="G58" s="228" t="str">
        <x:v>Nation-State Web Defense</x:v>
      </x:c>
      <x:c r="H58" s="295" t="str">
        <x:v>SRC-72</x:v>
      </x:c>
    </x:row>
    <x:row r="59">
      <x:c r="A59" s="288" t="str">
        <x:v>THR-58</x:v>
      </x:c>
      <x:c r="B59" s="228" t="str">
        <x:v>Strategic web compromise</x:v>
      </x:c>
      <x:c r="C59" s="228" t="str">
        <x:v>Trusted websites are compromised for selected audiences.</x:v>
      </x:c>
      <x:c r="D59" s="228" t="str">
        <x:v>High</x:v>
      </x:c>
      <x:c r="E59" s="228" t="str">
        <x:v>RBI contains browser code.</x:v>
      </x:c>
      <x:c r="F59" s="228" t="str">
        <x:v>Threat-informed isolation and emergency zero-day profile</x:v>
      </x:c>
      <x:c r="G59" s="228" t="str">
        <x:v>Nation-State Web Defense</x:v>
      </x:c>
      <x:c r="H59" s="295" t="str">
        <x:v>SRC-75</x:v>
      </x:c>
    </x:row>
    <x:row r="60">
      <x:c r="A60" s="288" t="str">
        <x:v>THR-59</x:v>
      </x:c>
      <x:c r="B60" s="228" t="str">
        <x:v>Edge-device exploitation</x:v>
      </x:c>
      <x:c r="C60" s="228" t="str">
        <x:v>VPN, firewall, mail or management appliance is exploited.</x:v>
      </x:c>
      <x:c r="D60" s="228" t="str">
        <x:v>None</x:v>
      </x:c>
      <x:c r="E60" s="228" t="str">
        <x:v>Outside endpoint browsing scope.</x:v>
      </x:c>
      <x:c r="F60" s="228" t="str">
        <x:v>EASM, KEV patching and management-plane protection</x:v>
      </x:c>
      <x:c r="G60" s="228" t="str">
        <x:v>Public-Facing Web Security</x:v>
      </x:c>
      <x:c r="H60" s="295" t="str">
        <x:v>SRC-81</x:v>
      </x:c>
    </x:row>
    <x:row r="61">
      <x:c r="A61" s="288" t="str">
        <x:v>THR-60</x:v>
      </x:c>
      <x:c r="B61" s="228" t="str">
        <x:v>Web-shell persistence</x:v>
      </x:c>
      <x:c r="C61" s="228" t="str">
        <x:v>A server-side script or component provides remote access.</x:v>
      </x:c>
      <x:c r="D61" s="228" t="str">
        <x:v>None</x:v>
      </x:c>
      <x:c r="E61" s="228" t="str">
        <x:v>RBI does not protect servers.</x:v>
      </x:c>
      <x:c r="F61" s="228" t="str">
        <x:v>Web-shell file, process and egress detection</x:v>
      </x:c>
      <x:c r="G61" s="228" t="str">
        <x:v>Public-Facing Web Security</x:v>
      </x:c>
      <x:c r="H61" s="295" t="str">
        <x:v>SRC-93</x:v>
      </x:c>
    </x:row>
    <x:row r="62">
      <x:c r="A62" s="288" t="str">
        <x:v>THR-61</x:v>
      </x:c>
      <x:c r="B62" s="228" t="str">
        <x:v>Compromised router proxying</x:v>
      </x:c>
      <x:c r="C62" s="228" t="str">
        <x:v>Actor traffic is relayed through SOHO or residential infrastructure.</x:v>
      </x:c>
      <x:c r="D62" s="228" t="str">
        <x:v>None</x:v>
      </x:c>
      <x:c r="E62" s="228" t="str">
        <x:v>RBI cannot establish source attribution alone.</x:v>
      </x:c>
      <x:c r="F62" s="228" t="str">
        <x:v>Proxy reputation and behavioral risk</x:v>
      </x:c>
      <x:c r="G62" s="228" t="str">
        <x:v>Public-Facing Web Security</x:v>
      </x:c>
      <x:c r="H62" s="295" t="str">
        <x:v>SRC-76</x:v>
      </x:c>
    </x:row>
    <x:row r="63">
      <x:c r="A63" s="288" t="str">
        <x:v>THR-62</x:v>
      </x:c>
      <x:c r="B63" s="228" t="str">
        <x:v>Malicious package dependency</x:v>
      </x:c>
      <x:c r="C63" s="228" t="str">
        <x:v>A software dependency installs malware or contacts C2.</x:v>
      </x:c>
      <x:c r="D63" s="228" t="str">
        <x:v>None</x:v>
      </x:c>
      <x:c r="E63" s="228" t="str">
        <x:v>Package managers may operate outside the browser.</x:v>
      </x:c>
      <x:c r="F63" s="228" t="str">
        <x:v>Approved registries, integrity and egress controls</x:v>
      </x:c>
      <x:c r="G63" s="228" t="str">
        <x:v>Software Supply Chain</x:v>
      </x:c>
      <x:c r="H63" s="295" t="str">
        <x:v>SRC-89</x:v>
      </x:c>
    </x:row>
    <x:row r="64">
      <x:c r="A64" s="288" t="str">
        <x:v>THR-63</x:v>
      </x:c>
      <x:c r="B64" s="228" t="str">
        <x:v>Third-party SaaS integration compromise</x:v>
      </x:c>
      <x:c r="C64" s="228" t="str">
        <x:v>Stolen API keys or OAuth tokens provide downstream customer access.</x:v>
      </x:c>
      <x:c r="D64" s="228" t="str">
        <x:v>None</x:v>
      </x:c>
      <x:c r="E64" s="228" t="str">
        <x:v>Browser isolation does not revoke trusted integrations.</x:v>
      </x:c>
      <x:c r="F64" s="228" t="str">
        <x:v>API-key and third-party integration governance</x:v>
      </x:c>
      <x:c r="G64" s="228" t="str">
        <x:v>Nation-State Web Defense</x:v>
      </x:c>
      <x:c r="H64" s="295" t="str">
        <x:v>SRC-82</x:v>
      </x:c>
    </x:row>
    <x:row r="65">
      <x:c r="A65" s="288" t="str">
        <x:v>THR-64</x:v>
      </x:c>
      <x:c r="B65" s="228" t="str">
        <x:v>Fake meeting and ClickFix</x:v>
      </x:c>
      <x:c r="C65" s="228" t="str">
        <x:v>A spoofed collaboration site instructs a user to execute commands.</x:v>
      </x:c>
      <x:c r="D65" s="228" t="str">
        <x:v>Conditional</x:v>
      </x:c>
      <x:c r="E65" s="228" t="str">
        <x:v>Clipboard restrictions help but social engineering remains.</x:v>
      </x:c>
      <x:c r="F65" s="228" t="str">
        <x:v>Meeting-domain verification and shell correlation</x:v>
      </x:c>
      <x:c r="G65" s="228" t="str">
        <x:v>Nation-State Web Defense</x:v>
      </x:c>
      <x:c r="H65" s="295" t="str">
        <x:v>SRC-88</x:v>
      </x:c>
    </x:row>
    <x:row r="66">
      <x:c r="A66" s="288" t="str">
        <x:v>THR-65</x:v>
      </x:c>
      <x:c r="B66" s="228" t="str">
        <x:v>Deepfake persona lure</x:v>
      </x:c>
      <x:c r="C66" s="228" t="str">
        <x:v>Synthetic voice or video establishes trust for a malicious action.</x:v>
      </x:c>
      <x:c r="D66" s="228" t="str">
        <x:v>Low</x:v>
      </x:c>
      <x:c r="E66" s="228" t="str">
        <x:v>Content can be safely displayed but still deceive.</x:v>
      </x:c>
      <x:c r="F66" s="228" t="str">
        <x:v>Out-of-band verification</x:v>
      </x:c>
      <x:c r="G66" s="228" t="str">
        <x:v>Nation-State Web Defense</x:v>
      </x:c>
      <x:c r="H66" s="295" t="str">
        <x:v>SRC-88</x:v>
      </x:c>
    </x:row>
    <x:row r="67">
      <x:c r="A67" s="288" t="str">
        <x:v>THR-66</x:v>
      </x:c>
      <x:c r="B67" s="228" t="str">
        <x:v>Browser credential-store theft</x:v>
      </x:c>
      <x:c r="C67" s="228" t="str">
        <x:v>Local malware or extension steals passwords, cookies and tokens.</x:v>
      </x:c>
      <x:c r="D67" s="228" t="str">
        <x:v>Low</x:v>
      </x:c>
      <x:c r="E67" s="228" t="str">
        <x:v>A compromised endpoint can access local data.</x:v>
      </x:c>
      <x:c r="F67" s="228" t="str">
        <x:v>EDR, extension controls and token replay detection</x:v>
      </x:c>
      <x:c r="G67" s="228" t="str">
        <x:v>Nation-State Web Defense; Identity</x:v>
      </x:c>
      <x:c r="H67" s="295" t="str">
        <x:v>SRC-96</x:v>
      </x:c>
    </x:row>
    <x:row r="68">
      <x:c r="A68" s="288" t="str">
        <x:v>THR-67</x:v>
      </x:c>
      <x:c r="B68" s="228" t="str">
        <x:v>Webmail login lookalike</x:v>
      </x:c>
      <x:c r="C68" s="228" t="str">
        <x:v>Fake Zimbra, OWA or other webmail pages steal credentials.</x:v>
      </x:c>
      <x:c r="D68" s="228" t="str">
        <x:v>Conditional</x:v>
      </x:c>
      <x:c r="E68" s="228" t="str">
        <x:v>Read-only mode must be paired with exact-domain controls.</x:v>
      </x:c>
      <x:c r="F68" s="228" t="str">
        <x:v>Webmail login pinning and phishing-resistant MFA</x:v>
      </x:c>
      <x:c r="G68" s="228" t="str">
        <x:v>Nation-State Web Defense</x:v>
      </x:c>
      <x:c r="H68" s="295" t="str">
        <x:v>SRC-74</x:v>
      </x:c>
    </x:row>
    <x:row r="69">
      <x:c r="A69" s="290" t="str">
        <x:v>THR-68</x:v>
      </x:c>
      <x:c r="B69" s="296" t="str">
        <x:v>Malvertising zero-day delivery</x:v>
      </x:c>
      <x:c r="C69" s="296" t="str">
        <x:v>Compromised ad infrastructure serves exploit content.</x:v>
      </x:c>
      <x:c r="D69" s="296" t="str">
        <x:v>High</x:v>
      </x:c>
      <x:c r="E69" s="296" t="str">
        <x:v>Remote execution contains client code.</x:v>
      </x:c>
      <x:c r="F69" s="296" t="str">
        <x:v>Ad isolation and emergency patching</x:v>
      </x:c>
      <x:c r="G69" s="296" t="str">
        <x:v>Nation-State Web Defense</x:v>
      </x:c>
      <x:c r="H69" s="297" t="str">
        <x:v>SRC-87</x:v>
      </x:c>
    </x:row>
    <x:row r="70">
      <x:c r="A70" s="405" t="str">
        <x:v>THR-69</x:v>
      </x:c>
      <x:c r="B70" s="413" t="str">
        <x:v>Corporate password reuse phishing</x:v>
      </x:c>
      <x:c r="C70" s="413" t="str">
        <x:v>A user enters an enterprise password on a personal, lookalike or malicious site.</x:v>
      </x:c>
      <x:c r="D70" s="413" t="str">
        <x:v>Conditional</x:v>
      </x:c>
      <x:c r="E70" s="413" t="str">
        <x:v>RBI can render the page safely but credential entry remains dangerous.</x:v>
      </x:c>
      <x:c r="F70" s="413" t="str">
        <x:v>Corporate password reuse prevention, phishing-resistant MFA and page analysis</x:v>
      </x:c>
      <x:c r="G70" s="413" t="str">
        <x:v>Identity; Nation-State Web Defense</x:v>
      </x:c>
      <x:c r="H70" s="414" t="str">
        <x:v>SRC-112</x:v>
      </x:c>
    </x:row>
    <x:row r="71">
      <x:c r="A71" s="408" t="str">
        <x:v>THR-70</x:v>
      </x:c>
      <x:c r="B71" s="228" t="str">
        <x:v>Malicious upload to protected web application</x:v>
      </x:c>
      <x:c r="C71" s="228" t="str">
        <x:v>A compromised or unmanaged endpoint uploads malware into a corporate SaaS or web application.</x:v>
      </x:c>
      <x:c r="D71" s="228" t="str">
        <x:v>Conditional</x:v>
      </x:c>
      <x:c r="E71" s="228" t="str">
        <x:v>Reverse RBI controls the channel but requires file inspection.</x:v>
      </x:c>
      <x:c r="F71" s="228" t="str">
        <x:v>Pre-upload emulation or sandboxing and reverse isolation</x:v>
      </x:c>
      <x:c r="G71" s="228" t="str">
        <x:v>Files &amp; Content; Policy &amp; Access</x:v>
      </x:c>
      <x:c r="H71" s="415" t="str">
        <x:v>SRC-113</x:v>
      </x:c>
    </x:row>
    <x:row r="72">
      <x:c r="A72" s="408" t="str">
        <x:v>THR-71</x:v>
      </x:c>
      <x:c r="B72" s="228" t="str">
        <x:v>Steganographic upload exfiltration</x:v>
      </x:c>
      <x:c r="C72" s="228" t="str">
        <x:v>Sensitive data is hidden in an image or document uploaded to an external service.</x:v>
      </x:c>
      <x:c r="D72" s="228" t="str">
        <x:v>Conditional</x:v>
      </x:c>
      <x:c r="E72" s="228" t="str">
        <x:v>Basic upload blocking may not detect hidden data.</x:v>
      </x:c>
      <x:c r="F72" s="228" t="str">
        <x:v>Upload CDR, steganographic detection and DLP</x:v>
      </x:c>
      <x:c r="G72" s="228" t="str">
        <x:v>Files &amp; Content</x:v>
      </x:c>
      <x:c r="H72" s="415" t="str">
        <x:v>SRC-114</x:v>
      </x:c>
    </x:row>
    <x:row r="73">
      <x:c r="A73" s="408" t="str">
        <x:v>THR-72</x:v>
      </x:c>
      <x:c r="B73" s="228" t="str">
        <x:v>Retrospective malware reclassification</x:v>
      </x:c>
      <x:c r="C73" s="228" t="str">
        <x:v>A file initially classified as benign is later determined to be malicious.</x:v>
      </x:c>
      <x:c r="D73" s="228" t="str">
        <x:v>None</x:v>
      </x:c>
      <x:c r="E73" s="228" t="str">
        <x:v>RBI does not remediate a file already released.</x:v>
      </x:c>
      <x:c r="F73" s="228" t="str">
        <x:v>Hash retention, retrospective verdicts and quarantine workflow</x:v>
      </x:c>
      <x:c r="G73" s="228" t="str">
        <x:v>Files &amp; Content; Monitoring &amp; Detection</x:v>
      </x:c>
      <x:c r="H73" s="415" t="str">
        <x:v>SRC-111</x:v>
      </x:c>
    </x:row>
    <x:row r="74">
      <x:c r="A74" s="408" t="str">
        <x:v>THR-73</x:v>
      </x:c>
      <x:c r="B74" s="228" t="str">
        <x:v>Researcher attribution and tracking</x:v>
      </x:c>
      <x:c r="C74" s="228" t="str">
        <x:v>Visited sites identify the organization or researcher through cookies, IP identity and browser fingerprinting.</x:v>
      </x:c>
      <x:c r="D74" s="228" t="str">
        <x:v>Low</x:v>
      </x:c>
      <x:c r="E74" s="228" t="str">
        <x:v>Normal RBI may still expose provider or organizational browsing identity.</x:v>
      </x:c>
      <x:c r="F74" s="228" t="str">
        <x:v>Anonymous research profile, anti-tracking and non-persistent cookies</x:v>
      </x:c>
      <x:c r="G74" s="228" t="str">
        <x:v>Policy &amp; Access</x:v>
      </x:c>
      <x:c r="H74" s="415" t="str">
        <x:v>SRC-116</x:v>
      </x:c>
    </x:row>
    <x:row r="75">
      <x:c r="A75" s="408" t="str">
        <x:v>THR-74</x:v>
      </x:c>
      <x:c r="B75" s="228" t="str">
        <x:v>Unmanaged encrypted traffic visibility gap</x:v>
      </x:c>
      <x:c r="C75" s="228" t="str">
        <x:v>A guest or contractor uses HTTPS without an endpoint inspection agent.</x:v>
      </x:c>
      <x:c r="D75" s="228" t="str">
        <x:v>Conditional</x:v>
      </x:c>
      <x:c r="E75" s="228" t="str">
        <x:v>Isolation can inspect only if TLS policy is enforced in the remote session.</x:v>
      </x:c>
      <x:c r="F75" s="228" t="str">
        <x:v>Agentless in-session HTTPS inspection and policy enforcement</x:v>
      </x:c>
      <x:c r="G75" s="228" t="str">
        <x:v>Policy &amp; Access</x:v>
      </x:c>
      <x:c r="H75" s="415" t="str">
        <x:v>SRC-116</x:v>
      </x:c>
    </x:row>
    <x:row r="76">
      <x:c r="A76" s="408" t="str">
        <x:v>THR-75</x:v>
      </x:c>
      <x:c r="B76" s="228" t="str">
        <x:v>Sensitive data remanence on endpoint</x:v>
      </x:c>
      <x:c r="C76" s="228" t="str">
        <x:v>Application data, cookies or cache artifacts persist locally after isolated access.</x:v>
      </x:c>
      <x:c r="D76" s="228" t="str">
        <x:v>Conditional</x:v>
      </x:c>
      <x:c r="E76" s="228" t="str">
        <x:v>Depends on rendering architecture and local artifact controls.</x:v>
      </x:c>
      <x:c r="F76" s="228" t="str">
        <x:v>Pixel or strict isolation, cache suppression and endpoint artifact testing</x:v>
      </x:c>
      <x:c r="G76" s="228" t="str">
        <x:v>Architecture; Policy &amp; Access</x:v>
      </x:c>
      <x:c r="H76" s="415" t="str">
        <x:v>SRC-116</x:v>
      </x:c>
    </x:row>
    <x:row r="77">
      <x:c r="A77" s="408" t="str">
        <x:v>THR-76</x:v>
      </x:c>
      <x:c r="B77" s="228" t="str">
        <x:v>MCP tool poisoning and tool shadowing</x:v>
      </x:c>
      <x:c r="C77" s="228" t="str">
        <x:v>A malicious MCP service or message manipulates an AI agent's tools or hides malicious tool behavior.</x:v>
      </x:c>
      <x:c r="D77" s="228" t="str">
        <x:v>Low</x:v>
      </x:c>
      <x:c r="E77" s="228" t="str">
        <x:v>RBI contains web execution but not semantic tool abuse.</x:v>
      </x:c>
      <x:c r="F77" s="228" t="str">
        <x:v>MCP semantic inspection, tool authorization and AI action policy</x:v>
      </x:c>
      <x:c r="G77" s="228" t="str">
        <x:v>AI &amp; Agentic Browsing</x:v>
      </x:c>
      <x:c r="H77" s="415" t="str">
        <x:v>SRC-109</x:v>
      </x:c>
    </x:row>
    <x:row r="78">
      <x:c r="A78" s="410" t="str">
        <x:v>THR-77</x:v>
      </x:c>
      <x:c r="B78" s="416" t="str">
        <x:v>Visual zero-day phishing page</x:v>
      </x:c>
      <x:c r="C78" s="416" t="str">
        <x:v>A newly created phishing page visually imitates a legitimate login service before reputation systems classify it.</x:v>
      </x:c>
      <x:c r="D78" s="416" t="str">
        <x:v>Conditional</x:v>
      </x:c>
      <x:c r="E78" s="416" t="str">
        <x:v>Read-only isolation helps, but dynamic credential protection is required.</x:v>
      </x:c>
      <x:c r="F78" s="416" t="str">
        <x:v>Visual, textual and domain similarity analysis with credential-entry block</x:v>
      </x:c>
      <x:c r="G78" s="416" t="str">
        <x:v>Nation-State Web Defense; Identity</x:v>
      </x:c>
      <x:c r="H78" s="417" t="str">
        <x:v>SRC-112</x:v>
      </x:c>
    </x:row>
    <x:row r="79">
      <x:c r="A79" s="454" t="str">
        <x:v>THR-78</x:v>
      </x:c>
      <x:c r="B79" s="462" t="str">
        <x:v>Proxy-only RBI traffic gap</x:v>
      </x:c>
      <x:c r="C79" s="462" t="str">
        <x:v>Only proxy web users are isolated while non-web or unsupported traffic bypasses the control.</x:v>
      </x:c>
      <x:c r="D79" s="462" t="str">
        <x:v>None</x:v>
      </x:c>
      <x:c r="E79" s="462" t="str">
        <x:v>RBI cannot protect traffic outside its steering scope.</x:v>
      </x:c>
      <x:c r="F79" s="462" t="str">
        <x:v>Traffic-scope assurance, egress controls and protocol-specific enforcement</x:v>
      </x:c>
      <x:c r="G79" s="462" t="str">
        <x:v>Architecture; Tunneling &amp; Egress</x:v>
      </x:c>
      <x:c r="H79" s="463" t="str">
        <x:v>SRC-119</x:v>
      </x:c>
    </x:row>
    <x:row r="80">
      <x:c r="A80" s="457" t="str">
        <x:v>THR-79</x:v>
      </x:c>
      <x:c r="B80" s="228" t="str">
        <x:v>Isolation quota exhaustion</x:v>
      </x:c>
      <x:c r="C80" s="228" t="str">
        <x:v>Tenant isolation capacity or entitlement is exhausted and protected browsing becomes unavailable.</x:v>
      </x:c>
      <x:c r="D80" s="228" t="str">
        <x:v>None</x:v>
      </x:c>
      <x:c r="E80" s="228" t="str">
        <x:v>A cloud RBI can become unavailable even when policy requires isolation.</x:v>
      </x:c>
      <x:c r="F80" s="228" t="str">
        <x:v>Quota monitoring, capacity planning and fail-safe fallback</x:v>
      </x:c>
      <x:c r="G80" s="228" t="str">
        <x:v>Resilience</x:v>
      </x:c>
      <x:c r="H80" s="464" t="str">
        <x:v>SRC-120</x:v>
      </x:c>
    </x:row>
    <x:row r="81">
      <x:c r="A81" s="457" t="str">
        <x:v>THR-80</x:v>
      </x:c>
      <x:c r="B81" s="228" t="str">
        <x:v>Incognito security-extension bypass</x:v>
      </x:c>
      <x:c r="C81" s="228" t="str">
        <x:v>Private browsing disables the required browser security extension.</x:v>
      </x:c>
      <x:c r="D81" s="228" t="str">
        <x:v>None</x:v>
      </x:c>
      <x:c r="E81" s="228" t="str">
        <x:v>Extension-based enforcement disappears in the private session.</x:v>
      </x:c>
      <x:c r="F81" s="228" t="str">
        <x:v>Private-browsing restriction or forced extension enablement</x:v>
      </x:c>
      <x:c r="G81" s="228" t="str">
        <x:v>Enterprise Browser Security</x:v>
      </x:c>
      <x:c r="H81" s="464" t="str">
        <x:v>SRC-121</x:v>
      </x:c>
    </x:row>
    <x:row r="82">
      <x:c r="A82" s="457" t="str">
        <x:v>THR-81</x:v>
      </x:c>
      <x:c r="B82" s="228" t="str">
        <x:v>Watermark loss on local copy</x:v>
      </x:c>
      <x:c r="C82" s="228" t="str">
        <x:v>Protected content is saved locally without the on-screen watermark or data marking.</x:v>
      </x:c>
      <x:c r="D82" s="228" t="str">
        <x:v>Low</x:v>
      </x:c>
      <x:c r="E82" s="228" t="str">
        <x:v>RBI may restrict interaction but exported artifacts can lose visual controls.</x:v>
      </x:c>
      <x:c r="F82" s="228" t="str">
        <x:v>Exported-copy protection, DLP and blocking of unsupported save paths</x:v>
      </x:c>
      <x:c r="G82" s="228" t="str">
        <x:v>Interaction Controls</x:v>
      </x:c>
      <x:c r="H82" s="464" t="str">
        <x:v>SRC-121</x:v>
      </x:c>
    </x:row>
    <x:row r="83">
      <x:c r="A83" s="457" t="str">
        <x:v>THR-82</x:v>
      </x:c>
      <x:c r="B83" s="228" t="str">
        <x:v>Inline copy-button policy bypass</x:v>
      </x:c>
      <x:c r="C83" s="228" t="str">
        <x:v>Application-specific UI copies data even when generic paste or clipboard controls are expected to block it.</x:v>
      </x:c>
      <x:c r="D83" s="228" t="str">
        <x:v>Conditional</x:v>
      </x:c>
      <x:c r="E83" s="228" t="str">
        <x:v>Standard clipboard policy may not cover custom page controls.</x:v>
      </x:c>
      <x:c r="F83" s="228" t="str">
        <x:v>Application-specific clipboard testing and compensating controls</x:v>
      </x:c>
      <x:c r="G83" s="228" t="str">
        <x:v>Interaction Controls</x:v>
      </x:c>
      <x:c r="H83" s="464" t="str">
        <x:v>SRC-121</x:v>
      </x:c>
    </x:row>
    <x:row r="84">
      <x:c r="A84" s="459" t="str">
        <x:v>THR-83</x:v>
      </x:c>
      <x:c r="B84" s="465" t="str">
        <x:v>Long-lived isolation auth cookie</x:v>
      </x:c>
      <x:c r="C84" s="465" t="str">
        <x:v>An authorization cookie remains valid longer than the acceptable risk window.</x:v>
      </x:c>
      <x:c r="D84" s="465" t="str">
        <x:v>Low</x:v>
      </x:c>
      <x:c r="E84" s="465" t="str">
        <x:v>RBI protects rendering but long-lived authentication still permits session reuse.</x:v>
      </x:c>
      <x:c r="F84" s="465" t="str">
        <x:v>Risk-based cookie lifetime, reauthentication and token revocation</x:v>
      </x:c>
      <x:c r="G84" s="465" t="str">
        <x:v>Identity</x:v>
      </x:c>
      <x:c r="H84" s="466" t="str">
        <x:v>SRC-125</x:v>
      </x:c>
    </x:row>
  </x:sheetData>
  <x:conditionalFormatting sqref="D2:D41">
    <x:cfRule type="expression" dxfId="4" priority="1">
      <x:formula>D2="High"</x:formula>
    </x:cfRule>
    <x:cfRule type="expression" dxfId="5" priority="2">
      <x:formula>D2="Conditional"</x:formula>
    </x:cfRule>
    <x:cfRule type="expression" dxfId="6" priority="3">
      <x:formula>OR(D2="Low",D2="None")</x:formula>
    </x:cfRule>
  </x:conditionalFormatting>
  <x:pageMargins left="0.7" right="0.7" top="0.75" bottom="0.75" header="0.3" footer="0.3"/>
  <x:tableParts count="1">
    <x:tablePart xmlns:r="http://schemas.openxmlformats.org/officeDocument/2006/relationships" r:id="R4618aafc3e75411e"/>
  </x:tableParts>
</x:worksheet>
</file>

<file path=xl/worksheets/sheet5.xml><?xml version="1.0" encoding="utf-8"?>
<x:worksheet xmlns:x="http://schemas.openxmlformats.org/spreadsheetml/2006/main">
  <x:sheetFormatPr defaultRowHeight="15"/>
  <x:cols>
    <x:col min="1" max="1" width="25" hidden="0" customWidth="1"/>
    <x:col min="2" max="2" width="20" hidden="0" customWidth="1"/>
    <x:col min="3" max="3" width="39" hidden="0" customWidth="1"/>
    <x:col min="4" max="4" width="48" hidden="0" customWidth="1"/>
    <x:col min="5" max="5" width="42" hidden="0" customWidth="1"/>
    <x:col min="6" max="6" width="24" hidden="0" customWidth="1"/>
    <x:col min="7" max="7" width="11" hidden="0" customWidth="1"/>
  </x:cols>
  <x:sheetData>
    <x:row r="1">
      <x:c r="A1" s="12" t="str">
        <x:v>Protocol / Feature</x:v>
      </x:c>
      <x:c r="B1" s="13" t="str">
        <x:v>Transport</x:v>
      </x:c>
      <x:c r="C1" s="13" t="str">
        <x:v>Primary Security Risks</x:v>
      </x:c>
      <x:c r="D1" s="13" t="str">
        <x:v>Required RBI / Network Control</x:v>
      </x:c>
      <x:c r="E1" s="13" t="str">
        <x:v>Required Telemetry</x:v>
      </x:c>
      <x:c r="F1" s="13" t="str">
        <x:v>Recommended Default</x:v>
      </x:c>
      <x:c r="G1" s="14" t="str">
        <x:v>Source ID</x:v>
      </x:c>
    </x:row>
    <x:row r="2">
      <x:c r="A2" s="15" t="str">
        <x:v>HTTP/1.1</x:v>
      </x:c>
      <x:c r="B2" s="30" t="str">
        <x:v>TCP + TLS</x:v>
      </x:c>
      <x:c r="C2" s="30" t="str">
        <x:v>CONNECT tunnels, request smuggling, long polling</x:v>
      </x:c>
      <x:c r="D2" s="30" t="str">
        <x:v>Proxy-aware inspection and normalized parsing</x:v>
      </x:c>
      <x:c r="E2" s="30" t="str">
        <x:v>Log method, host, path, status, bytes, duration</x:v>
      </x:c>
      <x:c r="F2" s="30" t="str">
        <x:v>Allow through governed SWG/RBI</x:v>
      </x:c>
      <x:c r="G2" s="31" t="str">
        <x:v>SRC-05</x:v>
      </x:c>
    </x:row>
    <x:row r="3">
      <x:c r="A3" s="15" t="str">
        <x:v>HTTP/2</x:v>
      </x:c>
      <x:c r="B3" s="30" t="str">
        <x:v>TCP + TLS</x:v>
      </x:c>
      <x:c r="C3" s="30" t="str">
        <x:v>Multiplexed streams, Extended CONNECT, Rapid Reset, downgrade ambiguity</x:v>
      </x:c>
      <x:c r="D3" s="30" t="str">
        <x:v>Native frame and stream parsing; stream quotas; strict translation</x:v>
      </x:c>
      <x:c r="E3" s="30" t="str">
        <x:v>Log stream ID, pseudo-headers, resets, concurrency</x:v>
      </x:c>
      <x:c r="F3" s="30" t="str">
        <x:v>Allow only through HTTP/2-aware enforcement</x:v>
      </x:c>
      <x:c r="G3" s="31" t="str">
        <x:v>SRC-11</x:v>
      </x:c>
    </x:row>
    <x:row r="4">
      <x:c r="A4" s="15" t="str">
        <x:v>HTTP/3</x:v>
      </x:c>
      <x:c r="B4" s="30" t="str">
        <x:v>QUIC over UDP</x:v>
      </x:c>
      <x:c r="C4" s="30" t="str">
        <x:v>Bypass of TCP controls, Alt-Svc changes, connection migration</x:v>
      </x:c>
      <x:c r="D4" s="30" t="str">
        <x:v>Native QUIC and HTTP/3 enforcement or block direct UDP/443</x:v>
      </x:c>
      <x:c r="E4" s="30" t="str">
        <x:v>Log QUIC version, ALPN, connection ID, authority, bytes</x:v>
      </x:c>
      <x:c r="F4" s="30" t="str">
        <x:v>Governed only</x:v>
      </x:c>
      <x:c r="G4" s="31" t="str">
        <x:v>SRC-12</x:v>
      </x:c>
    </x:row>
    <x:row r="5">
      <x:c r="A5" s="15" t="str">
        <x:v>QUIC</x:v>
      </x:c>
      <x:c r="B5" s="30" t="str">
        <x:v>UDP + TLS</x:v>
      </x:c>
      <x:c r="C5" s="30" t="str">
        <x:v>Migration, encrypted metadata, resource abuse</x:v>
      </x:c>
      <x:c r="D5" s="30" t="str">
        <x:v>Identity-aware policy; block unmanaged QUIC</x:v>
      </x:c>
      <x:c r="E5" s="30" t="str">
        <x:v>Log migration, path, version, RTT and volume</x:v>
      </x:c>
      <x:c r="F5" s="30" t="str">
        <x:v>Approved services only</x:v>
      </x:c>
      <x:c r="G5" s="31" t="str">
        <x:v>SRC-13</x:v>
      </x:c>
    </x:row>
    <x:row r="6">
      <x:c r="A6" s="15" t="str">
        <x:v>Extended CONNECT</x:v>
      </x:c>
      <x:c r="B6" s="30" t="str">
        <x:v>HTTP/2 or HTTP/3 stream</x:v>
      </x:c>
      <x:c r="C6" s="30" t="str">
        <x:v>Tunneling of WebSocket and other protocols</x:v>
      </x:c>
      <x:c r="D6" s="30" t="str">
        <x:v>Default deny; allow by :protocol, destination and identity</x:v>
      </x:c>
      <x:c r="E6" s="30" t="str">
        <x:v>Log :protocol, authority, path and stream</x:v>
      </x:c>
      <x:c r="F6" s="30" t="str">
        <x:v>Default deny</x:v>
      </x:c>
      <x:c r="G6" s="31" t="str">
        <x:v>SRC-14</x:v>
      </x:c>
    </x:row>
    <x:row r="7">
      <x:c r="A7" s="15" t="str">
        <x:v>HTTP Datagrams</x:v>
      </x:c>
      <x:c r="B7" s="30" t="str">
        <x:v>HTTP/2 or HTTP/3</x:v>
      </x:c>
      <x:c r="C7" s="30" t="str">
        <x:v>Opaque datagram channels</x:v>
      </x:c>
      <x:c r="D7" s="30" t="str">
        <x:v>Recognize, authorize, rate-limit and record</x:v>
      </x:c>
      <x:c r="E7" s="30" t="str">
        <x:v>Log context ID, count, size and destination</x:v>
      </x:c>
      <x:c r="F7" s="30" t="str">
        <x:v>Default deny unless required</x:v>
      </x:c>
      <x:c r="G7" s="31" t="str">
        <x:v>SRC-16</x:v>
      </x:c>
    </x:row>
    <x:row r="8">
      <x:c r="A8" s="15" t="str">
        <x:v>Capsule Protocol</x:v>
      </x:c>
      <x:c r="B8" s="30" t="str">
        <x:v>HTTP tunnel</x:v>
      </x:c>
      <x:c r="C8" s="30" t="str">
        <x:v>Control messages for tunneled protocols</x:v>
      </x:c>
      <x:c r="D8" s="30" t="str">
        <x:v>Parse and validate capsules; reject unknown types</x:v>
      </x:c>
      <x:c r="E8" s="30" t="str">
        <x:v>Log capsule type and errors</x:v>
      </x:c>
      <x:c r="F8" s="30" t="str">
        <x:v>Default deny unless required</x:v>
      </x:c>
      <x:c r="G8" s="31" t="str">
        <x:v>SRC-16</x:v>
      </x:c>
    </x:row>
    <x:row r="9">
      <x:c r="A9" s="15" t="str">
        <x:v>CONNECT-UDP</x:v>
      </x:c>
      <x:c r="B9" s="30" t="str">
        <x:v>MASQUE over HTTP</x:v>
      </x:c>
      <x:c r="C9" s="30" t="str">
        <x:v>UDP proxy, VPN bypass, covert channel</x:v>
      </x:c>
      <x:c r="D9" s="30" t="str">
        <x:v>Block by default; approved proxy and destination only</x:v>
      </x:c>
      <x:c r="E9" s="30" t="str">
        <x:v>Log target host, port, volume and duration</x:v>
      </x:c>
      <x:c r="F9" s="30" t="str">
        <x:v>Default deny</x:v>
      </x:c>
      <x:c r="G9" s="31" t="str">
        <x:v>SRC-17</x:v>
      </x:c>
    </x:row>
    <x:row r="10">
      <x:c r="A10" s="15" t="str">
        <x:v>CONNECT-IP</x:v>
      </x:c>
      <x:c r="B10" s="30" t="str">
        <x:v>MASQUE over HTTP</x:v>
      </x:c>
      <x:c r="C10" s="30" t="str">
        <x:v>Arbitrary IP tunneling and internal access</x:v>
      </x:c>
      <x:c r="D10" s="30" t="str">
        <x:v>Block by default; prevent private and special-use targets</x:v>
      </x:c>
      <x:c r="E10" s="30" t="str">
        <x:v>Log target prefixes, bytes and duration</x:v>
      </x:c>
      <x:c r="F10" s="30" t="str">
        <x:v>Default deny</x:v>
      </x:c>
      <x:c r="G10" s="31" t="str">
        <x:v>SRC-18</x:v>
      </x:c>
    </x:row>
    <x:row r="11">
      <x:c r="A11" s="15" t="str">
        <x:v>Alt-Svc</x:v>
      </x:c>
      <x:c r="B11" s="30" t="str">
        <x:v>HTTP response advertisement</x:v>
      </x:c>
      <x:c r="C11" s="30" t="str">
        <x:v>Redirects clients to alternate HTTP/3 host or port</x:v>
      </x:c>
      <x:c r="D11" s="30" t="str">
        <x:v>Validate destination and preserve policy across cache</x:v>
      </x:c>
      <x:c r="E11" s="30" t="str">
        <x:v>Log advertisements and connection changes</x:v>
      </x:c>
      <x:c r="F11" s="30" t="str">
        <x:v>Approved destinations only</x:v>
      </x:c>
      <x:c r="G11" s="31" t="str">
        <x:v>SRC-12</x:v>
      </x:c>
    </x:row>
    <x:row r="12">
      <x:c r="A12" s="15" t="str">
        <x:v>QUIC 0-RTT</x:v>
      </x:c>
      <x:c r="B12" s="30" t="str">
        <x:v>Early application data</x:v>
      </x:c>
      <x:c r="C12" s="30" t="str">
        <x:v>Replay of non-idempotent actions</x:v>
      </x:c>
      <x:c r="D12" s="30" t="str">
        <x:v>Disable for auth, payments and privileged changes</x:v>
      </x:c>
      <x:c r="E12" s="30" t="str">
        <x:v>Log early-data use and replay rejection</x:v>
      </x:c>
      <x:c r="F12" s="30" t="str">
        <x:v>Restricted</x:v>
      </x:c>
      <x:c r="G12" s="31" t="str">
        <x:v>SRC-21</x:v>
      </x:c>
    </x:row>
    <x:row r="13">
      <x:c r="A13" s="15" t="str">
        <x:v>WebSocket over HTTP/1.1</x:v>
      </x:c>
      <x:c r="B13" s="30" t="str">
        <x:v>Persistent TCP channel</x:v>
      </x:c>
      <x:c r="C13" s="30" t="str">
        <x:v>C2, interactive shell and exfiltration</x:v>
      </x:c>
      <x:c r="D13" s="30" t="str">
        <x:v>Authorize origin, destination and subprotocol; limits</x:v>
      </x:c>
      <x:c r="E13" s="30" t="str">
        <x:v>Log handshake, messages, duration and volume</x:v>
      </x:c>
      <x:c r="F13" s="30" t="str">
        <x:v>Approved applications only</x:v>
      </x:c>
      <x:c r="G13" s="31" t="str">
        <x:v>SRC-05</x:v>
      </x:c>
    </x:row>
    <x:row r="14">
      <x:c r="A14" s="15" t="str">
        <x:v>WebSocket over HTTP/2</x:v>
      </x:c>
      <x:c r="B14" s="30" t="str">
        <x:v>Extended CONNECT stream</x:v>
      </x:c>
      <x:c r="C14" s="30" t="str">
        <x:v>Multiple tunnels share one connection</x:v>
      </x:c>
      <x:c r="D14" s="30" t="str">
        <x:v>Stream-level authorization and telemetry</x:v>
      </x:c>
      <x:c r="E14" s="30" t="str">
        <x:v>Log :protocol=websocket and stream behavior</x:v>
      </x:c>
      <x:c r="F14" s="30" t="str">
        <x:v>Approved applications only</x:v>
      </x:c>
      <x:c r="G14" s="31" t="str">
        <x:v>SRC-14</x:v>
      </x:c>
    </x:row>
    <x:row r="15">
      <x:c r="A15" s="15" t="str">
        <x:v>WebSocket over HTTP/3</x:v>
      </x:c>
      <x:c r="B15" s="30" t="str">
        <x:v>Extended CONNECT over QUIC</x:v>
      </x:c>
      <x:c r="C15" s="30" t="str">
        <x:v>Persistent datagram-friendly tunnel</x:v>
      </x:c>
      <x:c r="D15" s="30" t="str">
        <x:v>HTTP/3-aware authorization and limits</x:v>
      </x:c>
      <x:c r="E15" s="30" t="str">
        <x:v>Log QUIC and WebSocket session metadata</x:v>
      </x:c>
      <x:c r="F15" s="30" t="str">
        <x:v>Approved applications only</x:v>
      </x:c>
      <x:c r="G15" s="31" t="str">
        <x:v>SRC-15</x:v>
      </x:c>
    </x:row>
    <x:row r="16">
      <x:c r="A16" s="15" t="str">
        <x:v>WebTransport</x:v>
      </x:c>
      <x:c r="B16" s="30" t="str">
        <x:v>HTTP/2 or HTTP/3 streams/datagrams</x:v>
      </x:c>
      <x:c r="C16" s="30" t="str">
        <x:v>Low-level application tunnel</x:v>
      </x:c>
      <x:c r="D16" s="30" t="str">
        <x:v>Disable unknown origins; stream/datagram quotas</x:v>
      </x:c>
      <x:c r="E16" s="30" t="str">
        <x:v>Log origin, session, streams, datagrams and bytes</x:v>
      </x:c>
      <x:c r="F16" s="30" t="str">
        <x:v>Default deny</x:v>
      </x:c>
      <x:c r="G16" s="31" t="str">
        <x:v>SRC-12</x:v>
      </x:c>
    </x:row>
    <x:row r="17">
      <x:c r="A17" s="15" t="str">
        <x:v>Server-Sent Events</x:v>
      </x:c>
      <x:c r="B17" s="30" t="str">
        <x:v>Long-lived HTTP response</x:v>
      </x:c>
      <x:c r="C17" s="30" t="str">
        <x:v>Low-and-slow C2 and persistent tasking</x:v>
      </x:c>
      <x:c r="D17" s="30" t="str">
        <x:v>Duration, destination and data-rate analytics</x:v>
      </x:c>
      <x:c r="E17" s="30" t="str">
        <x:v>Log event rate, duration and bytes</x:v>
      </x:c>
      <x:c r="F17" s="30" t="str">
        <x:v>Risk-based</x:v>
      </x:c>
      <x:c r="G17" s="31" t="str">
        <x:v>SRC-05</x:v>
      </x:c>
    </x:row>
    <x:row r="18">
      <x:c r="A18" s="15" t="str">
        <x:v>DNS over HTTPS</x:v>
      </x:c>
      <x:c r="B18" s="30" t="str">
        <x:v>HTTPS</x:v>
      </x:c>
      <x:c r="C18" s="30" t="str">
        <x:v>Bypass of enterprise DNS and encrypted tunneling</x:v>
      </x:c>
      <x:c r="D18" s="30" t="str">
        <x:v>Force approved resolvers; block public/custom DoH</x:v>
      </x:c>
      <x:c r="E18" s="30" t="str">
        <x:v>Log resolver, user, device and queries at approved service</x:v>
      </x:c>
      <x:c r="F18" s="30" t="str">
        <x:v>Approved resolvers only</x:v>
      </x:c>
      <x:c r="G18" s="31" t="str">
        <x:v>SRC-19</x:v>
      </x:c>
    </x:row>
    <x:row r="19">
      <x:c r="A19" s="15" t="str">
        <x:v>DNS over QUIC</x:v>
      </x:c>
      <x:c r="B19" s="30" t="str">
        <x:v>QUIC</x:v>
      </x:c>
      <x:c r="C19" s="30" t="str">
        <x:v>Bypass of enterprise DNS over UDP</x:v>
      </x:c>
      <x:c r="D19" s="30" t="str">
        <x:v>Block unauthorized DoQ and govern UDP resolver traffic</x:v>
      </x:c>
      <x:c r="E19" s="30" t="str">
        <x:v>Log resolver, QUIC metadata and queries</x:v>
      </x:c>
      <x:c r="F19" s="30" t="str">
        <x:v>Approved resolvers only</x:v>
      </x:c>
      <x:c r="G19" s="31" t="str">
        <x:v>SRC-20</x:v>
      </x:c>
    </x:row>
    <x:row r="20">
      <x:c r="A20" s="15" t="str">
        <x:v>WebRTC DataChannel</x:v>
      </x:c>
      <x:c r="B20" s="30" t="str">
        <x:v>UDP/TCP + DTLS</x:v>
      </x:c>
      <x:c r="C20" s="30" t="str">
        <x:v>Peer-to-peer data exfiltration</x:v>
      </x:c>
      <x:c r="D20" s="30" t="str">
        <x:v>Disable for unknown sites; block local P2P where unnecessary</x:v>
      </x:c>
      <x:c r="E20" s="30" t="str">
        <x:v>Log permission, ICE candidates, peer and volume</x:v>
      </x:c>
      <x:c r="F20" s="30" t="str">
        <x:v>Approved applications only</x:v>
      </x:c>
      <x:c r="G20" s="31" t="str">
        <x:v>SRC-27</x:v>
      </x:c>
    </x:row>
    <x:row r="21">
      <x:c r="A21" s="15" t="str">
        <x:v>STUN</x:v>
      </x:c>
      <x:c r="B21" s="30" t="str">
        <x:v>UDP/TCP</x:v>
      </x:c>
      <x:c r="C21" s="30" t="str">
        <x:v>Public-IP discovery and peer setup</x:v>
      </x:c>
      <x:c r="D21" s="30" t="str">
        <x:v>Restrict to approved servers</x:v>
      </x:c>
      <x:c r="E21" s="30" t="str">
        <x:v>Log destination, user and application</x:v>
      </x:c>
      <x:c r="F21" s="30" t="str">
        <x:v>Approved servers only</x:v>
      </x:c>
      <x:c r="G21" s="31" t="str">
        <x:v>SRC-27</x:v>
      </x:c>
    </x:row>
    <x:row r="22">
      <x:c r="A22" s="15" t="str">
        <x:v>TURN</x:v>
      </x:c>
      <x:c r="B22" s="30" t="str">
        <x:v>UDP/TCP/TLS</x:v>
      </x:c>
      <x:c r="C22" s="30" t="str">
        <x:v>Relay can become alternate egress path</x:v>
      </x:c>
      <x:c r="D22" s="30" t="str">
        <x:v>Approved enterprise relays only; quotas</x:v>
      </x:c>
      <x:c r="E22" s="30" t="str">
        <x:v>Log relay, peer, duration and bytes</x:v>
      </x:c>
      <x:c r="F22" s="30" t="str">
        <x:v>Approved relays only</x:v>
      </x:c>
      <x:c r="G22" s="31" t="str">
        <x:v>SRC-27</x:v>
      </x:c>
    </x:row>
    <x:row r="23">
      <x:c r="A23" s="15" t="str">
        <x:v>WebAssembly</x:v>
      </x:c>
      <x:c r="B23" s="30" t="str">
        <x:v>Browser bytecode</x:v>
      </x:c>
      <x:c r="C23" s="30" t="str">
        <x:v>Obfuscated code, cryptomining, exploitation</x:v>
      </x:c>
      <x:c r="D23" s="30" t="str">
        <x:v>Remote-only execution or block</x:v>
      </x:c>
      <x:c r="E23" s="30" t="str">
        <x:v>Log module origin, size and resource use</x:v>
      </x:c>
      <x:c r="F23" s="30" t="str">
        <x:v>Remote-only</x:v>
      </x:c>
      <x:c r="G23" s="31" t="str">
        <x:v>SRC-23</x:v>
      </x:c>
    </x:row>
    <x:row r="24">
      <x:c r="A24" s="15" t="str">
        <x:v>WebGPU / WebGL</x:v>
      </x:c>
      <x:c r="B24" s="30" t="str">
        <x:v>Browser GPU APIs</x:v>
      </x:c>
      <x:c r="C24" s="30" t="str">
        <x:v>Driver attack surface, fingerprinting and resource abuse</x:v>
      </x:c>
      <x:c r="D24" s="30" t="str">
        <x:v>Remote GPU or block for unknown sites</x:v>
      </x:c>
      <x:c r="E24" s="30" t="str">
        <x:v>Log permission and resource use where supported</x:v>
      </x:c>
      <x:c r="F24" s="30" t="str">
        <x:v>Restricted</x:v>
      </x:c>
      <x:c r="G24" s="31" t="str">
        <x:v>SRC-27</x:v>
      </x:c>
    </x:row>
    <x:row r="25">
      <x:c r="A25" s="18" t="str">
        <x:v>WebUSB / WebBluetooth</x:v>
      </x:c>
      <x:c r="B25" s="33" t="str">
        <x:v>Browser device APIs</x:v>
      </x:c>
      <x:c r="C25" s="33" t="str">
        <x:v>Access to local hardware and wallets</x:v>
      </x:c>
      <x:c r="D25" s="33" t="str">
        <x:v>No device redirection by default</x:v>
      </x:c>
      <x:c r="E25" s="33" t="str">
        <x:v>Log permission and device class</x:v>
      </x:c>
      <x:c r="F25" s="33" t="str">
        <x:v>Default deny</x:v>
      </x:c>
      <x:c r="G25" s="34" t="str">
        <x:v>SRC-03</x:v>
      </x:c>
    </x:row>
  </x:sheetData>
  <x:pageMargins left="0.7" right="0.7" top="0.75" bottom="0.75" header="0.3" footer="0.3"/>
  <x:tableParts count="1">
    <x:tablePart xmlns:r="http://schemas.openxmlformats.org/officeDocument/2006/relationships" r:id="R68307fed172342d3"/>
  </x:tableParts>
</x:worksheet>
</file>

<file path=xl/worksheets/sheet6.xml><?xml version="1.0" encoding="utf-8"?>
<x:worksheet xmlns:x="http://schemas.openxmlformats.org/spreadsheetml/2006/main">
  <x:sheetFormatPr defaultRowHeight="15"/>
  <x:cols>
    <x:col min="1" max="1" width="26" hidden="0" customWidth="1"/>
    <x:col min="2" max="2" width="24" hidden="0" customWidth="1"/>
    <x:col min="3" max="3" width="19" hidden="0" customWidth="1"/>
    <x:col min="4" max="4" width="12" hidden="0" customWidth="1"/>
    <x:col min="5" max="5" width="25" hidden="0" customWidth="1"/>
    <x:col min="6" max="6" width="18" hidden="0" customWidth="1"/>
    <x:col min="7" max="7" width="22" hidden="0" customWidth="1"/>
    <x:col min="8" max="8" width="20" hidden="0" customWidth="1"/>
    <x:col min="9" max="9" width="35" hidden="0" customWidth="1"/>
    <x:col min="10" max="10" width="35" hidden="0" customWidth="1"/>
    <x:col min="11" max="11" width="24" hidden="0" customWidth="1"/>
    <x:col min="12" max="12" width="14" hidden="0" customWidth="1"/>
    <x:col min="13" max="13" width="14" hidden="0" customWidth="1"/>
    <x:col min="14" max="14" width="22" hidden="0" customWidth="1"/>
    <x:col min="15" max="15" width="16" hidden="0" customWidth="1"/>
    <x:col min="16" max="16" width="34" hidden="0" customWidth="1"/>
  </x:cols>
  <x:sheetData>
    <x:row r="1">
      <x:c r="A1" s="55" t="str">
        <x:v>Browser Extension and Plug-in Governance</x:v>
      </x:c>
      <x:c r="B1" s="55"/>
      <x:c r="C1" s="55"/>
      <x:c r="D1" s="55"/>
      <x:c r="E1" s="55"/>
      <x:c r="F1" s="55"/>
      <x:c r="G1" s="55"/>
      <x:c r="H1" s="55"/>
      <x:c r="I1" s="55"/>
      <x:c r="J1" s="55"/>
      <x:c r="K1" s="55"/>
      <x:c r="L1" s="55"/>
      <x:c r="M1" s="55"/>
      <x:c r="N1" s="55"/>
      <x:c r="O1" s="55"/>
      <x:c r="P1" s="55"/>
    </x:row>
    <x:row r="2">
      <x:c r="A2" s="61" t="str">
        <x:v>Author: Yuval Sinay | Version 1.0 | 07.08.2026</x:v>
      </x:c>
      <x:c r="B2" s="61"/>
      <x:c r="C2" s="61"/>
      <x:c r="D2" s="61"/>
      <x:c r="E2" s="61"/>
      <x:c r="F2" s="61"/>
      <x:c r="G2" s="61"/>
      <x:c r="H2" s="61"/>
      <x:c r="I2" s="61"/>
      <x:c r="J2" s="61"/>
      <x:c r="K2" s="61"/>
      <x:c r="L2" s="61"/>
      <x:c r="M2" s="61"/>
      <x:c r="N2" s="61"/>
      <x:c r="O2" s="61"/>
      <x:c r="P2" s="61"/>
    </x:row>
    <x:row r="4">
      <x:c r="A4" s="66" t="str">
        <x:v>Required Operating Model</x:v>
      </x:c>
      <x:c r="B4" s="66"/>
      <x:c r="C4" s="66"/>
      <x:c r="D4" s="66"/>
      <x:c r="E4" s="66"/>
      <x:c r="F4" s="66"/>
      <x:c r="G4" s="66"/>
      <x:c r="H4" s="66"/>
      <x:c r="I4" s="66"/>
      <x:c r="J4" s="66"/>
      <x:c r="K4" s="66"/>
      <x:c r="L4" s="66"/>
      <x:c r="M4" s="66"/>
      <x:c r="N4" s="66"/>
      <x:c r="O4" s="66"/>
      <x:c r="P4" s="66"/>
    </x:row>
    <x:row r="5">
      <x:c r="A5" s="12" t="str">
        <x:v>Control Principle</x:v>
      </x:c>
      <x:c r="B5" s="14" t="str">
        <x:v>Mandatory Outcome</x:v>
      </x:c>
    </x:row>
    <x:row r="6">
      <x:c r="A6" s="29" t="str">
        <x:v>Default deny</x:v>
      </x:c>
      <x:c r="B6" s="31" t="str">
        <x:v>All extensions, plug-ins, user scripts and add-ons are blocked unless explicitly approved.</x:v>
      </x:c>
    </x:row>
    <x:row r="7">
      <x:c r="A7" s="29" t="str">
        <x:v>Continuous inventory</x:v>
      </x:c>
      <x:c r="B7" s="31" t="str">
        <x:v>Local and remote browser inventories are reconciled with endpoint and management telemetry.</x:v>
      </x:c>
    </x:row>
    <x:row r="8">
      <x:c r="A8" s="29" t="str">
        <x:v>Permission minimization</x:v>
      </x:c>
      <x:c r="B8" s="31" t="str">
        <x:v>Cookie, host, clipboard, webRequest, native messaging, download and injection access are minimized.</x:v>
      </x:c>
    </x:row>
    <x:row r="9">
      <x:c r="A9" s="29" t="str">
        <x:v>Local / remote separation</x:v>
      </x:c>
      <x:c r="B9" s="31" t="str">
        <x:v>Local extensions cannot access isolated DOM, cookies, content or remote-browser storage.</x:v>
      </x:c>
    </x:row>
    <x:row r="10">
      <x:c r="A10" s="29" t="str">
        <x:v>Emergency removal</x:v>
      </x:c>
      <x:c r="B10" s="31" t="str">
        <x:v>Security can force-disable and remove malicious or vulnerable extensions across all browsers.</x:v>
      </x:c>
    </x:row>
    <x:row r="11">
      <x:c r="A11" s="29" t="str">
        <x:v>Update governance</x:v>
      </x:c>
      <x:c r="B11" s="31" t="str">
        <x:v>Publisher, ownership, update URL, version and permission changes trigger reassessment.</x:v>
      </x:c>
    </x:row>
    <x:row r="12">
      <x:c r="A12" s="29" t="str">
        <x:v>Behavioral detection</x:v>
      </x:c>
      <x:c r="B12" s="31" t="str">
        <x:v>Extension installation is correlated with suspicious files, processes and outbound connections.</x:v>
      </x:c>
    </x:row>
    <x:row r="13">
      <x:c r="A13" s="32" t="str">
        <x:v>Quarterly recertification</x:v>
      </x:c>
      <x:c r="B13" s="34" t="str">
        <x:v>Every approved extension retains an owner, business need and current risk decision.</x:v>
      </x:c>
    </x:row>
    <x:row r="16">
      <x:c r="A16" s="66" t="str">
        <x:v>Extension and Plug-in Inventory Template</x:v>
      </x:c>
      <x:c r="B16" s="66"/>
      <x:c r="C16" s="66"/>
      <x:c r="D16" s="66"/>
      <x:c r="E16" s="66"/>
      <x:c r="F16" s="66"/>
      <x:c r="G16" s="66"/>
      <x:c r="H16" s="66"/>
      <x:c r="I16" s="66"/>
      <x:c r="J16" s="66"/>
      <x:c r="K16" s="66"/>
      <x:c r="L16" s="66"/>
      <x:c r="M16" s="66"/>
      <x:c r="N16" s="66"/>
      <x:c r="O16" s="66"/>
      <x:c r="P16" s="66"/>
    </x:row>
    <x:row r="17">
      <x:c r="A17" s="12" t="str">
        <x:v>Extension ID</x:v>
      </x:c>
      <x:c r="B17" s="13" t="str">
        <x:v>Name</x:v>
      </x:c>
      <x:c r="C17" s="13" t="str">
        <x:v>Browser / Profile</x:v>
      </x:c>
      <x:c r="D17" s="13" t="str">
        <x:v>Version</x:v>
      </x:c>
      <x:c r="E17" s="13" t="str">
        <x:v>Publisher / Source</x:v>
      </x:c>
      <x:c r="F17" s="13" t="str">
        <x:v>Installation Mode</x:v>
      </x:c>
      <x:c r="G17" s="13" t="str">
        <x:v>Approval Status</x:v>
      </x:c>
      <x:c r="H17" s="13" t="str">
        <x:v>Business Owner</x:v>
      </x:c>
      <x:c r="I17" s="13" t="str">
        <x:v>Permissions</x:v>
      </x:c>
      <x:c r="J17" s="13" t="str">
        <x:v>Host / URL Access</x:v>
      </x:c>
      <x:c r="K17" s="13" t="str">
        <x:v>Sensitive Data Access</x:v>
      </x:c>
      <x:c r="L17" s="13" t="str">
        <x:v>Risk Rating</x:v>
      </x:c>
      <x:c r="M17" s="13" t="str">
        <x:v>Last Review</x:v>
      </x:c>
      <x:c r="N17" s="13" t="str">
        <x:v>Required Action</x:v>
      </x:c>
      <x:c r="O17" s="13" t="str">
        <x:v>Removal Deadline</x:v>
      </x:c>
      <x:c r="P17" s="14" t="str">
        <x:v>Evidence / Notes</x:v>
      </x:c>
    </x:row>
    <x:row r="18">
      <x:c r="A18" s="29" t="str"/>
      <x:c r="B18" s="30" t="str"/>
      <x:c r="C18" s="30" t="str"/>
      <x:c r="D18" s="30" t="str"/>
      <x:c r="E18" s="30" t="str"/>
      <x:c r="F18" s="30" t="str">
        <x:v>User Installed</x:v>
      </x:c>
      <x:c r="G18" s="30" t="str">
        <x:v>Not Assessed</x:v>
      </x:c>
      <x:c r="H18" s="30" t="str"/>
      <x:c r="I18" s="30" t="str"/>
      <x:c r="J18" s="30" t="str"/>
      <x:c r="K18" s="30" t="str"/>
      <x:c r="L18" s="30" t="str">
        <x:v>Not Assessed</x:v>
      </x:c>
      <x:c r="M18" s="49"/>
      <x:c r="N18" s="30" t="str">
        <x:v>Assess</x:v>
      </x:c>
      <x:c r="O18" s="49"/>
      <x:c r="P18" s="31" t="str"/>
    </x:row>
    <x:row r="19">
      <x:c r="A19" s="29" t="str"/>
      <x:c r="B19" s="30" t="str"/>
      <x:c r="C19" s="30" t="str"/>
      <x:c r="D19" s="30" t="str"/>
      <x:c r="E19" s="30" t="str"/>
      <x:c r="F19" s="30" t="str">
        <x:v>User Installed</x:v>
      </x:c>
      <x:c r="G19" s="30" t="str">
        <x:v>Not Assessed</x:v>
      </x:c>
      <x:c r="H19" s="30" t="str"/>
      <x:c r="I19" s="30" t="str"/>
      <x:c r="J19" s="30" t="str"/>
      <x:c r="K19" s="30" t="str"/>
      <x:c r="L19" s="30" t="str">
        <x:v>Not Assessed</x:v>
      </x:c>
      <x:c r="M19" s="49"/>
      <x:c r="N19" s="30" t="str">
        <x:v>Assess</x:v>
      </x:c>
      <x:c r="O19" s="49"/>
      <x:c r="P19" s="31" t="str"/>
    </x:row>
    <x:row r="20">
      <x:c r="A20" s="29" t="str"/>
      <x:c r="B20" s="30" t="str"/>
      <x:c r="C20" s="30" t="str"/>
      <x:c r="D20" s="30" t="str"/>
      <x:c r="E20" s="30" t="str"/>
      <x:c r="F20" s="30" t="str">
        <x:v>User Installed</x:v>
      </x:c>
      <x:c r="G20" s="30" t="str">
        <x:v>Not Assessed</x:v>
      </x:c>
      <x:c r="H20" s="30" t="str"/>
      <x:c r="I20" s="30" t="str"/>
      <x:c r="J20" s="30" t="str"/>
      <x:c r="K20" s="30" t="str"/>
      <x:c r="L20" s="30" t="str">
        <x:v>Not Assessed</x:v>
      </x:c>
      <x:c r="M20" s="49"/>
      <x:c r="N20" s="30" t="str">
        <x:v>Assess</x:v>
      </x:c>
      <x:c r="O20" s="49"/>
      <x:c r="P20" s="31" t="str"/>
    </x:row>
    <x:row r="21">
      <x:c r="A21" s="29" t="str"/>
      <x:c r="B21" s="30" t="str"/>
      <x:c r="C21" s="30" t="str"/>
      <x:c r="D21" s="30" t="str"/>
      <x:c r="E21" s="30" t="str"/>
      <x:c r="F21" s="30" t="str">
        <x:v>User Installed</x:v>
      </x:c>
      <x:c r="G21" s="30" t="str">
        <x:v>Not Assessed</x:v>
      </x:c>
      <x:c r="H21" s="30" t="str"/>
      <x:c r="I21" s="30" t="str"/>
      <x:c r="J21" s="30" t="str"/>
      <x:c r="K21" s="30" t="str"/>
      <x:c r="L21" s="30" t="str">
        <x:v>Not Assessed</x:v>
      </x:c>
      <x:c r="M21" s="49"/>
      <x:c r="N21" s="30" t="str">
        <x:v>Assess</x:v>
      </x:c>
      <x:c r="O21" s="49"/>
      <x:c r="P21" s="31" t="str"/>
    </x:row>
    <x:row r="22">
      <x:c r="A22" s="29" t="str"/>
      <x:c r="B22" s="30" t="str"/>
      <x:c r="C22" s="30" t="str"/>
      <x:c r="D22" s="30" t="str"/>
      <x:c r="E22" s="30" t="str"/>
      <x:c r="F22" s="30" t="str">
        <x:v>User Installed</x:v>
      </x:c>
      <x:c r="G22" s="30" t="str">
        <x:v>Not Assessed</x:v>
      </x:c>
      <x:c r="H22" s="30" t="str"/>
      <x:c r="I22" s="30" t="str"/>
      <x:c r="J22" s="30" t="str"/>
      <x:c r="K22" s="30" t="str"/>
      <x:c r="L22" s="30" t="str">
        <x:v>Not Assessed</x:v>
      </x:c>
      <x:c r="M22" s="49"/>
      <x:c r="N22" s="30" t="str">
        <x:v>Assess</x:v>
      </x:c>
      <x:c r="O22" s="49"/>
      <x:c r="P22" s="31" t="str"/>
    </x:row>
    <x:row r="23">
      <x:c r="A23" s="29" t="str"/>
      <x:c r="B23" s="30" t="str"/>
      <x:c r="C23" s="30" t="str"/>
      <x:c r="D23" s="30" t="str"/>
      <x:c r="E23" s="30" t="str"/>
      <x:c r="F23" s="30" t="str">
        <x:v>User Installed</x:v>
      </x:c>
      <x:c r="G23" s="30" t="str">
        <x:v>Not Assessed</x:v>
      </x:c>
      <x:c r="H23" s="30" t="str"/>
      <x:c r="I23" s="30" t="str"/>
      <x:c r="J23" s="30" t="str"/>
      <x:c r="K23" s="30" t="str"/>
      <x:c r="L23" s="30" t="str">
        <x:v>Not Assessed</x:v>
      </x:c>
      <x:c r="M23" s="49"/>
      <x:c r="N23" s="30" t="str">
        <x:v>Assess</x:v>
      </x:c>
      <x:c r="O23" s="49"/>
      <x:c r="P23" s="31" t="str"/>
    </x:row>
    <x:row r="24">
      <x:c r="A24" s="29" t="str"/>
      <x:c r="B24" s="30" t="str"/>
      <x:c r="C24" s="30" t="str"/>
      <x:c r="D24" s="30" t="str"/>
      <x:c r="E24" s="30" t="str"/>
      <x:c r="F24" s="30" t="str">
        <x:v>User Installed</x:v>
      </x:c>
      <x:c r="G24" s="30" t="str">
        <x:v>Not Assessed</x:v>
      </x:c>
      <x:c r="H24" s="30" t="str"/>
      <x:c r="I24" s="30" t="str"/>
      <x:c r="J24" s="30" t="str"/>
      <x:c r="K24" s="30" t="str"/>
      <x:c r="L24" s="30" t="str">
        <x:v>Not Assessed</x:v>
      </x:c>
      <x:c r="M24" s="49"/>
      <x:c r="N24" s="30" t="str">
        <x:v>Assess</x:v>
      </x:c>
      <x:c r="O24" s="49"/>
      <x:c r="P24" s="31" t="str"/>
    </x:row>
    <x:row r="25">
      <x:c r="A25" s="29" t="str"/>
      <x:c r="B25" s="30" t="str"/>
      <x:c r="C25" s="30" t="str"/>
      <x:c r="D25" s="30" t="str"/>
      <x:c r="E25" s="30" t="str"/>
      <x:c r="F25" s="30" t="str">
        <x:v>User Installed</x:v>
      </x:c>
      <x:c r="G25" s="30" t="str">
        <x:v>Not Assessed</x:v>
      </x:c>
      <x:c r="H25" s="30" t="str"/>
      <x:c r="I25" s="30" t="str"/>
      <x:c r="J25" s="30" t="str"/>
      <x:c r="K25" s="30" t="str"/>
      <x:c r="L25" s="30" t="str">
        <x:v>Not Assessed</x:v>
      </x:c>
      <x:c r="M25" s="49"/>
      <x:c r="N25" s="30" t="str">
        <x:v>Assess</x:v>
      </x:c>
      <x:c r="O25" s="49"/>
      <x:c r="P25" s="31" t="str"/>
    </x:row>
    <x:row r="26">
      <x:c r="A26" s="29" t="str"/>
      <x:c r="B26" s="30" t="str"/>
      <x:c r="C26" s="30" t="str"/>
      <x:c r="D26" s="30" t="str"/>
      <x:c r="E26" s="30" t="str"/>
      <x:c r="F26" s="30" t="str">
        <x:v>User Installed</x:v>
      </x:c>
      <x:c r="G26" s="30" t="str">
        <x:v>Not Assessed</x:v>
      </x:c>
      <x:c r="H26" s="30" t="str"/>
      <x:c r="I26" s="30" t="str"/>
      <x:c r="J26" s="30" t="str"/>
      <x:c r="K26" s="30" t="str"/>
      <x:c r="L26" s="30" t="str">
        <x:v>Not Assessed</x:v>
      </x:c>
      <x:c r="M26" s="49"/>
      <x:c r="N26" s="30" t="str">
        <x:v>Assess</x:v>
      </x:c>
      <x:c r="O26" s="49"/>
      <x:c r="P26" s="31" t="str"/>
    </x:row>
    <x:row r="27">
      <x:c r="A27" s="29" t="str"/>
      <x:c r="B27" s="30" t="str"/>
      <x:c r="C27" s="30" t="str"/>
      <x:c r="D27" s="30" t="str"/>
      <x:c r="E27" s="30" t="str"/>
      <x:c r="F27" s="30" t="str">
        <x:v>User Installed</x:v>
      </x:c>
      <x:c r="G27" s="30" t="str">
        <x:v>Not Assessed</x:v>
      </x:c>
      <x:c r="H27" s="30" t="str"/>
      <x:c r="I27" s="30" t="str"/>
      <x:c r="J27" s="30" t="str"/>
      <x:c r="K27" s="30" t="str"/>
      <x:c r="L27" s="30" t="str">
        <x:v>Not Assessed</x:v>
      </x:c>
      <x:c r="M27" s="49"/>
      <x:c r="N27" s="30" t="str">
        <x:v>Assess</x:v>
      </x:c>
      <x:c r="O27" s="49"/>
      <x:c r="P27" s="31" t="str"/>
    </x:row>
    <x:row r="28">
      <x:c r="A28" s="29" t="str"/>
      <x:c r="B28" s="30" t="str"/>
      <x:c r="C28" s="30" t="str"/>
      <x:c r="D28" s="30" t="str"/>
      <x:c r="E28" s="30" t="str"/>
      <x:c r="F28" s="30" t="str">
        <x:v>User Installed</x:v>
      </x:c>
      <x:c r="G28" s="30" t="str">
        <x:v>Not Assessed</x:v>
      </x:c>
      <x:c r="H28" s="30" t="str"/>
      <x:c r="I28" s="30" t="str"/>
      <x:c r="J28" s="30" t="str"/>
      <x:c r="K28" s="30" t="str"/>
      <x:c r="L28" s="30" t="str">
        <x:v>Not Assessed</x:v>
      </x:c>
      <x:c r="M28" s="49"/>
      <x:c r="N28" s="30" t="str">
        <x:v>Assess</x:v>
      </x:c>
      <x:c r="O28" s="49"/>
      <x:c r="P28" s="31" t="str"/>
    </x:row>
    <x:row r="29">
      <x:c r="A29" s="29" t="str"/>
      <x:c r="B29" s="30" t="str"/>
      <x:c r="C29" s="30" t="str"/>
      <x:c r="D29" s="30" t="str"/>
      <x:c r="E29" s="30" t="str"/>
      <x:c r="F29" s="30" t="str">
        <x:v>User Installed</x:v>
      </x:c>
      <x:c r="G29" s="30" t="str">
        <x:v>Not Assessed</x:v>
      </x:c>
      <x:c r="H29" s="30" t="str"/>
      <x:c r="I29" s="30" t="str"/>
      <x:c r="J29" s="30" t="str"/>
      <x:c r="K29" s="30" t="str"/>
      <x:c r="L29" s="30" t="str">
        <x:v>Not Assessed</x:v>
      </x:c>
      <x:c r="M29" s="49"/>
      <x:c r="N29" s="30" t="str">
        <x:v>Assess</x:v>
      </x:c>
      <x:c r="O29" s="49"/>
      <x:c r="P29" s="31" t="str"/>
    </x:row>
    <x:row r="30">
      <x:c r="A30" s="29" t="str"/>
      <x:c r="B30" s="30" t="str"/>
      <x:c r="C30" s="30" t="str"/>
      <x:c r="D30" s="30" t="str"/>
      <x:c r="E30" s="30" t="str"/>
      <x:c r="F30" s="30" t="str">
        <x:v>User Installed</x:v>
      </x:c>
      <x:c r="G30" s="30" t="str">
        <x:v>Not Assessed</x:v>
      </x:c>
      <x:c r="H30" s="30" t="str"/>
      <x:c r="I30" s="30" t="str"/>
      <x:c r="J30" s="30" t="str"/>
      <x:c r="K30" s="30" t="str"/>
      <x:c r="L30" s="30" t="str">
        <x:v>Not Assessed</x:v>
      </x:c>
      <x:c r="M30" s="49"/>
      <x:c r="N30" s="30" t="str">
        <x:v>Assess</x:v>
      </x:c>
      <x:c r="O30" s="49"/>
      <x:c r="P30" s="31" t="str"/>
    </x:row>
    <x:row r="31">
      <x:c r="A31" s="29" t="str"/>
      <x:c r="B31" s="30" t="str"/>
      <x:c r="C31" s="30" t="str"/>
      <x:c r="D31" s="30" t="str"/>
      <x:c r="E31" s="30" t="str"/>
      <x:c r="F31" s="30" t="str">
        <x:v>User Installed</x:v>
      </x:c>
      <x:c r="G31" s="30" t="str">
        <x:v>Not Assessed</x:v>
      </x:c>
      <x:c r="H31" s="30" t="str"/>
      <x:c r="I31" s="30" t="str"/>
      <x:c r="J31" s="30" t="str"/>
      <x:c r="K31" s="30" t="str"/>
      <x:c r="L31" s="30" t="str">
        <x:v>Not Assessed</x:v>
      </x:c>
      <x:c r="M31" s="49"/>
      <x:c r="N31" s="30" t="str">
        <x:v>Assess</x:v>
      </x:c>
      <x:c r="O31" s="49"/>
      <x:c r="P31" s="31" t="str"/>
    </x:row>
    <x:row r="32">
      <x:c r="A32" s="29" t="str"/>
      <x:c r="B32" s="30" t="str"/>
      <x:c r="C32" s="30" t="str"/>
      <x:c r="D32" s="30" t="str"/>
      <x:c r="E32" s="30" t="str"/>
      <x:c r="F32" s="30" t="str">
        <x:v>User Installed</x:v>
      </x:c>
      <x:c r="G32" s="30" t="str">
        <x:v>Not Assessed</x:v>
      </x:c>
      <x:c r="H32" s="30" t="str"/>
      <x:c r="I32" s="30" t="str"/>
      <x:c r="J32" s="30" t="str"/>
      <x:c r="K32" s="30" t="str"/>
      <x:c r="L32" s="30" t="str">
        <x:v>Not Assessed</x:v>
      </x:c>
      <x:c r="M32" s="49"/>
      <x:c r="N32" s="30" t="str">
        <x:v>Assess</x:v>
      </x:c>
      <x:c r="O32" s="49"/>
      <x:c r="P32" s="31" t="str"/>
    </x:row>
    <x:row r="33">
      <x:c r="A33" s="29" t="str"/>
      <x:c r="B33" s="30" t="str"/>
      <x:c r="C33" s="30" t="str"/>
      <x:c r="D33" s="30" t="str"/>
      <x:c r="E33" s="30" t="str"/>
      <x:c r="F33" s="30" t="str">
        <x:v>User Installed</x:v>
      </x:c>
      <x:c r="G33" s="30" t="str">
        <x:v>Not Assessed</x:v>
      </x:c>
      <x:c r="H33" s="30" t="str"/>
      <x:c r="I33" s="30" t="str"/>
      <x:c r="J33" s="30" t="str"/>
      <x:c r="K33" s="30" t="str"/>
      <x:c r="L33" s="30" t="str">
        <x:v>Not Assessed</x:v>
      </x:c>
      <x:c r="M33" s="49"/>
      <x:c r="N33" s="30" t="str">
        <x:v>Assess</x:v>
      </x:c>
      <x:c r="O33" s="49"/>
      <x:c r="P33" s="31" t="str"/>
    </x:row>
    <x:row r="34">
      <x:c r="A34" s="29" t="str"/>
      <x:c r="B34" s="30" t="str"/>
      <x:c r="C34" s="30" t="str"/>
      <x:c r="D34" s="30" t="str"/>
      <x:c r="E34" s="30" t="str"/>
      <x:c r="F34" s="30" t="str">
        <x:v>User Installed</x:v>
      </x:c>
      <x:c r="G34" s="30" t="str">
        <x:v>Not Assessed</x:v>
      </x:c>
      <x:c r="H34" s="30" t="str"/>
      <x:c r="I34" s="30" t="str"/>
      <x:c r="J34" s="30" t="str"/>
      <x:c r="K34" s="30" t="str"/>
      <x:c r="L34" s="30" t="str">
        <x:v>Not Assessed</x:v>
      </x:c>
      <x:c r="M34" s="49"/>
      <x:c r="N34" s="30" t="str">
        <x:v>Assess</x:v>
      </x:c>
      <x:c r="O34" s="49"/>
      <x:c r="P34" s="31" t="str"/>
    </x:row>
    <x:row r="35">
      <x:c r="A35" s="29" t="str"/>
      <x:c r="B35" s="30" t="str"/>
      <x:c r="C35" s="30" t="str"/>
      <x:c r="D35" s="30" t="str"/>
      <x:c r="E35" s="30" t="str"/>
      <x:c r="F35" s="30" t="str">
        <x:v>User Installed</x:v>
      </x:c>
      <x:c r="G35" s="30" t="str">
        <x:v>Not Assessed</x:v>
      </x:c>
      <x:c r="H35" s="30" t="str"/>
      <x:c r="I35" s="30" t="str"/>
      <x:c r="J35" s="30" t="str"/>
      <x:c r="K35" s="30" t="str"/>
      <x:c r="L35" s="30" t="str">
        <x:v>Not Assessed</x:v>
      </x:c>
      <x:c r="M35" s="49"/>
      <x:c r="N35" s="30" t="str">
        <x:v>Assess</x:v>
      </x:c>
      <x:c r="O35" s="49"/>
      <x:c r="P35" s="31" t="str"/>
    </x:row>
    <x:row r="36">
      <x:c r="A36" s="29" t="str"/>
      <x:c r="B36" s="30" t="str"/>
      <x:c r="C36" s="30" t="str"/>
      <x:c r="D36" s="30" t="str"/>
      <x:c r="E36" s="30" t="str"/>
      <x:c r="F36" s="30" t="str">
        <x:v>User Installed</x:v>
      </x:c>
      <x:c r="G36" s="30" t="str">
        <x:v>Not Assessed</x:v>
      </x:c>
      <x:c r="H36" s="30" t="str"/>
      <x:c r="I36" s="30" t="str"/>
      <x:c r="J36" s="30" t="str"/>
      <x:c r="K36" s="30" t="str"/>
      <x:c r="L36" s="30" t="str">
        <x:v>Not Assessed</x:v>
      </x:c>
      <x:c r="M36" s="49"/>
      <x:c r="N36" s="30" t="str">
        <x:v>Assess</x:v>
      </x:c>
      <x:c r="O36" s="49"/>
      <x:c r="P36" s="31" t="str"/>
    </x:row>
    <x:row r="37">
      <x:c r="A37" s="29" t="str"/>
      <x:c r="B37" s="30" t="str"/>
      <x:c r="C37" s="30" t="str"/>
      <x:c r="D37" s="30" t="str"/>
      <x:c r="E37" s="30" t="str"/>
      <x:c r="F37" s="30" t="str">
        <x:v>User Installed</x:v>
      </x:c>
      <x:c r="G37" s="30" t="str">
        <x:v>Not Assessed</x:v>
      </x:c>
      <x:c r="H37" s="30" t="str"/>
      <x:c r="I37" s="30" t="str"/>
      <x:c r="J37" s="30" t="str"/>
      <x:c r="K37" s="30" t="str"/>
      <x:c r="L37" s="30" t="str">
        <x:v>Not Assessed</x:v>
      </x:c>
      <x:c r="M37" s="49"/>
      <x:c r="N37" s="30" t="str">
        <x:v>Assess</x:v>
      </x:c>
      <x:c r="O37" s="49"/>
      <x:c r="P37" s="31" t="str"/>
    </x:row>
    <x:row r="38">
      <x:c r="A38" s="29" t="str"/>
      <x:c r="B38" s="30" t="str"/>
      <x:c r="C38" s="30" t="str"/>
      <x:c r="D38" s="30" t="str"/>
      <x:c r="E38" s="30" t="str"/>
      <x:c r="F38" s="30" t="str">
        <x:v>User Installed</x:v>
      </x:c>
      <x:c r="G38" s="30" t="str">
        <x:v>Not Assessed</x:v>
      </x:c>
      <x:c r="H38" s="30" t="str"/>
      <x:c r="I38" s="30" t="str"/>
      <x:c r="J38" s="30" t="str"/>
      <x:c r="K38" s="30" t="str"/>
      <x:c r="L38" s="30" t="str">
        <x:v>Not Assessed</x:v>
      </x:c>
      <x:c r="M38" s="49"/>
      <x:c r="N38" s="30" t="str">
        <x:v>Assess</x:v>
      </x:c>
      <x:c r="O38" s="49"/>
      <x:c r="P38" s="31" t="str"/>
    </x:row>
    <x:row r="39">
      <x:c r="A39" s="29" t="str"/>
      <x:c r="B39" s="30" t="str"/>
      <x:c r="C39" s="30" t="str"/>
      <x:c r="D39" s="30" t="str"/>
      <x:c r="E39" s="30" t="str"/>
      <x:c r="F39" s="30" t="str">
        <x:v>User Installed</x:v>
      </x:c>
      <x:c r="G39" s="30" t="str">
        <x:v>Not Assessed</x:v>
      </x:c>
      <x:c r="H39" s="30" t="str"/>
      <x:c r="I39" s="30" t="str"/>
      <x:c r="J39" s="30" t="str"/>
      <x:c r="K39" s="30" t="str"/>
      <x:c r="L39" s="30" t="str">
        <x:v>Not Assessed</x:v>
      </x:c>
      <x:c r="M39" s="49"/>
      <x:c r="N39" s="30" t="str">
        <x:v>Assess</x:v>
      </x:c>
      <x:c r="O39" s="49"/>
      <x:c r="P39" s="31" t="str"/>
    </x:row>
    <x:row r="40">
      <x:c r="A40" s="29" t="str"/>
      <x:c r="B40" s="30" t="str"/>
      <x:c r="C40" s="30" t="str"/>
      <x:c r="D40" s="30" t="str"/>
      <x:c r="E40" s="30" t="str"/>
      <x:c r="F40" s="30" t="str">
        <x:v>User Installed</x:v>
      </x:c>
      <x:c r="G40" s="30" t="str">
        <x:v>Not Assessed</x:v>
      </x:c>
      <x:c r="H40" s="30" t="str"/>
      <x:c r="I40" s="30" t="str"/>
      <x:c r="J40" s="30" t="str"/>
      <x:c r="K40" s="30" t="str"/>
      <x:c r="L40" s="30" t="str">
        <x:v>Not Assessed</x:v>
      </x:c>
      <x:c r="M40" s="49"/>
      <x:c r="N40" s="30" t="str">
        <x:v>Assess</x:v>
      </x:c>
      <x:c r="O40" s="49"/>
      <x:c r="P40" s="31" t="str"/>
    </x:row>
    <x:row r="41">
      <x:c r="A41" s="29" t="str"/>
      <x:c r="B41" s="30" t="str"/>
      <x:c r="C41" s="30" t="str"/>
      <x:c r="D41" s="30" t="str"/>
      <x:c r="E41" s="30" t="str"/>
      <x:c r="F41" s="30" t="str">
        <x:v>User Installed</x:v>
      </x:c>
      <x:c r="G41" s="30" t="str">
        <x:v>Not Assessed</x:v>
      </x:c>
      <x:c r="H41" s="30" t="str"/>
      <x:c r="I41" s="30" t="str"/>
      <x:c r="J41" s="30" t="str"/>
      <x:c r="K41" s="30" t="str"/>
      <x:c r="L41" s="30" t="str">
        <x:v>Not Assessed</x:v>
      </x:c>
      <x:c r="M41" s="49"/>
      <x:c r="N41" s="30" t="str">
        <x:v>Assess</x:v>
      </x:c>
      <x:c r="O41" s="49"/>
      <x:c r="P41" s="31" t="str"/>
    </x:row>
    <x:row r="42">
      <x:c r="A42" s="29" t="str"/>
      <x:c r="B42" s="30" t="str"/>
      <x:c r="C42" s="30" t="str"/>
      <x:c r="D42" s="30" t="str"/>
      <x:c r="E42" s="30" t="str"/>
      <x:c r="F42" s="30" t="str">
        <x:v>User Installed</x:v>
      </x:c>
      <x:c r="G42" s="30" t="str">
        <x:v>Not Assessed</x:v>
      </x:c>
      <x:c r="H42" s="30" t="str"/>
      <x:c r="I42" s="30" t="str"/>
      <x:c r="J42" s="30" t="str"/>
      <x:c r="K42" s="30" t="str"/>
      <x:c r="L42" s="30" t="str">
        <x:v>Not Assessed</x:v>
      </x:c>
      <x:c r="M42" s="49"/>
      <x:c r="N42" s="30" t="str">
        <x:v>Assess</x:v>
      </x:c>
      <x:c r="O42" s="49"/>
      <x:c r="P42" s="31" t="str"/>
    </x:row>
    <x:row r="43">
      <x:c r="A43" s="29" t="str"/>
      <x:c r="B43" s="30" t="str"/>
      <x:c r="C43" s="30" t="str"/>
      <x:c r="D43" s="30" t="str"/>
      <x:c r="E43" s="30" t="str"/>
      <x:c r="F43" s="30" t="str">
        <x:v>User Installed</x:v>
      </x:c>
      <x:c r="G43" s="30" t="str">
        <x:v>Not Assessed</x:v>
      </x:c>
      <x:c r="H43" s="30" t="str"/>
      <x:c r="I43" s="30" t="str"/>
      <x:c r="J43" s="30" t="str"/>
      <x:c r="K43" s="30" t="str"/>
      <x:c r="L43" s="30" t="str">
        <x:v>Not Assessed</x:v>
      </x:c>
      <x:c r="M43" s="49"/>
      <x:c r="N43" s="30" t="str">
        <x:v>Assess</x:v>
      </x:c>
      <x:c r="O43" s="49"/>
      <x:c r="P43" s="31" t="str"/>
    </x:row>
    <x:row r="44">
      <x:c r="A44" s="29" t="str"/>
      <x:c r="B44" s="30" t="str"/>
      <x:c r="C44" s="30" t="str"/>
      <x:c r="D44" s="30" t="str"/>
      <x:c r="E44" s="30" t="str"/>
      <x:c r="F44" s="30" t="str">
        <x:v>User Installed</x:v>
      </x:c>
      <x:c r="G44" s="30" t="str">
        <x:v>Not Assessed</x:v>
      </x:c>
      <x:c r="H44" s="30" t="str"/>
      <x:c r="I44" s="30" t="str"/>
      <x:c r="J44" s="30" t="str"/>
      <x:c r="K44" s="30" t="str"/>
      <x:c r="L44" s="30" t="str">
        <x:v>Not Assessed</x:v>
      </x:c>
      <x:c r="M44" s="49"/>
      <x:c r="N44" s="30" t="str">
        <x:v>Assess</x:v>
      </x:c>
      <x:c r="O44" s="49"/>
      <x:c r="P44" s="31" t="str"/>
    </x:row>
    <x:row r="45">
      <x:c r="A45" s="29" t="str"/>
      <x:c r="B45" s="30" t="str"/>
      <x:c r="C45" s="30" t="str"/>
      <x:c r="D45" s="30" t="str"/>
      <x:c r="E45" s="30" t="str"/>
      <x:c r="F45" s="30" t="str">
        <x:v>User Installed</x:v>
      </x:c>
      <x:c r="G45" s="30" t="str">
        <x:v>Not Assessed</x:v>
      </x:c>
      <x:c r="H45" s="30" t="str"/>
      <x:c r="I45" s="30" t="str"/>
      <x:c r="J45" s="30" t="str"/>
      <x:c r="K45" s="30" t="str"/>
      <x:c r="L45" s="30" t="str">
        <x:v>Not Assessed</x:v>
      </x:c>
      <x:c r="M45" s="49"/>
      <x:c r="N45" s="30" t="str">
        <x:v>Assess</x:v>
      </x:c>
      <x:c r="O45" s="49"/>
      <x:c r="P45" s="31" t="str"/>
    </x:row>
    <x:row r="46">
      <x:c r="A46" s="29" t="str"/>
      <x:c r="B46" s="30" t="str"/>
      <x:c r="C46" s="30" t="str"/>
      <x:c r="D46" s="30" t="str"/>
      <x:c r="E46" s="30" t="str"/>
      <x:c r="F46" s="30" t="str">
        <x:v>User Installed</x:v>
      </x:c>
      <x:c r="G46" s="30" t="str">
        <x:v>Not Assessed</x:v>
      </x:c>
      <x:c r="H46" s="30" t="str"/>
      <x:c r="I46" s="30" t="str"/>
      <x:c r="J46" s="30" t="str"/>
      <x:c r="K46" s="30" t="str"/>
      <x:c r="L46" s="30" t="str">
        <x:v>Not Assessed</x:v>
      </x:c>
      <x:c r="M46" s="49"/>
      <x:c r="N46" s="30" t="str">
        <x:v>Assess</x:v>
      </x:c>
      <x:c r="O46" s="49"/>
      <x:c r="P46" s="31" t="str"/>
    </x:row>
    <x:row r="47">
      <x:c r="A47" s="32" t="str"/>
      <x:c r="B47" s="33" t="str"/>
      <x:c r="C47" s="33" t="str"/>
      <x:c r="D47" s="33" t="str"/>
      <x:c r="E47" s="33" t="str"/>
      <x:c r="F47" s="33" t="str">
        <x:v>User Installed</x:v>
      </x:c>
      <x:c r="G47" s="33" t="str">
        <x:v>Not Assessed</x:v>
      </x:c>
      <x:c r="H47" s="33" t="str"/>
      <x:c r="I47" s="33" t="str"/>
      <x:c r="J47" s="33" t="str"/>
      <x:c r="K47" s="33" t="str"/>
      <x:c r="L47" s="33" t="str">
        <x:v>Not Assessed</x:v>
      </x:c>
      <x:c r="M47" s="50"/>
      <x:c r="N47" s="33" t="str">
        <x:v>Assess</x:v>
      </x:c>
      <x:c r="O47" s="50"/>
      <x:c r="P47" s="34" t="str"/>
    </x:row>
  </x:sheetData>
  <x:mergeCells>
    <x:mergeCell ref="A1:P1"/>
    <x:mergeCell ref="A2:P2"/>
    <x:mergeCell ref="A4:P4"/>
    <x:mergeCell ref="A16:P16"/>
  </x:mergeCells>
  <x:conditionalFormatting sqref="L18:L47">
    <x:cfRule type="expression" dxfId="7" priority="1">
      <x:formula>L18="Critical"</x:formula>
    </x:cfRule>
  </x:conditionalFormatting>
  <x:conditionalFormatting sqref="G18:G47">
    <x:cfRule type="expression" dxfId="8" priority="2">
      <x:formula>G18="Emergency Block"</x:formula>
    </x:cfRule>
  </x:conditionalFormatting>
  <x:dataValidations count="4">
    <x:dataValidation type="list" sqref="F18:F47">
      <x:formula1>"Blocked,User Installed,Force Installed,Allowlisted,Built-in,Sideloaded,Developer Mode"</x:formula1>
    </x:dataValidation>
    <x:dataValidation type="list" sqref="G18:G47">
      <x:formula1>"Not Assessed,Approved,Conditionally Approved,Rejected,Emergency Block"</x:formula1>
    </x:dataValidation>
    <x:dataValidation type="list" sqref="L18:L47">
      <x:formula1>"Not Assessed,Critical,High,Medium,Low"</x:formula1>
    </x:dataValidation>
    <x:dataValidation type="list" sqref="N18:N47">
      <x:formula1>"Assess,Approve,Restrict Permissions,Update,Disable,Remove Immediately,Monitor"</x:formula1>
    </x:dataValidation>
  </x:dataValidations>
  <x:pageMargins left="0.7" right="0.7" top="0.75" bottom="0.75" header="0.3" footer="0.3"/>
  <x:tableParts count="1">
    <x:tablePart xmlns:r="http://schemas.openxmlformats.org/officeDocument/2006/relationships" r:id="Rf1831102a79c4474"/>
  </x:tableParts>
</x:worksheet>
</file>

<file path=xl/worksheets/sheet7.xml><?xml version="1.0" encoding="utf-8"?>
<x:worksheet xmlns:x="http://schemas.openxmlformats.org/spreadsheetml/2006/main">
  <x:sheetFormatPr defaultRowHeight="15"/>
  <x:cols>
    <x:col min="1" max="1" width="51" hidden="0" customWidth="1"/>
    <x:col min="2" max="2" width="10" hidden="0" customWidth="1"/>
    <x:col min="3" max="3" width="18" hidden="0" customWidth="1"/>
    <x:col min="4" max="4" width="19" hidden="0" customWidth="1"/>
    <x:col min="5" max="5" width="18" hidden="0" customWidth="1"/>
    <x:col min="6" max="6" width="19" hidden="0" customWidth="1"/>
    <x:col min="7" max="7" width="18" hidden="0" customWidth="1"/>
    <x:col min="8" max="8" width="19" hidden="0" customWidth="1"/>
    <x:col min="10" max="10" width="12" hidden="0" customWidth="1"/>
    <x:col min="11" max="11" width="43" hidden="0" customWidth="1"/>
  </x:cols>
  <x:sheetData>
    <x:row r="1">
      <x:c r="A1" s="471" t="str">
        <x:v>RBI and Enterprise Browser Vendor Evaluation Scorecard</x:v>
      </x:c>
      <x:c r="B1" s="471"/>
      <x:c r="C1" s="471"/>
      <x:c r="D1" s="471"/>
      <x:c r="E1" s="471"/>
      <x:c r="F1" s="471"/>
      <x:c r="G1" s="471"/>
      <x:c r="H1" s="471"/>
    </x:row>
    <x:row r="2">
      <x:c r="A2" s="472" t="str">
        <x:v>Author: Yuval Sinay | Version 1.0 | 07.08.2026</x:v>
      </x:c>
      <x:c r="B2" s="472"/>
      <x:c r="C2" s="472"/>
      <x:c r="D2" s="472"/>
      <x:c r="E2" s="472"/>
      <x:c r="F2" s="472"/>
      <x:c r="G2" s="472"/>
      <x:c r="H2" s="472"/>
    </x:row>
    <x:row r="4">
      <x:c r="A4" s="482" t="str">
        <x:v>Capability Domain</x:v>
      </x:c>
      <x:c r="B4" s="483" t="str">
        <x:v>Weight</x:v>
      </x:c>
      <x:c r="C4" s="483" t="str">
        <x:v>Candidate 1 Rating</x:v>
      </x:c>
      <x:c r="D4" s="483" t="str">
        <x:v>Candidate 1 Weighted</x:v>
      </x:c>
      <x:c r="E4" s="483" t="str">
        <x:v>Candidate 2 Rating</x:v>
      </x:c>
      <x:c r="F4" s="483" t="str">
        <x:v>Candidate 2 Weighted</x:v>
      </x:c>
      <x:c r="G4" s="483" t="str">
        <x:v>Candidate 3 Rating</x:v>
      </x:c>
      <x:c r="H4" s="484" t="str">
        <x:v>Candidate 3 Weighted</x:v>
      </x:c>
      <x:c r="J4" s="482" t="str">
        <x:v>Rating</x:v>
      </x:c>
      <x:c r="K4" s="484" t="str">
        <x:v>Interpretation</x:v>
      </x:c>
    </x:row>
    <x:row r="5">
      <x:c r="A5" s="485" t="str">
        <x:v>Verified remote execution boundary</x:v>
      </x:c>
      <x:c r="B5" s="221" t="n">
        <x:v>5</x:v>
      </x:c>
      <x:c r="C5" s="221" t="n">
        <x:v>0</x:v>
      </x:c>
      <x:c r="D5" s="221" t="n">
        <x:f>B5*C5</x:f>
        <x:v>0</x:v>
      </x:c>
      <x:c r="E5" s="221" t="n">
        <x:v>0</x:v>
      </x:c>
      <x:c r="F5" s="221" t="n">
        <x:f>B5*E5</x:f>
        <x:v>0</x:v>
      </x:c>
      <x:c r="G5" s="221" t="n">
        <x:v>0</x:v>
      </x:c>
      <x:c r="H5" s="458" t="n">
        <x:f>B5*G5</x:f>
        <x:v>0</x:v>
      </x:c>
      <x:c r="J5" s="457" t="n">
        <x:v>0</x:v>
      </x:c>
      <x:c r="K5" s="464" t="str">
        <x:v>Not supported or no evidence</x:v>
      </x:c>
    </x:row>
    <x:row r="6">
      <x:c r="A6" s="485" t="str">
        <x:v>Session and tenant isolation</x:v>
      </x:c>
      <x:c r="B6" s="221" t="n">
        <x:v>5</x:v>
      </x:c>
      <x:c r="C6" s="221" t="n">
        <x:v>0</x:v>
      </x:c>
      <x:c r="D6" s="221" t="n">
        <x:f>B6*C6</x:f>
        <x:v>0</x:v>
      </x:c>
      <x:c r="E6" s="221" t="n">
        <x:v>0</x:v>
      </x:c>
      <x:c r="F6" s="221" t="n">
        <x:f>B6*E6</x:f>
        <x:v>0</x:v>
      </x:c>
      <x:c r="G6" s="221" t="n">
        <x:v>0</x:v>
      </x:c>
      <x:c r="H6" s="458" t="n">
        <x:f>B6*G6</x:f>
        <x:v>0</x:v>
      </x:c>
      <x:c r="J6" s="457" t="n">
        <x:v>1</x:v>
      </x:c>
      <x:c r="K6" s="464" t="str">
        <x:v>Marketing claim only</x:v>
      </x:c>
    </x:row>
    <x:row r="7">
      <x:c r="A7" s="485" t="str">
        <x:v>Fail-closed isolation and transition enforcement</x:v>
      </x:c>
      <x:c r="B7" s="221" t="n">
        <x:v>5</x:v>
      </x:c>
      <x:c r="C7" s="221" t="n">
        <x:v>0</x:v>
      </x:c>
      <x:c r="D7" s="221" t="n">
        <x:f>B7*C7</x:f>
        <x:v>0</x:v>
      </x:c>
      <x:c r="E7" s="221" t="n">
        <x:v>0</x:v>
      </x:c>
      <x:c r="F7" s="221" t="n">
        <x:f>B7*E7</x:f>
        <x:v>0</x:v>
      </x:c>
      <x:c r="G7" s="221" t="n">
        <x:v>0</x:v>
      </x:c>
      <x:c r="H7" s="458" t="n">
        <x:f>B7*G7</x:f>
        <x:v>0</x:v>
      </x:c>
      <x:c r="J7" s="457" t="n">
        <x:v>2</x:v>
      </x:c>
      <x:c r="K7" s="464" t="str">
        <x:v>Partial or significant limitations</x:v>
      </x:c>
    </x:row>
    <x:row r="8">
      <x:c r="A8" s="485" t="str">
        <x:v>Execution-location transparency</x:v>
      </x:c>
      <x:c r="B8" s="221" t="n">
        <x:v>5</x:v>
      </x:c>
      <x:c r="C8" s="221" t="n">
        <x:v>0</x:v>
      </x:c>
      <x:c r="D8" s="221" t="n">
        <x:f>B8*C8</x:f>
        <x:v>0</x:v>
      </x:c>
      <x:c r="E8" s="221" t="n">
        <x:v>0</x:v>
      </x:c>
      <x:c r="F8" s="221" t="n">
        <x:f>B8*E8</x:f>
        <x:v>0</x:v>
      </x:c>
      <x:c r="G8" s="221" t="n">
        <x:v>0</x:v>
      </x:c>
      <x:c r="H8" s="458" t="n">
        <x:f>B8*G8</x:f>
        <x:v>0</x:v>
      </x:c>
      <x:c r="J8" s="457" t="n">
        <x:v>3</x:v>
      </x:c>
      <x:c r="K8" s="464" t="str">
        <x:v>Meets baseline requirement</x:v>
      </x:c>
    </x:row>
    <x:row r="9">
      <x:c r="A9" s="485" t="str">
        <x:v>Hybrid-mode policy continuity</x:v>
      </x:c>
      <x:c r="B9" s="221" t="n">
        <x:v>5</x:v>
      </x:c>
      <x:c r="C9" s="221" t="n">
        <x:v>0</x:v>
      </x:c>
      <x:c r="D9" s="221" t="n">
        <x:f>B9*C9</x:f>
        <x:v>0</x:v>
      </x:c>
      <x:c r="E9" s="221" t="n">
        <x:v>0</x:v>
      </x:c>
      <x:c r="F9" s="221" t="n">
        <x:f>B9*E9</x:f>
        <x:v>0</x:v>
      </x:c>
      <x:c r="G9" s="221" t="n">
        <x:v>0</x:v>
      </x:c>
      <x:c r="H9" s="458" t="n">
        <x:f>B9*G9</x:f>
        <x:v>0</x:v>
      </x:c>
      <x:c r="J9" s="457" t="n">
        <x:v>4</x:v>
      </x:c>
      <x:c r="K9" s="464" t="str">
        <x:v>Strong capability with validated controls</x:v>
      </x:c>
    </x:row>
    <x:row r="10">
      <x:c r="A10" s="485" t="str">
        <x:v>Identity and continuous device posture</x:v>
      </x:c>
      <x:c r="B10" s="221" t="n">
        <x:v>4</x:v>
      </x:c>
      <x:c r="C10" s="221" t="n">
        <x:v>0</x:v>
      </x:c>
      <x:c r="D10" s="221" t="n">
        <x:f>B10*C10</x:f>
        <x:v>0</x:v>
      </x:c>
      <x:c r="E10" s="221" t="n">
        <x:v>0</x:v>
      </x:c>
      <x:c r="F10" s="221" t="n">
        <x:f>B10*E10</x:f>
        <x:v>0</x:v>
      </x:c>
      <x:c r="G10" s="221" t="n">
        <x:v>0</x:v>
      </x:c>
      <x:c r="H10" s="458" t="n">
        <x:f>B10*G10</x:f>
        <x:v>0</x:v>
      </x:c>
      <x:c r="J10" s="459" t="n">
        <x:v>5</x:v>
      </x:c>
      <x:c r="K10" s="466" t="str">
        <x:v>Leading capability with independent evidence</x:v>
      </x:c>
    </x:row>
    <x:row r="11">
      <x:c r="A11" s="485" t="str">
        <x:v>Application-instance and tenant awareness</x:v>
      </x:c>
      <x:c r="B11" s="221" t="n">
        <x:v>5</x:v>
      </x:c>
      <x:c r="C11" s="221" t="n">
        <x:v>0</x:v>
      </x:c>
      <x:c r="D11" s="221" t="n">
        <x:f>B11*C11</x:f>
        <x:v>0</x:v>
      </x:c>
      <x:c r="E11" s="221" t="n">
        <x:v>0</x:v>
      </x:c>
      <x:c r="F11" s="221" t="n">
        <x:f>B11*E11</x:f>
        <x:v>0</x:v>
      </x:c>
      <x:c r="G11" s="221" t="n">
        <x:v>0</x:v>
      </x:c>
      <x:c r="H11" s="458" t="n">
        <x:f>B11*G11</x:f>
        <x:v>0</x:v>
      </x:c>
    </x:row>
    <x:row r="12">
      <x:c r="A12" s="485" t="str">
        <x:v>Keyboard, clipboard and browser-interface controls</x:v>
      </x:c>
      <x:c r="B12" s="221" t="n">
        <x:v>4</x:v>
      </x:c>
      <x:c r="C12" s="221" t="n">
        <x:v>0</x:v>
      </x:c>
      <x:c r="D12" s="221" t="n">
        <x:f>B12*C12</x:f>
        <x:v>0</x:v>
      </x:c>
      <x:c r="E12" s="221" t="n">
        <x:v>0</x:v>
      </x:c>
      <x:c r="F12" s="221" t="n">
        <x:f>B12*E12</x:f>
        <x:v>0</x:v>
      </x:c>
      <x:c r="G12" s="221" t="n">
        <x:v>0</x:v>
      </x:c>
      <x:c r="H12" s="458" t="n">
        <x:f>B12*G12</x:f>
        <x:v>0</x:v>
      </x:c>
    </x:row>
    <x:row r="13">
      <x:c r="A13" s="485" t="str">
        <x:v>Upload, download, print and partial-content controls</x:v>
      </x:c>
      <x:c r="B13" s="221" t="n">
        <x:v>5</x:v>
      </x:c>
      <x:c r="C13" s="221" t="n">
        <x:v>0</x:v>
      </x:c>
      <x:c r="D13" s="221" t="n">
        <x:f>B13*C13</x:f>
        <x:v>0</x:v>
      </x:c>
      <x:c r="E13" s="221" t="n">
        <x:v>0</x:v>
      </x:c>
      <x:c r="F13" s="221" t="n">
        <x:f>B13*E13</x:f>
        <x:v>0</x:v>
      </x:c>
      <x:c r="G13" s="221" t="n">
        <x:v>0</x:v>
      </x:c>
      <x:c r="H13" s="458" t="n">
        <x:f>B13*G13</x:f>
        <x:v>0</x:v>
      </x:c>
      <x:c r="J13" s="482" t="str">
        <x:v>Candidate</x:v>
      </x:c>
      <x:c r="K13" s="483" t="str">
        <x:v>Weighted Score</x:v>
      </x:c>
      <x:c r="L13" s="483" t="str">
        <x:v>Maximum</x:v>
      </x:c>
      <x:c r="M13" s="484" t="str">
        <x:v>Percentage</x:v>
      </x:c>
    </x:row>
    <x:row r="14">
      <x:c r="A14" s="485" t="str">
        <x:v>Remote viewing, sandbox, CDR and unsupported-file handling</x:v>
      </x:c>
      <x:c r="B14" s="221" t="n">
        <x:v>5</x:v>
      </x:c>
      <x:c r="C14" s="221" t="n">
        <x:v>0</x:v>
      </x:c>
      <x:c r="D14" s="221" t="n">
        <x:f>B14*C14</x:f>
        <x:v>0</x:v>
      </x:c>
      <x:c r="E14" s="221" t="n">
        <x:v>0</x:v>
      </x:c>
      <x:c r="F14" s="221" t="n">
        <x:f>B14*E14</x:f>
        <x:v>0</x:v>
      </x:c>
      <x:c r="G14" s="221" t="n">
        <x:v>0</x:v>
      </x:c>
      <x:c r="H14" s="458" t="n">
        <x:f>B14*G14</x:f>
        <x:v>0</x:v>
      </x:c>
      <x:c r="J14" s="457" t="str">
        <x:v>Candidate 1</x:v>
      </x:c>
      <x:c r="K14" s="221" t="n">
        <x:f>D72</x:f>
        <x:v>0</x:v>
      </x:c>
      <x:c r="L14" s="221" t="n">
        <x:v>1510</x:v>
      </x:c>
      <x:c r="M14" s="494" t="n">
        <x:f>K14/L14</x:f>
        <x:v>0</x:v>
      </x:c>
    </x:row>
    <x:row r="15">
      <x:c r="A15" s="485" t="str">
        <x:v>Cookie, token and private-navigation security</x:v>
      </x:c>
      <x:c r="B15" s="221" t="n">
        <x:v>5</x:v>
      </x:c>
      <x:c r="C15" s="221" t="n">
        <x:v>0</x:v>
      </x:c>
      <x:c r="D15" s="221" t="n">
        <x:f>B15*C15</x:f>
        <x:v>0</x:v>
      </x:c>
      <x:c r="E15" s="221" t="n">
        <x:v>0</x:v>
      </x:c>
      <x:c r="F15" s="221" t="n">
        <x:f>B15*E15</x:f>
        <x:v>0</x:v>
      </x:c>
      <x:c r="G15" s="221" t="n">
        <x:v>0</x:v>
      </x:c>
      <x:c r="H15" s="458" t="n">
        <x:f>B15*G15</x:f>
        <x:v>0</x:v>
      </x:c>
      <x:c r="J15" s="457" t="str">
        <x:v>Candidate 2</x:v>
      </x:c>
      <x:c r="K15" s="221" t="n">
        <x:f>F72</x:f>
        <x:v>0</x:v>
      </x:c>
      <x:c r="L15" s="221" t="n">
        <x:v>1510</x:v>
      </x:c>
      <x:c r="M15" s="494" t="n">
        <x:f>K15/L15</x:f>
        <x:v>0</x:v>
      </x:c>
    </x:row>
    <x:row r="16">
      <x:c r="A16" s="485" t="str">
        <x:v>HTTP/2 native inspection and resilience</x:v>
      </x:c>
      <x:c r="B16" s="221" t="n">
        <x:v>5</x:v>
      </x:c>
      <x:c r="C16" s="221" t="n">
        <x:v>0</x:v>
      </x:c>
      <x:c r="D16" s="221" t="n">
        <x:f>B16*C16</x:f>
        <x:v>0</x:v>
      </x:c>
      <x:c r="E16" s="221" t="n">
        <x:v>0</x:v>
      </x:c>
      <x:c r="F16" s="221" t="n">
        <x:f>B16*E16</x:f>
        <x:v>0</x:v>
      </x:c>
      <x:c r="G16" s="221" t="n">
        <x:v>0</x:v>
      </x:c>
      <x:c r="H16" s="458" t="n">
        <x:f>B16*G16</x:f>
        <x:v>0</x:v>
      </x:c>
      <x:c r="J16" s="457" t="str">
        <x:v>Candidate 3</x:v>
      </x:c>
      <x:c r="K16" s="221" t="n">
        <x:f>H72</x:f>
        <x:v>0</x:v>
      </x:c>
      <x:c r="L16" s="221" t="n">
        <x:v>1510</x:v>
      </x:c>
      <x:c r="M16" s="494" t="n">
        <x:f>K16/L16</x:f>
        <x:v>0</x:v>
      </x:c>
    </x:row>
    <x:row r="17">
      <x:c r="A17" s="485" t="str">
        <x:v>HTTP/3 and QUIC enforcement</x:v>
      </x:c>
      <x:c r="B17" s="221" t="n">
        <x:v>5</x:v>
      </x:c>
      <x:c r="C17" s="221" t="n">
        <x:v>0</x:v>
      </x:c>
      <x:c r="D17" s="221" t="n">
        <x:f>B17*C17</x:f>
        <x:v>0</x:v>
      </x:c>
      <x:c r="E17" s="221" t="n">
        <x:v>0</x:v>
      </x:c>
      <x:c r="F17" s="221" t="n">
        <x:f>B17*E17</x:f>
        <x:v>0</x:v>
      </x:c>
      <x:c r="G17" s="221" t="n">
        <x:v>0</x:v>
      </x:c>
      <x:c r="H17" s="458" t="n">
        <x:f>B17*G17</x:f>
        <x:v>0</x:v>
      </x:c>
      <x:c r="J17" s="459" t="str">
        <x:v>Minimum acceptable</x:v>
      </x:c>
      <x:c r="K17" s="460"/>
      <x:c r="L17" s="460"/>
      <x:c r="M17" s="495" t="n">
        <x:v>0.7</x:v>
      </x:c>
    </x:row>
    <x:row r="18">
      <x:c r="A18" s="485" t="str">
        <x:v>MASQUE, Extended CONNECT and HTTP Datagram controls</x:v>
      </x:c>
      <x:c r="B18" s="221" t="n">
        <x:v>5</x:v>
      </x:c>
      <x:c r="C18" s="221" t="n">
        <x:v>0</x:v>
      </x:c>
      <x:c r="D18" s="221" t="n">
        <x:f>B18*C18</x:f>
        <x:v>0</x:v>
      </x:c>
      <x:c r="E18" s="221" t="n">
        <x:v>0</x:v>
      </x:c>
      <x:c r="F18" s="221" t="n">
        <x:f>B18*E18</x:f>
        <x:v>0</x:v>
      </x:c>
      <x:c r="G18" s="221" t="n">
        <x:v>0</x:v>
      </x:c>
      <x:c r="H18" s="458" t="n">
        <x:f>B18*G18</x:f>
        <x:v>0</x:v>
      </x:c>
    </x:row>
    <x:row r="19">
      <x:c r="A19" s="485" t="str">
        <x:v>WebSocket, WebTransport, WebRTC and STUN/TURN controls</x:v>
      </x:c>
      <x:c r="B19" s="221" t="n">
        <x:v>4</x:v>
      </x:c>
      <x:c r="C19" s="221" t="n">
        <x:v>0</x:v>
      </x:c>
      <x:c r="D19" s="221" t="n">
        <x:f>B19*C19</x:f>
        <x:v>0</x:v>
      </x:c>
      <x:c r="E19" s="221" t="n">
        <x:v>0</x:v>
      </x:c>
      <x:c r="F19" s="221" t="n">
        <x:f>B19*E19</x:f>
        <x:v>0</x:v>
      </x:c>
      <x:c r="G19" s="221" t="n">
        <x:v>0</x:v>
      </x:c>
      <x:c r="H19" s="458" t="n">
        <x:f>B19*G19</x:f>
        <x:v>0</x:v>
      </x:c>
    </x:row>
    <x:row r="20">
      <x:c r="A20" s="485" t="str">
        <x:v>DNS, DoH and DoQ governance</x:v>
      </x:c>
      <x:c r="B20" s="221" t="n">
        <x:v>4</x:v>
      </x:c>
      <x:c r="C20" s="221" t="n">
        <x:v>0</x:v>
      </x:c>
      <x:c r="D20" s="221" t="n">
        <x:f>B20*C20</x:f>
        <x:v>0</x:v>
      </x:c>
      <x:c r="E20" s="221" t="n">
        <x:v>0</x:v>
      </x:c>
      <x:c r="F20" s="221" t="n">
        <x:f>B20*E20</x:f>
        <x:v>0</x:v>
      </x:c>
      <x:c r="G20" s="221" t="n">
        <x:v>0</x:v>
      </x:c>
      <x:c r="H20" s="458" t="n">
        <x:f>B20*G20</x:f>
        <x:v>0</x:v>
      </x:c>
    </x:row>
    <x:row r="21">
      <x:c r="A21" s="485" t="str">
        <x:v>Certificate-pinned exception governance</x:v>
      </x:c>
      <x:c r="B21" s="221" t="n">
        <x:v>5</x:v>
      </x:c>
      <x:c r="C21" s="221" t="n">
        <x:v>0</x:v>
      </x:c>
      <x:c r="D21" s="221" t="n">
        <x:f>B21*C21</x:f>
        <x:v>0</x:v>
      </x:c>
      <x:c r="E21" s="221" t="n">
        <x:v>0</x:v>
      </x:c>
      <x:c r="F21" s="221" t="n">
        <x:f>B21*E21</x:f>
        <x:v>0</x:v>
      </x:c>
      <x:c r="G21" s="221" t="n">
        <x:v>0</x:v>
      </x:c>
      <x:c r="H21" s="458" t="n">
        <x:f>B21*G21</x:f>
        <x:v>0</x:v>
      </x:c>
    </x:row>
    <x:row r="22">
      <x:c r="A22" s="485" t="str">
        <x:v>AI application, Shadow AI and prompt DLP</x:v>
      </x:c>
      <x:c r="B22" s="221" t="n">
        <x:v>5</x:v>
      </x:c>
      <x:c r="C22" s="221" t="n">
        <x:v>0</x:v>
      </x:c>
      <x:c r="D22" s="221" t="n">
        <x:f>B22*C22</x:f>
        <x:v>0</x:v>
      </x:c>
      <x:c r="E22" s="221" t="n">
        <x:v>0</x:v>
      </x:c>
      <x:c r="F22" s="221" t="n">
        <x:f>B22*E22</x:f>
        <x:v>0</x:v>
      </x:c>
      <x:c r="G22" s="221" t="n">
        <x:v>0</x:v>
      </x:c>
      <x:c r="H22" s="458" t="n">
        <x:f>B22*G22</x:f>
        <x:v>0</x:v>
      </x:c>
    </x:row>
    <x:row r="23">
      <x:c r="A23" s="485" t="str">
        <x:v>Indirect prompt-injection and hidden-instruction defense</x:v>
      </x:c>
      <x:c r="B23" s="221" t="n">
        <x:v>5</x:v>
      </x:c>
      <x:c r="C23" s="221" t="n">
        <x:v>0</x:v>
      </x:c>
      <x:c r="D23" s="221" t="n">
        <x:f>B23*C23</x:f>
        <x:v>0</x:v>
      </x:c>
      <x:c r="E23" s="221" t="n">
        <x:v>0</x:v>
      </x:c>
      <x:c r="F23" s="221" t="n">
        <x:f>B23*E23</x:f>
        <x:v>0</x:v>
      </x:c>
      <x:c r="G23" s="221" t="n">
        <x:v>0</x:v>
      </x:c>
      <x:c r="H23" s="458" t="n">
        <x:f>B23*G23</x:f>
        <x:v>0</x:v>
      </x:c>
    </x:row>
    <x:row r="24">
      <x:c r="A24" s="485" t="str">
        <x:v>AI-agent action authorization and lineage</x:v>
      </x:c>
      <x:c r="B24" s="221" t="n">
        <x:v>5</x:v>
      </x:c>
      <x:c r="C24" s="221" t="n">
        <x:v>0</x:v>
      </x:c>
      <x:c r="D24" s="221" t="n">
        <x:f>B24*C24</x:f>
        <x:v>0</x:v>
      </x:c>
      <x:c r="E24" s="221" t="n">
        <x:v>0</x:v>
      </x:c>
      <x:c r="F24" s="221" t="n">
        <x:f>B24*E24</x:f>
        <x:v>0</x:v>
      </x:c>
      <x:c r="G24" s="221" t="n">
        <x:v>0</x:v>
      </x:c>
      <x:c r="H24" s="458" t="n">
        <x:f>B24*G24</x:f>
        <x:v>0</x:v>
      </x:c>
    </x:row>
    <x:row r="25">
      <x:c r="A25" s="486" t="str">
        <x:v>MCP inventory, access control and DLP</x:v>
      </x:c>
      <x:c r="B25" s="378" t="n">
        <x:v>5</x:v>
      </x:c>
      <x:c r="C25" s="378" t="n">
        <x:v>0</x:v>
      </x:c>
      <x:c r="D25" s="378" t="n">
        <x:f>B25*C25</x:f>
        <x:v>0</x:v>
      </x:c>
      <x:c r="E25" s="378" t="n">
        <x:v>0</x:v>
      </x:c>
      <x:c r="F25" s="378" t="n">
        <x:f>B25*E25</x:f>
        <x:v>0</x:v>
      </x:c>
      <x:c r="G25" s="378" t="n">
        <x:v>0</x:v>
      </x:c>
      <x:c r="H25" s="487" t="n">
        <x:f>B25*G25</x:f>
        <x:v>0</x:v>
      </x:c>
    </x:row>
    <x:row r="26">
      <x:c r="A26" s="485" t="str">
        <x:v>WebAssembly, WebGPU and advanced browser API control</x:v>
      </x:c>
      <x:c r="B26" s="221" t="n">
        <x:v>4</x:v>
      </x:c>
      <x:c r="C26" s="221" t="n">
        <x:v>0</x:v>
      </x:c>
      <x:c r="D26" s="221" t="n">
        <x:f>B26*C26</x:f>
        <x:v>0</x:v>
      </x:c>
      <x:c r="E26" s="221" t="n">
        <x:v>0</x:v>
      </x:c>
      <x:c r="F26" s="221" t="n">
        <x:f>B26*E26</x:f>
        <x:v>0</x:v>
      </x:c>
      <x:c r="G26" s="221" t="n">
        <x:v>0</x:v>
      </x:c>
      <x:c r="H26" s="458" t="n">
        <x:f>B26*G26</x:f>
        <x:v>0</x:v>
      </x:c>
    </x:row>
    <x:row r="27">
      <x:c r="A27" s="485" t="str">
        <x:v>Web3 frontend and signing separation</x:v>
      </x:c>
      <x:c r="B27" s="221" t="n">
        <x:v>3</x:v>
      </x:c>
      <x:c r="C27" s="221" t="n">
        <x:v>0</x:v>
      </x:c>
      <x:c r="D27" s="221" t="n">
        <x:f>B27*C27</x:f>
        <x:v>0</x:v>
      </x:c>
      <x:c r="E27" s="221" t="n">
        <x:v>0</x:v>
      </x:c>
      <x:c r="F27" s="221" t="n">
        <x:f>B27*E27</x:f>
        <x:v>0</x:v>
      </x:c>
      <x:c r="G27" s="221" t="n">
        <x:v>0</x:v>
      </x:c>
      <x:c r="H27" s="458" t="n">
        <x:f>B27*G27</x:f>
        <x:v>0</x:v>
      </x:c>
    </x:row>
    <x:row r="28">
      <x:c r="A28" s="485" t="str">
        <x:v>Extension and malicious plug-in governance</x:v>
      </x:c>
      <x:c r="B28" s="221" t="n">
        <x:v>5</x:v>
      </x:c>
      <x:c r="C28" s="221" t="n">
        <x:v>0</x:v>
      </x:c>
      <x:c r="D28" s="221" t="n">
        <x:f>B28*C28</x:f>
        <x:v>0</x:v>
      </x:c>
      <x:c r="E28" s="221" t="n">
        <x:v>0</x:v>
      </x:c>
      <x:c r="F28" s="221" t="n">
        <x:f>B28*E28</x:f>
        <x:v>0</x:v>
      </x:c>
      <x:c r="G28" s="221" t="n">
        <x:v>0</x:v>
      </x:c>
      <x:c r="H28" s="458" t="n">
        <x:f>B28*G28</x:f>
        <x:v>0</x:v>
      </x:c>
    </x:row>
    <x:row r="29">
      <x:c r="A29" s="485" t="str">
        <x:v>Protected-origin extension isolation</x:v>
      </x:c>
      <x:c r="B29" s="221" t="n">
        <x:v>5</x:v>
      </x:c>
      <x:c r="C29" s="221" t="n">
        <x:v>0</x:v>
      </x:c>
      <x:c r="D29" s="221" t="n">
        <x:f>B29*C29</x:f>
        <x:v>0</x:v>
      </x:c>
      <x:c r="E29" s="221" t="n">
        <x:v>0</x:v>
      </x:c>
      <x:c r="F29" s="221" t="n">
        <x:f>B29*E29</x:f>
        <x:v>0</x:v>
      </x:c>
      <x:c r="G29" s="221" t="n">
        <x:v>0</x:v>
      </x:c>
      <x:c r="H29" s="458" t="n">
        <x:f>B29*G29</x:f>
        <x:v>0</x:v>
      </x:c>
    </x:row>
    <x:row r="30">
      <x:c r="A30" s="485" t="str">
        <x:v>Enforcement-agent integrity</x:v>
      </x:c>
      <x:c r="B30" s="221" t="n">
        <x:v>5</x:v>
      </x:c>
      <x:c r="C30" s="221" t="n">
        <x:v>0</x:v>
      </x:c>
      <x:c r="D30" s="221" t="n">
        <x:f>B30*C30</x:f>
        <x:v>0</x:v>
      </x:c>
      <x:c r="E30" s="221" t="n">
        <x:v>0</x:v>
      </x:c>
      <x:c r="F30" s="221" t="n">
        <x:f>B30*E30</x:f>
        <x:v>0</x:v>
      </x:c>
      <x:c r="G30" s="221" t="n">
        <x:v>0</x:v>
      </x:c>
      <x:c r="H30" s="458" t="n">
        <x:f>B30*G30</x:f>
        <x:v>0</x:v>
      </x:c>
    </x:row>
    <x:row r="31">
      <x:c r="A31" s="485" t="str">
        <x:v>Cross-browser and mobile parity</x:v>
      </x:c>
      <x:c r="B31" s="221" t="n">
        <x:v>4</x:v>
      </x:c>
      <x:c r="C31" s="221" t="n">
        <x:v>0</x:v>
      </x:c>
      <x:c r="D31" s="221" t="n">
        <x:f>B31*C31</x:f>
        <x:v>0</x:v>
      </x:c>
      <x:c r="E31" s="221" t="n">
        <x:v>0</x:v>
      </x:c>
      <x:c r="F31" s="221" t="n">
        <x:f>B31*E31</x:f>
        <x:v>0</x:v>
      </x:c>
      <x:c r="G31" s="221" t="n">
        <x:v>0</x:v>
      </x:c>
      <x:c r="H31" s="458" t="n">
        <x:f>B31*G31</x:f>
        <x:v>0</x:v>
      </x:c>
    </x:row>
    <x:row r="32">
      <x:c r="A32" s="485" t="str">
        <x:v>Runtime script, DOM and Web API telemetry</x:v>
      </x:c>
      <x:c r="B32" s="221" t="n">
        <x:v>4</x:v>
      </x:c>
      <x:c r="C32" s="221" t="n">
        <x:v>0</x:v>
      </x:c>
      <x:c r="D32" s="221" t="n">
        <x:f>B32*C32</x:f>
        <x:v>0</x:v>
      </x:c>
      <x:c r="E32" s="221" t="n">
        <x:v>0</x:v>
      </x:c>
      <x:c r="F32" s="221" t="n">
        <x:f>B32*E32</x:f>
        <x:v>0</x:v>
      </x:c>
      <x:c r="G32" s="221" t="n">
        <x:v>0</x:v>
      </x:c>
      <x:c r="H32" s="458" t="n">
        <x:f>B32*G32</x:f>
        <x:v>0</x:v>
      </x:c>
    </x:row>
    <x:row r="33">
      <x:c r="A33" s="485" t="str">
        <x:v>Session-token and credential-injection protection</x:v>
      </x:c>
      <x:c r="B33" s="221" t="n">
        <x:v>5</x:v>
      </x:c>
      <x:c r="C33" s="221" t="n">
        <x:v>0</x:v>
      </x:c>
      <x:c r="D33" s="221" t="n">
        <x:f>B33*C33</x:f>
        <x:v>0</x:v>
      </x:c>
      <x:c r="E33" s="221" t="n">
        <x:v>0</x:v>
      </x:c>
      <x:c r="F33" s="221" t="n">
        <x:f>B33*E33</x:f>
        <x:v>0</x:v>
      </x:c>
      <x:c r="G33" s="221" t="n">
        <x:v>0</x:v>
      </x:c>
      <x:c r="H33" s="458" t="n">
        <x:f>B33*G33</x:f>
        <x:v>0</x:v>
      </x:c>
    </x:row>
    <x:row r="34">
      <x:c r="A34" s="485" t="str">
        <x:v>Browser-session forensics and privacy</x:v>
      </x:c>
      <x:c r="B34" s="221" t="n">
        <x:v>4</x:v>
      </x:c>
      <x:c r="C34" s="221" t="n">
        <x:v>0</x:v>
      </x:c>
      <x:c r="D34" s="221" t="n">
        <x:f>B34*C34</x:f>
        <x:v>0</x:v>
      </x:c>
      <x:c r="E34" s="221" t="n">
        <x:v>0</x:v>
      </x:c>
      <x:c r="F34" s="221" t="n">
        <x:f>B34*E34</x:f>
        <x:v>0</x:v>
      </x:c>
      <x:c r="G34" s="221" t="n">
        <x:v>0</x:v>
      </x:c>
      <x:c r="H34" s="458" t="n">
        <x:f>B34*G34</x:f>
        <x:v>0</x:v>
      </x:c>
    </x:row>
    <x:row r="35">
      <x:c r="A35" s="485" t="str">
        <x:v>Downstream inspection of isolated egress</x:v>
      </x:c>
      <x:c r="B35" s="221" t="n">
        <x:v>5</x:v>
      </x:c>
      <x:c r="C35" s="221" t="n">
        <x:v>0</x:v>
      </x:c>
      <x:c r="D35" s="221" t="n">
        <x:f>B35*C35</x:f>
        <x:v>0</x:v>
      </x:c>
      <x:c r="E35" s="221" t="n">
        <x:v>0</x:v>
      </x:c>
      <x:c r="F35" s="221" t="n">
        <x:f>B35*E35</x:f>
        <x:v>0</x:v>
      </x:c>
      <x:c r="G35" s="221" t="n">
        <x:v>0</x:v>
      </x:c>
      <x:c r="H35" s="458" t="n">
        <x:f>B35*G35</x:f>
        <x:v>0</x:v>
      </x:c>
    </x:row>
    <x:row r="36">
      <x:c r="A36" s="485" t="str">
        <x:v>Logging, SIEM, API and user-report integration</x:v>
      </x:c>
      <x:c r="B36" s="221" t="n">
        <x:v>5</x:v>
      </x:c>
      <x:c r="C36" s="221" t="n">
        <x:v>0</x:v>
      </x:c>
      <x:c r="D36" s="221" t="n">
        <x:f>B36*C36</x:f>
        <x:v>0</x:v>
      </x:c>
      <x:c r="E36" s="221" t="n">
        <x:v>0</x:v>
      </x:c>
      <x:c r="F36" s="221" t="n">
        <x:f>B36*E36</x:f>
        <x:v>0</x:v>
      </x:c>
      <x:c r="G36" s="221" t="n">
        <x:v>0</x:v>
      </x:c>
      <x:c r="H36" s="458" t="n">
        <x:f>B36*G36</x:f>
        <x:v>0</x:v>
      </x:c>
    </x:row>
    <x:row r="37">
      <x:c r="A37" s="485" t="str">
        <x:v>Regional availability, capacity and DDoS resilience</x:v>
      </x:c>
      <x:c r="B37" s="221" t="n">
        <x:v>4</x:v>
      </x:c>
      <x:c r="C37" s="221" t="n">
        <x:v>0</x:v>
      </x:c>
      <x:c r="D37" s="221" t="n">
        <x:f>B37*C37</x:f>
        <x:v>0</x:v>
      </x:c>
      <x:c r="E37" s="221" t="n">
        <x:v>0</x:v>
      </x:c>
      <x:c r="F37" s="221" t="n">
        <x:f>B37*E37</x:f>
        <x:v>0</x:v>
      </x:c>
      <x:c r="G37" s="221" t="n">
        <x:v>0</x:v>
      </x:c>
      <x:c r="H37" s="458" t="n">
        <x:f>B37*G37</x:f>
        <x:v>0</x:v>
      </x:c>
    </x:row>
    <x:row r="38">
      <x:c r="A38" s="485" t="str">
        <x:v>Data residency, privacy and supplier assurance</x:v>
      </x:c>
      <x:c r="B38" s="221" t="n">
        <x:v>4</x:v>
      </x:c>
      <x:c r="C38" s="221" t="n">
        <x:v>0</x:v>
      </x:c>
      <x:c r="D38" s="221" t="n">
        <x:f>B38*C38</x:f>
        <x:v>0</x:v>
      </x:c>
      <x:c r="E38" s="221" t="n">
        <x:v>0</x:v>
      </x:c>
      <x:c r="F38" s="221" t="n">
        <x:f>B38*E38</x:f>
        <x:v>0</x:v>
      </x:c>
      <x:c r="G38" s="221" t="n">
        <x:v>0</x:v>
      </x:c>
      <x:c r="H38" s="458" t="n">
        <x:f>B38*G38</x:f>
        <x:v>0</x:v>
      </x:c>
    </x:row>
    <x:row r="39">
      <x:c r="A39" s="485" t="str">
        <x:v>Feature and license transparency</x:v>
      </x:c>
      <x:c r="B39" s="221" t="n">
        <x:v>3</x:v>
      </x:c>
      <x:c r="C39" s="221" t="n">
        <x:v>0</x:v>
      </x:c>
      <x:c r="D39" s="221" t="n">
        <x:f>B39*C39</x:f>
        <x:v>0</x:v>
      </x:c>
      <x:c r="E39" s="221" t="n">
        <x:v>0</x:v>
      </x:c>
      <x:c r="F39" s="221" t="n">
        <x:f>B39*E39</x:f>
        <x:v>0</x:v>
      </x:c>
      <x:c r="G39" s="221" t="n">
        <x:v>0</x:v>
      </x:c>
      <x:c r="H39" s="458" t="n">
        <x:f>B39*G39</x:f>
        <x:v>0</x:v>
      </x:c>
    </x:row>
    <x:row r="40">
      <x:c r="A40" s="486" t="str">
        <x:v>Device-code phishing and OAuth consent defense</x:v>
      </x:c>
      <x:c r="B40" s="378" t="n">
        <x:v>5</x:v>
      </x:c>
      <x:c r="C40" s="378" t="n">
        <x:v>0</x:v>
      </x:c>
      <x:c r="D40" s="378" t="n">
        <x:f>B40*C40</x:f>
        <x:v>0</x:v>
      </x:c>
      <x:c r="E40" s="378" t="n">
        <x:v>0</x:v>
      </x:c>
      <x:c r="F40" s="378" t="n">
        <x:f>B40*E40</x:f>
        <x:v>0</x:v>
      </x:c>
      <x:c r="G40" s="378" t="n">
        <x:v>0</x:v>
      </x:c>
      <x:c r="H40" s="487" t="n">
        <x:f>B40*G40</x:f>
        <x:v>0</x:v>
      </x:c>
    </x:row>
    <x:row r="41">
      <x:c r="A41" s="485" t="str">
        <x:v>OAuth application and service-principal governance</x:v>
      </x:c>
      <x:c r="B41" s="221" t="n">
        <x:v>5</x:v>
      </x:c>
      <x:c r="C41" s="221" t="n">
        <x:v>0</x:v>
      </x:c>
      <x:c r="D41" s="221" t="n">
        <x:f>B41*C41</x:f>
        <x:v>0</x:v>
      </x:c>
      <x:c r="E41" s="221" t="n">
        <x:v>0</x:v>
      </x:c>
      <x:c r="F41" s="221" t="n">
        <x:f>B41*E41</x:f>
        <x:v>0</x:v>
      </x:c>
      <x:c r="G41" s="221" t="n">
        <x:v>0</x:v>
      </x:c>
      <x:c r="H41" s="458" t="n">
        <x:f>B41*G41</x:f>
        <x:v>0</x:v>
      </x:c>
    </x:row>
    <x:row r="42">
      <x:c r="A42" s="485" t="str">
        <x:v>Social media and messaging link protection</x:v>
      </x:c>
      <x:c r="B42" s="221" t="n">
        <x:v>4</x:v>
      </x:c>
      <x:c r="C42" s="221" t="n">
        <x:v>0</x:v>
      </x:c>
      <x:c r="D42" s="221" t="n">
        <x:f>B42*C42</x:f>
        <x:v>0</x:v>
      </x:c>
      <x:c r="E42" s="221" t="n">
        <x:v>0</x:v>
      </x:c>
      <x:c r="F42" s="221" t="n">
        <x:f>B42*E42</x:f>
        <x:v>0</x:v>
      </x:c>
      <x:c r="G42" s="221" t="n">
        <x:v>0</x:v>
      </x:c>
      <x:c r="H42" s="458" t="n">
        <x:f>B42*G42</x:f>
        <x:v>0</x:v>
      </x:c>
    </x:row>
    <x:row r="43">
      <x:c r="A43" s="485" t="str">
        <x:v>Captive-portal and travel-network protection</x:v>
      </x:c>
      <x:c r="B43" s="221" t="n">
        <x:v>5</x:v>
      </x:c>
      <x:c r="C43" s="221" t="n">
        <x:v>0</x:v>
      </x:c>
      <x:c r="D43" s="221" t="n">
        <x:f>B43*C43</x:f>
        <x:v>0</x:v>
      </x:c>
      <x:c r="E43" s="221" t="n">
        <x:v>0</x:v>
      </x:c>
      <x:c r="F43" s="221" t="n">
        <x:f>B43*E43</x:f>
        <x:v>0</x:v>
      </x:c>
      <x:c r="G43" s="221" t="n">
        <x:v>0</x:v>
      </x:c>
      <x:c r="H43" s="458" t="n">
        <x:f>B43*G43</x:f>
        <x:v>0</x:v>
      </x:c>
    </x:row>
    <x:row r="44">
      <x:c r="A44" s="485" t="str">
        <x:v>Strategic web compromise and malvertising protection</x:v>
      </x:c>
      <x:c r="B44" s="221" t="n">
        <x:v>5</x:v>
      </x:c>
      <x:c r="C44" s="221" t="n">
        <x:v>0</x:v>
      </x:c>
      <x:c r="D44" s="221" t="n">
        <x:f>B44*C44</x:f>
        <x:v>0</x:v>
      </x:c>
      <x:c r="E44" s="221" t="n">
        <x:v>0</x:v>
      </x:c>
      <x:c r="F44" s="221" t="n">
        <x:f>B44*E44</x:f>
        <x:v>0</x:v>
      </x:c>
      <x:c r="G44" s="221" t="n">
        <x:v>0</x:v>
      </x:c>
      <x:c r="H44" s="458" t="n">
        <x:f>B44*G44</x:f>
        <x:v>0</x:v>
      </x:c>
    </x:row>
    <x:row r="45">
      <x:c r="A45" s="485" t="str">
        <x:v>Emergency browser zero-day isolation and patching</x:v>
      </x:c>
      <x:c r="B45" s="221" t="n">
        <x:v>5</x:v>
      </x:c>
      <x:c r="C45" s="221" t="n">
        <x:v>0</x:v>
      </x:c>
      <x:c r="D45" s="221" t="n">
        <x:f>B45*C45</x:f>
        <x:v>0</x:v>
      </x:c>
      <x:c r="E45" s="221" t="n">
        <x:v>0</x:v>
      </x:c>
      <x:c r="F45" s="221" t="n">
        <x:f>B45*E45</x:f>
        <x:v>0</x:v>
      </x:c>
      <x:c r="G45" s="221" t="n">
        <x:v>0</x:v>
      </x:c>
      <x:c r="H45" s="458" t="n">
        <x:f>B45*G45</x:f>
        <x:v>0</x:v>
      </x:c>
    </x:row>
    <x:row r="46">
      <x:c r="A46" s="485" t="str">
        <x:v>Exact-domain webmail and SaaS login protection</x:v>
      </x:c>
      <x:c r="B46" s="221" t="n">
        <x:v>5</x:v>
      </x:c>
      <x:c r="C46" s="221" t="n">
        <x:v>0</x:v>
      </x:c>
      <x:c r="D46" s="221" t="n">
        <x:f>B46*C46</x:f>
        <x:v>0</x:v>
      </x:c>
      <x:c r="E46" s="221" t="n">
        <x:v>0</x:v>
      </x:c>
      <x:c r="F46" s="221" t="n">
        <x:f>B46*E46</x:f>
        <x:v>0</x:v>
      </x:c>
      <x:c r="G46" s="221" t="n">
        <x:v>0</x:v>
      </x:c>
      <x:c r="H46" s="458" t="n">
        <x:f>B46*G46</x:f>
        <x:v>0</x:v>
      </x:c>
    </x:row>
    <x:row r="47">
      <x:c r="A47" s="485" t="str">
        <x:v>Browser credential and session-token theft detection</x:v>
      </x:c>
      <x:c r="B47" s="221" t="n">
        <x:v>5</x:v>
      </x:c>
      <x:c r="C47" s="221" t="n">
        <x:v>0</x:v>
      </x:c>
      <x:c r="D47" s="221" t="n">
        <x:f>B47*C47</x:f>
        <x:v>0</x:v>
      </x:c>
      <x:c r="E47" s="221" t="n">
        <x:v>0</x:v>
      </x:c>
      <x:c r="F47" s="221" t="n">
        <x:f>B47*E47</x:f>
        <x:v>0</x:v>
      </x:c>
      <x:c r="G47" s="221" t="n">
        <x:v>0</x:v>
      </x:c>
      <x:c r="H47" s="458" t="n">
        <x:f>B47*G47</x:f>
        <x:v>0</x:v>
      </x:c>
    </x:row>
    <x:row r="48">
      <x:c r="A48" s="485" t="str">
        <x:v>Nation-state intelligence and hunting integration</x:v>
      </x:c>
      <x:c r="B48" s="221" t="n">
        <x:v>4</x:v>
      </x:c>
      <x:c r="C48" s="221" t="n">
        <x:v>0</x:v>
      </x:c>
      <x:c r="D48" s="221" t="n">
        <x:f>B48*C48</x:f>
        <x:v>0</x:v>
      </x:c>
      <x:c r="E48" s="221" t="n">
        <x:v>0</x:v>
      </x:c>
      <x:c r="F48" s="221" t="n">
        <x:f>B48*E48</x:f>
        <x:v>0</x:v>
      </x:c>
      <x:c r="G48" s="221" t="n">
        <x:v>0</x:v>
      </x:c>
      <x:c r="H48" s="458" t="n">
        <x:f>B48*G48</x:f>
        <x:v>0</x:v>
      </x:c>
    </x:row>
    <x:row r="49">
      <x:c r="A49" s="485" t="str">
        <x:v>Public-facing edge and web-shell integration</x:v>
      </x:c>
      <x:c r="B49" s="221" t="n">
        <x:v>4</x:v>
      </x:c>
      <x:c r="C49" s="221" t="n">
        <x:v>0</x:v>
      </x:c>
      <x:c r="D49" s="221" t="n">
        <x:f>B49*C49</x:f>
        <x:v>0</x:v>
      </x:c>
      <x:c r="E49" s="221" t="n">
        <x:v>0</x:v>
      </x:c>
      <x:c r="F49" s="221" t="n">
        <x:f>B49*E49</x:f>
        <x:v>0</x:v>
      </x:c>
      <x:c r="G49" s="221" t="n">
        <x:v>0</x:v>
      </x:c>
      <x:c r="H49" s="458" t="n">
        <x:f>B49*G49</x:f>
        <x:v>0</x:v>
      </x:c>
    </x:row>
    <x:row r="50">
      <x:c r="A50" s="485" t="str">
        <x:v>Software package and developer-workflow protection</x:v>
      </x:c>
      <x:c r="B50" s="221" t="n">
        <x:v>4</x:v>
      </x:c>
      <x:c r="C50" s="221" t="n">
        <x:v>0</x:v>
      </x:c>
      <x:c r="D50" s="221" t="n">
        <x:f>B50*C50</x:f>
        <x:v>0</x:v>
      </x:c>
      <x:c r="E50" s="221" t="n">
        <x:v>0</x:v>
      </x:c>
      <x:c r="F50" s="221" t="n">
        <x:f>B50*E50</x:f>
        <x:v>0</x:v>
      </x:c>
      <x:c r="G50" s="221" t="n">
        <x:v>0</x:v>
      </x:c>
      <x:c r="H50" s="458" t="n">
        <x:f>B50*G50</x:f>
        <x:v>0</x:v>
      </x:c>
    </x:row>
    <x:row r="51">
      <x:c r="A51" s="485" t="str">
        <x:v>Deepfake and synthetic-persona response</x:v>
      </x:c>
      <x:c r="B51" s="221" t="n">
        <x:v>3</x:v>
      </x:c>
      <x:c r="C51" s="221" t="n">
        <x:v>0</x:v>
      </x:c>
      <x:c r="D51" s="221" t="n">
        <x:f>B51*C51</x:f>
        <x:v>0</x:v>
      </x:c>
      <x:c r="E51" s="221" t="n">
        <x:v>0</x:v>
      </x:c>
      <x:c r="F51" s="221" t="n">
        <x:f>B51*E51</x:f>
        <x:v>0</x:v>
      </x:c>
      <x:c r="G51" s="221" t="n">
        <x:v>0</x:v>
      </x:c>
      <x:c r="H51" s="458" t="n">
        <x:f>B51*G51</x:f>
        <x:v>0</x:v>
      </x:c>
    </x:row>
    <x:row r="52">
      <x:c r="A52" s="486" t="str">
        <x:v>Password-protected file inspection</x:v>
      </x:c>
      <x:c r="B52" s="378" t="n">
        <x:v>5</x:v>
      </x:c>
      <x:c r="C52" s="378" t="n">
        <x:v>0</x:v>
      </x:c>
      <x:c r="D52" s="378" t="n">
        <x:f>B52*C52</x:f>
        <x:v>0</x:v>
      </x:c>
      <x:c r="E52" s="378" t="n">
        <x:v>0</x:v>
      </x:c>
      <x:c r="F52" s="378" t="n">
        <x:f>B52*E52</x:f>
        <x:v>0</x:v>
      </x:c>
      <x:c r="G52" s="378" t="n">
        <x:v>0</x:v>
      </x:c>
      <x:c r="H52" s="487" t="n">
        <x:f>B52*G52</x:f>
        <x:v>0</x:v>
      </x:c>
    </x:row>
    <x:row r="53">
      <x:c r="A53" s="485" t="str">
        <x:v>Retrospective file verdict and remediation</x:v>
      </x:c>
      <x:c r="B53" s="221" t="n">
        <x:v>4</x:v>
      </x:c>
      <x:c r="C53" s="221" t="n">
        <x:v>0</x:v>
      </x:c>
      <x:c r="D53" s="221" t="n">
        <x:f>B53*C53</x:f>
        <x:v>0</x:v>
      </x:c>
      <x:c r="E53" s="221" t="n">
        <x:v>0</x:v>
      </x:c>
      <x:c r="F53" s="221" t="n">
        <x:f>B53*E53</x:f>
        <x:v>0</x:v>
      </x:c>
      <x:c r="G53" s="221" t="n">
        <x:v>0</x:v>
      </x:c>
      <x:c r="H53" s="458" t="n">
        <x:f>B53*G53</x:f>
        <x:v>0</x:v>
      </x:c>
    </x:row>
    <x:row r="54">
      <x:c r="A54" s="485" t="str">
        <x:v>Threat-infrastructure enrichment and XDR/SIEM integration</x:v>
      </x:c>
      <x:c r="B54" s="221" t="n">
        <x:v>4</x:v>
      </x:c>
      <x:c r="C54" s="221" t="n">
        <x:v>0</x:v>
      </x:c>
      <x:c r="D54" s="221" t="n">
        <x:f>B54*C54</x:f>
        <x:v>0</x:v>
      </x:c>
      <x:c r="E54" s="221" t="n">
        <x:v>0</x:v>
      </x:c>
      <x:c r="F54" s="221" t="n">
        <x:f>B54*E54</x:f>
        <x:v>0</x:v>
      </x:c>
      <x:c r="G54" s="221" t="n">
        <x:v>0</x:v>
      </x:c>
      <x:c r="H54" s="458" t="n">
        <x:f>B54*G54</x:f>
        <x:v>0</x:v>
      </x:c>
    </x:row>
    <x:row r="55">
      <x:c r="A55" s="485" t="str">
        <x:v>Corporate password reuse prevention</x:v>
      </x:c>
      <x:c r="B55" s="221" t="n">
        <x:v>5</x:v>
      </x:c>
      <x:c r="C55" s="221" t="n">
        <x:v>0</x:v>
      </x:c>
      <x:c r="D55" s="221" t="n">
        <x:f>B55*C55</x:f>
        <x:v>0</x:v>
      </x:c>
      <x:c r="E55" s="221" t="n">
        <x:v>0</x:v>
      </x:c>
      <x:c r="F55" s="221" t="n">
        <x:f>B55*E55</x:f>
        <x:v>0</x:v>
      </x:c>
      <x:c r="G55" s="221" t="n">
        <x:v>0</x:v>
      </x:c>
      <x:c r="H55" s="458" t="n">
        <x:f>B55*G55</x:f>
        <x:v>0</x:v>
      </x:c>
    </x:row>
    <x:row r="56">
      <x:c r="A56" s="485" t="str">
        <x:v>Visual and semantic zero-day phishing analysis</x:v>
      </x:c>
      <x:c r="B56" s="221" t="n">
        <x:v>5</x:v>
      </x:c>
      <x:c r="C56" s="221" t="n">
        <x:v>0</x:v>
      </x:c>
      <x:c r="D56" s="221" t="n">
        <x:f>B56*C56</x:f>
        <x:v>0</x:v>
      </x:c>
      <x:c r="E56" s="221" t="n">
        <x:v>0</x:v>
      </x:c>
      <x:c r="F56" s="221" t="n">
        <x:f>B56*E56</x:f>
        <x:v>0</x:v>
      </x:c>
      <x:c r="G56" s="221" t="n">
        <x:v>0</x:v>
      </x:c>
      <x:c r="H56" s="458" t="n">
        <x:f>B56*G56</x:f>
        <x:v>0</x:v>
      </x:c>
    </x:row>
    <x:row r="57">
      <x:c r="A57" s="485" t="str">
        <x:v>Pre-upload malware emulation or sandboxing</x:v>
      </x:c>
      <x:c r="B57" s="221" t="n">
        <x:v>5</x:v>
      </x:c>
      <x:c r="C57" s="221" t="n">
        <x:v>0</x:v>
      </x:c>
      <x:c r="D57" s="221" t="n">
        <x:f>B57*C57</x:f>
        <x:v>0</x:v>
      </x:c>
      <x:c r="E57" s="221" t="n">
        <x:v>0</x:v>
      </x:c>
      <x:c r="F57" s="221" t="n">
        <x:f>B57*E57</x:f>
        <x:v>0</x:v>
      </x:c>
      <x:c r="G57" s="221" t="n">
        <x:v>0</x:v>
      </x:c>
      <x:c r="H57" s="458" t="n">
        <x:f>B57*G57</x:f>
        <x:v>0</x:v>
      </x:c>
    </x:row>
    <x:row r="58">
      <x:c r="A58" s="485" t="str">
        <x:v>Steganographic upload sanitization</x:v>
      </x:c>
      <x:c r="B58" s="221" t="n">
        <x:v>4</x:v>
      </x:c>
      <x:c r="C58" s="221" t="n">
        <x:v>0</x:v>
      </x:c>
      <x:c r="D58" s="221" t="n">
        <x:f>B58*C58</x:f>
        <x:v>0</x:v>
      </x:c>
      <x:c r="E58" s="221" t="n">
        <x:v>0</x:v>
      </x:c>
      <x:c r="F58" s="221" t="n">
        <x:f>B58*E58</x:f>
        <x:v>0</x:v>
      </x:c>
      <x:c r="G58" s="221" t="n">
        <x:v>0</x:v>
      </x:c>
      <x:c r="H58" s="458" t="n">
        <x:f>B58*G58</x:f>
        <x:v>0</x:v>
      </x:c>
    </x:row>
    <x:row r="59">
      <x:c r="A59" s="485" t="str">
        <x:v>Anonymous research and anti-tracking mode</x:v>
      </x:c>
      <x:c r="B59" s="221" t="n">
        <x:v>3</x:v>
      </x:c>
      <x:c r="C59" s="221" t="n">
        <x:v>0</x:v>
      </x:c>
      <x:c r="D59" s="221" t="n">
        <x:f>B59*C59</x:f>
        <x:v>0</x:v>
      </x:c>
      <x:c r="E59" s="221" t="n">
        <x:v>0</x:v>
      </x:c>
      <x:c r="F59" s="221" t="n">
        <x:f>B59*E59</x:f>
        <x:v>0</x:v>
      </x:c>
      <x:c r="G59" s="221" t="n">
        <x:v>0</x:v>
      </x:c>
      <x:c r="H59" s="458" t="n">
        <x:f>B59*G59</x:f>
        <x:v>0</x:v>
      </x:c>
    </x:row>
    <x:row r="60">
      <x:c r="A60" s="485" t="str">
        <x:v>Agentless HTTPS inspection for unmanaged users</x:v>
      </x:c>
      <x:c r="B60" s="221" t="n">
        <x:v>4</x:v>
      </x:c>
      <x:c r="C60" s="221" t="n">
        <x:v>0</x:v>
      </x:c>
      <x:c r="D60" s="221" t="n">
        <x:f>B60*C60</x:f>
        <x:v>0</x:v>
      </x:c>
      <x:c r="E60" s="221" t="n">
        <x:v>0</x:v>
      </x:c>
      <x:c r="F60" s="221" t="n">
        <x:f>B60*E60</x:f>
        <x:v>0</x:v>
      </x:c>
      <x:c r="G60" s="221" t="n">
        <x:v>0</x:v>
      </x:c>
      <x:c r="H60" s="458" t="n">
        <x:f>B60*G60</x:f>
        <x:v>0</x:v>
      </x:c>
    </x:row>
    <x:row r="61">
      <x:c r="A61" s="485" t="str">
        <x:v>Reverse isolation and zero-data-on-endpoint controls</x:v>
      </x:c>
      <x:c r="B61" s="221" t="n">
        <x:v>5</x:v>
      </x:c>
      <x:c r="C61" s="221" t="n">
        <x:v>0</x:v>
      </x:c>
      <x:c r="D61" s="221" t="n">
        <x:f>B61*C61</x:f>
        <x:v>0</x:v>
      </x:c>
      <x:c r="E61" s="221" t="n">
        <x:v>0</x:v>
      </x:c>
      <x:c r="F61" s="221" t="n">
        <x:f>B61*E61</x:f>
        <x:v>0</x:v>
      </x:c>
      <x:c r="G61" s="221" t="n">
        <x:v>0</x:v>
      </x:c>
      <x:c r="H61" s="458" t="n">
        <x:f>B61*G61</x:f>
        <x:v>0</x:v>
      </x:c>
    </x:row>
    <x:row r="62">
      <x:c r="A62" s="485" t="str">
        <x:v>MCP semantic threat inspection</x:v>
      </x:c>
      <x:c r="B62" s="221" t="n">
        <x:v>5</x:v>
      </x:c>
      <x:c r="C62" s="221" t="n">
        <x:v>0</x:v>
      </x:c>
      <x:c r="D62" s="221" t="n">
        <x:f>B62*C62</x:f>
        <x:v>0</x:v>
      </x:c>
      <x:c r="E62" s="221" t="n">
        <x:v>0</x:v>
      </x:c>
      <x:c r="F62" s="221" t="n">
        <x:f>B62*E62</x:f>
        <x:v>0</x:v>
      </x:c>
      <x:c r="G62" s="221" t="n">
        <x:v>0</x:v>
      </x:c>
      <x:c r="H62" s="458" t="n">
        <x:f>B62*G62</x:f>
        <x:v>0</x:v>
      </x:c>
    </x:row>
    <x:row r="63">
      <x:c r="A63" s="485" t="str">
        <x:v>Browser-based SSH/RDP privileged session isolation</x:v>
      </x:c>
      <x:c r="B63" s="221" t="n">
        <x:v>3</x:v>
      </x:c>
      <x:c r="C63" s="221" t="n">
        <x:v>0</x:v>
      </x:c>
      <x:c r="D63" s="221" t="n">
        <x:f>B63*C63</x:f>
        <x:v>0</x:v>
      </x:c>
      <x:c r="E63" s="221" t="n">
        <x:v>0</x:v>
      </x:c>
      <x:c r="F63" s="221" t="n">
        <x:f>B63*E63</x:f>
        <x:v>0</x:v>
      </x:c>
      <x:c r="G63" s="221" t="n">
        <x:v>0</x:v>
      </x:c>
      <x:c r="H63" s="458" t="n">
        <x:f>B63*G63</x:f>
        <x:v>0</x:v>
      </x:c>
    </x:row>
    <x:row r="64">
      <x:c r="A64" s="488" t="str">
        <x:v>Traffic-scope and non-web bypass assurance</x:v>
      </x:c>
      <x:c r="B64" s="489" t="n">
        <x:v>5</x:v>
      </x:c>
      <x:c r="C64" s="489" t="n">
        <x:v>0</x:v>
      </x:c>
      <x:c r="D64" s="489" t="n">
        <x:f>B64*C64</x:f>
        <x:v>0</x:v>
      </x:c>
      <x:c r="E64" s="489" t="n">
        <x:v>0</x:v>
      </x:c>
      <x:c r="F64" s="489" t="n">
        <x:f>B64*E64</x:f>
        <x:v>0</x:v>
      </x:c>
      <x:c r="G64" s="489" t="n">
        <x:v>0</x:v>
      </x:c>
      <x:c r="H64" s="490" t="n">
        <x:f>B64*G64</x:f>
        <x:v>0</x:v>
      </x:c>
    </x:row>
    <x:row r="65">
      <x:c r="A65" s="485" t="str">
        <x:v>Isolation quota monitoring and fail-safe behavior</x:v>
      </x:c>
      <x:c r="B65" s="221" t="n">
        <x:v>5</x:v>
      </x:c>
      <x:c r="C65" s="221" t="n">
        <x:v>0</x:v>
      </x:c>
      <x:c r="D65" s="221" t="n">
        <x:f>B65*C65</x:f>
        <x:v>0</x:v>
      </x:c>
      <x:c r="E65" s="221" t="n">
        <x:v>0</x:v>
      </x:c>
      <x:c r="F65" s="221" t="n">
        <x:f>B65*E65</x:f>
        <x:v>0</x:v>
      </x:c>
      <x:c r="G65" s="221" t="n">
        <x:v>0</x:v>
      </x:c>
      <x:c r="H65" s="458" t="n">
        <x:f>B65*G65</x:f>
        <x:v>0</x:v>
      </x:c>
    </x:row>
    <x:row r="66">
      <x:c r="A66" s="485" t="str">
        <x:v>Product lifecycle, availability and migration assurance</x:v>
      </x:c>
      <x:c r="B66" s="221" t="n">
        <x:v>4</x:v>
      </x:c>
      <x:c r="C66" s="221" t="n">
        <x:v>0</x:v>
      </x:c>
      <x:c r="D66" s="221" t="n">
        <x:f>B66*C66</x:f>
        <x:v>0</x:v>
      </x:c>
      <x:c r="E66" s="221" t="n">
        <x:v>0</x:v>
      </x:c>
      <x:c r="F66" s="221" t="n">
        <x:f>B66*E66</x:f>
        <x:v>0</x:v>
      </x:c>
      <x:c r="G66" s="221" t="n">
        <x:v>0</x:v>
      </x:c>
      <x:c r="H66" s="458" t="n">
        <x:f>B66*G66</x:f>
        <x:v>0</x:v>
      </x:c>
    </x:row>
    <x:row r="67">
      <x:c r="A67" s="485" t="str">
        <x:v>Private-browsing enforcement for security extensions</x:v>
      </x:c>
      <x:c r="B67" s="221" t="n">
        <x:v>5</x:v>
      </x:c>
      <x:c r="C67" s="221" t="n">
        <x:v>0</x:v>
      </x:c>
      <x:c r="D67" s="221" t="n">
        <x:f>B67*C67</x:f>
        <x:v>0</x:v>
      </x:c>
      <x:c r="E67" s="221" t="n">
        <x:v>0</x:v>
      </x:c>
      <x:c r="F67" s="221" t="n">
        <x:f>B67*E67</x:f>
        <x:v>0</x:v>
      </x:c>
      <x:c r="G67" s="221" t="n">
        <x:v>0</x:v>
      </x:c>
      <x:c r="H67" s="458" t="n">
        <x:f>B67*G67</x:f>
        <x:v>0</x:v>
      </x:c>
    </x:row>
    <x:row r="68">
      <x:c r="A68" s="485" t="str">
        <x:v>Exported-copy watermark and data-control persistence</x:v>
      </x:c>
      <x:c r="B68" s="221" t="n">
        <x:v>4</x:v>
      </x:c>
      <x:c r="C68" s="221" t="n">
        <x:v>0</x:v>
      </x:c>
      <x:c r="D68" s="221" t="n">
        <x:f>B68*C68</x:f>
        <x:v>0</x:v>
      </x:c>
      <x:c r="E68" s="221" t="n">
        <x:v>0</x:v>
      </x:c>
      <x:c r="F68" s="221" t="n">
        <x:f>B68*E68</x:f>
        <x:v>0</x:v>
      </x:c>
      <x:c r="G68" s="221" t="n">
        <x:v>0</x:v>
      </x:c>
      <x:c r="H68" s="458" t="n">
        <x:f>B68*G68</x:f>
        <x:v>0</x:v>
      </x:c>
    </x:row>
    <x:row r="69">
      <x:c r="A69" s="485" t="str">
        <x:v>Application-specific clipboard bypass resistance</x:v>
      </x:c>
      <x:c r="B69" s="221" t="n">
        <x:v>4</x:v>
      </x:c>
      <x:c r="C69" s="221" t="n">
        <x:v>0</x:v>
      </x:c>
      <x:c r="D69" s="221" t="n">
        <x:f>B69*C69</x:f>
        <x:v>0</x:v>
      </x:c>
      <x:c r="E69" s="221" t="n">
        <x:v>0</x:v>
      </x:c>
      <x:c r="F69" s="221" t="n">
        <x:f>B69*E69</x:f>
        <x:v>0</x:v>
      </x:c>
      <x:c r="G69" s="221" t="n">
        <x:v>0</x:v>
      </x:c>
      <x:c r="H69" s="458" t="n">
        <x:f>B69*G69</x:f>
        <x:v>0</x:v>
      </x:c>
    </x:row>
    <x:row r="70">
      <x:c r="A70" s="485" t="str">
        <x:v>Risk-based authentication-cookie lifetime</x:v>
      </x:c>
      <x:c r="B70" s="221" t="n">
        <x:v>4</x:v>
      </x:c>
      <x:c r="C70" s="221" t="n">
        <x:v>0</x:v>
      </x:c>
      <x:c r="D70" s="221" t="n">
        <x:f>B70*C70</x:f>
        <x:v>0</x:v>
      </x:c>
      <x:c r="E70" s="221" t="n">
        <x:v>0</x:v>
      </x:c>
      <x:c r="F70" s="221" t="n">
        <x:f>B70*E70</x:f>
        <x:v>0</x:v>
      </x:c>
      <x:c r="G70" s="221" t="n">
        <x:v>0</x:v>
      </x:c>
      <x:c r="H70" s="458" t="n">
        <x:f>B70*G70</x:f>
        <x:v>0</x:v>
      </x:c>
    </x:row>
    <x:row r="71">
      <x:c r="A71" s="485" t="str">
        <x:v>Denied-interaction audit logging</x:v>
      </x:c>
      <x:c r="B71" s="221" t="n">
        <x:v>4</x:v>
      </x:c>
      <x:c r="C71" s="221" t="n">
        <x:v>0</x:v>
      </x:c>
      <x:c r="D71" s="221" t="n">
        <x:f>B71*C71</x:f>
        <x:v>0</x:v>
      </x:c>
      <x:c r="E71" s="221" t="n">
        <x:v>0</x:v>
      </x:c>
      <x:c r="F71" s="221" t="n">
        <x:f>B71*E71</x:f>
        <x:v>0</x:v>
      </x:c>
      <x:c r="G71" s="221" t="n">
        <x:v>0</x:v>
      </x:c>
      <x:c r="H71" s="458" t="n">
        <x:f>B71*G71</x:f>
        <x:v>0</x:v>
      </x:c>
    </x:row>
    <x:row r="72">
      <x:c r="A72" s="491" t="str">
        <x:v>Weighted Score</x:v>
      </x:c>
      <x:c r="B72" s="492" t="n">
        <x:v>302</x:v>
      </x:c>
      <x:c r="C72" s="492"/>
      <x:c r="D72" s="492" t="n">
        <x:f>SUM(D5:D71)</x:f>
        <x:v>0</x:v>
      </x:c>
      <x:c r="E72" s="492"/>
      <x:c r="F72" s="492" t="n">
        <x:f>SUM(F5:F71)</x:f>
        <x:v>0</x:v>
      </x:c>
      <x:c r="G72" s="492"/>
      <x:c r="H72" s="493" t="n">
        <x:f>SUM(H5:H71)</x:f>
        <x:v>0</x:v>
      </x:c>
    </x:row>
  </x:sheetData>
  <x:mergeCells>
    <x:mergeCell ref="A1:H1"/>
    <x:mergeCell ref="A2:H2"/>
  </x:mergeCells>
  <x:dataValidations count="15">
    <x:dataValidation type="list" sqref="C5:C24">
      <x:formula1>"0,1,2,3,4,5"</x:formula1>
    </x:dataValidation>
    <x:dataValidation type="list" sqref="E5:E24">
      <x:formula1>"0,1,2,3,4,5"</x:formula1>
    </x:dataValidation>
    <x:dataValidation type="list" sqref="G5:G24">
      <x:formula1>"0,1,2,3,4,5"</x:formula1>
    </x:dataValidation>
    <x:dataValidation type="list" sqref="C5:C39">
      <x:formula1>"0,1,2,3,4,5"</x:formula1>
    </x:dataValidation>
    <x:dataValidation type="list" sqref="E5:E39">
      <x:formula1>"0,1,2,3,4,5"</x:formula1>
    </x:dataValidation>
    <x:dataValidation type="list" sqref="G5:G39">
      <x:formula1>"0,1,2,3,4,5"</x:formula1>
    </x:dataValidation>
    <x:dataValidation type="list" sqref="C5:C51">
      <x:formula1>"0,1,2,3,4,5"</x:formula1>
    </x:dataValidation>
    <x:dataValidation type="list" sqref="E5:E51">
      <x:formula1>"0,1,2,3,4,5"</x:formula1>
    </x:dataValidation>
    <x:dataValidation type="list" sqref="G5:G51">
      <x:formula1>"0,1,2,3,4,5"</x:formula1>
    </x:dataValidation>
    <x:dataValidation type="list" sqref="C5:C63">
      <x:formula1>"0,1,2,3,4,5"</x:formula1>
    </x:dataValidation>
    <x:dataValidation type="list" sqref="E5:E63">
      <x:formula1>"0,1,2,3,4,5"</x:formula1>
    </x:dataValidation>
    <x:dataValidation type="list" sqref="G5:G63">
      <x:formula1>"0,1,2,3,4,5"</x:formula1>
    </x:dataValidation>
    <x:dataValidation type="list" sqref="C5:C71">
      <x:formula1>"0,1,2,3,4,5"</x:formula1>
    </x:dataValidation>
    <x:dataValidation type="list" sqref="E5:E71">
      <x:formula1>"0,1,2,3,4,5"</x:formula1>
    </x:dataValidation>
    <x:dataValidation type="list" sqref="G5:G71">
      <x:formula1>"0,1,2,3,4,5"</x:formula1>
    </x:dataValidation>
  </x:dataValidations>
  <x:pageMargins left="0.7" right="0.7" top="0.75" bottom="0.75" header="0.3" footer="0.3"/>
  <x:drawing xmlns:r="http://schemas.openxmlformats.org/officeDocument/2006/relationships" r:id="Rb23021096b6640e3"/>
  <x:tableParts count="1">
    <x:tablePart xmlns:r="http://schemas.openxmlformats.org/officeDocument/2006/relationships" r:id="Rd545d917f0204119"/>
  </x:tableParts>
</x:worksheet>
</file>

<file path=xl/worksheets/sheet8.xml><?xml version="1.0" encoding="utf-8"?>
<x:worksheet xmlns:x="http://schemas.openxmlformats.org/spreadsheetml/2006/main">
  <x:sheetFormatPr defaultRowHeight="15"/>
  <x:cols>
    <x:col min="1" max="1" width="12" hidden="0" customWidth="1"/>
    <x:col min="2" max="2" width="28" hidden="0" customWidth="1"/>
    <x:col min="3" max="3" width="40" hidden="0" customWidth="1"/>
    <x:col min="4" max="4" width="28" hidden="0" customWidth="1"/>
    <x:col min="5" max="5" width="62" hidden="0" customWidth="1"/>
    <x:col min="6" max="6" width="42" hidden="0" customWidth="1"/>
  </x:cols>
  <x:sheetData>
    <x:row r="1">
      <x:c r="A1" s="12" t="str">
        <x:v>Source ID</x:v>
      </x:c>
      <x:c r="B1" s="13" t="str">
        <x:v>Publisher</x:v>
      </x:c>
      <x:c r="C1" s="13" t="str">
        <x:v>Title</x:v>
      </x:c>
      <x:c r="D1" s="13" t="str">
        <x:v>Publication / Standard</x:v>
      </x:c>
      <x:c r="E1" s="13" t="str">
        <x:v>URL</x:v>
      </x:c>
      <x:c r="F1" s="14" t="str">
        <x:v>Workbook Use</x:v>
      </x:c>
    </x:row>
    <x:row r="2">
      <x:c r="A2" s="29" t="str">
        <x:v>SRC-01</x:v>
      </x:c>
      <x:c r="B2" s="30" t="str">
        <x:v>National Institute of Standards and Technology</x:v>
      </x:c>
      <x:c r="C2" s="30" t="str">
        <x:v>Identifying and Protecting Assets Against Data Breaches</x:v>
      </x:c>
      <x:c r="D2" s="30" t="str">
        <x:v>NIST SP 1800-28</x:v>
      </x:c>
      <x:c r="E2" s="30" t="str">
        <x:v>https://www.nccoe.nist.gov/publication/1800-28/VolB/index.html</x:v>
      </x:c>
      <x:c r="F2" s="31" t="str">
        <x:v>Browser isolation, data protection, file containment</x:v>
      </x:c>
    </x:row>
    <x:row r="3">
      <x:c r="A3" s="29" t="str">
        <x:v>SRC-02</x:v>
      </x:c>
      <x:c r="B3" s="30" t="str">
        <x:v>National Institute of Standards and Technology</x:v>
      </x:c>
      <x:c r="C3" s="30" t="str">
        <x:v>Implementing a Zero Trust Architecture</x:v>
      </x:c>
      <x:c r="D3" s="30" t="str">
        <x:v>NCCoE Project</x:v>
      </x:c>
      <x:c r="E3" s="30" t="str">
        <x:v>https://pages.nist.gov/zero-trust-architecture/VolumeA/ProjectOverview.html</x:v>
      </x:c>
      <x:c r="F3" s="31" t="str">
        <x:v>Zero Trust, device posture, identity-aware access</x:v>
      </x:c>
    </x:row>
    <x:row r="4">
      <x:c r="A4" s="29" t="str">
        <x:v>SRC-03</x:v>
      </x:c>
      <x:c r="B4" s="30" t="str">
        <x:v>MITRE ATT&amp;CK</x:v>
      </x:c>
      <x:c r="C4" s="30" t="str">
        <x:v>Application Isolation and Sandboxing</x:v>
      </x:c>
      <x:c r="D4" s="30" t="str">
        <x:v>Mitigation M1048</x:v>
      </x:c>
      <x:c r="E4" s="30" t="str">
        <x:v>https://attack.mitre.org/mitigations/M1048/</x:v>
      </x:c>
      <x:c r="F4" s="31" t="str">
        <x:v>Browser sandboxing and isolation</x:v>
      </x:c>
    </x:row>
    <x:row r="5">
      <x:c r="A5" s="29" t="str">
        <x:v>SRC-04</x:v>
      </x:c>
      <x:c r="B5" s="30" t="str">
        <x:v>MITRE ATT&amp;CK</x:v>
      </x:c>
      <x:c r="C5" s="30" t="str">
        <x:v>Drive-by Compromise</x:v>
      </x:c>
      <x:c r="D5" s="30" t="str">
        <x:v>Technique T1189</x:v>
      </x:c>
      <x:c r="E5" s="30" t="str">
        <x:v>https://attack.mitre.org/techniques/T1189/</x:v>
      </x:c>
      <x:c r="F5" s="31" t="str">
        <x:v>Drive-by compromise and watering holes</x:v>
      </x:c>
    </x:row>
    <x:row r="6">
      <x:c r="A6" s="29" t="str">
        <x:v>SRC-05</x:v>
      </x:c>
      <x:c r="B6" s="30" t="str">
        <x:v>MITRE ATT&amp;CK</x:v>
      </x:c>
      <x:c r="C6" s="30" t="str">
        <x:v>Application Layer Protocol: Web Protocols</x:v>
      </x:c>
      <x:c r="D6" s="30" t="str">
        <x:v>Technique T1071.001</x:v>
      </x:c>
      <x:c r="E6" s="30" t="str">
        <x:v>https://attack.mitre.org/techniques/T1071/001/</x:v>
      </x:c>
      <x:c r="F6" s="31" t="str">
        <x:v>HTTP and HTTPS command-and-control</x:v>
      </x:c>
    </x:row>
    <x:row r="7">
      <x:c r="A7" s="29" t="str">
        <x:v>SRC-06</x:v>
      </x:c>
      <x:c r="B7" s="30" t="str">
        <x:v>MITRE ATT&amp;CK</x:v>
      </x:c>
      <x:c r="C7" s="30" t="str">
        <x:v>HTML Smuggling</x:v>
      </x:c>
      <x:c r="D7" s="30" t="str">
        <x:v>Technique T1027.006</x:v>
      </x:c>
      <x:c r="E7" s="30" t="str">
        <x:v>https://attack.mitre.org/techniques/T1027/006/</x:v>
      </x:c>
      <x:c r="F7" s="31" t="str">
        <x:v>Browser-side payload reconstruction</x:v>
      </x:c>
    </x:row>
    <x:row r="8">
      <x:c r="A8" s="29" t="str">
        <x:v>SRC-07</x:v>
      </x:c>
      <x:c r="B8" s="30" t="str">
        <x:v>MITRE ATT&amp;CK</x:v>
      </x:c>
      <x:c r="C8" s="30" t="str">
        <x:v>Malicious Copy and Paste</x:v>
      </x:c>
      <x:c r="D8" s="30" t="str">
        <x:v>Technique T1204.004</x:v>
      </x:c>
      <x:c r="E8" s="30" t="str">
        <x:v>https://attack.mitre.org/techniques/T1204/004/</x:v>
      </x:c>
      <x:c r="F8" s="31" t="str">
        <x:v>ClickFix and copied command execution</x:v>
      </x:c>
    </x:row>
    <x:row r="9">
      <x:c r="A9" s="29" t="str">
        <x:v>SRC-08</x:v>
      </x:c>
      <x:c r="B9" s="30" t="str">
        <x:v>MITRE ATT&amp;CK</x:v>
      </x:c>
      <x:c r="C9" s="30" t="str">
        <x:v>Browser Extensions</x:v>
      </x:c>
      <x:c r="D9" s="30" t="str">
        <x:v>Technique T1176.001</x:v>
      </x:c>
      <x:c r="E9" s="30" t="str">
        <x:v>https://attack.mitre.org/techniques/T1176/001/</x:v>
      </x:c>
      <x:c r="F9" s="31" t="str">
        <x:v>Malicious and unauthorized extensions or plug-ins</x:v>
      </x:c>
    </x:row>
    <x:row r="10">
      <x:c r="A10" s="29" t="str">
        <x:v>SRC-09</x:v>
      </x:c>
      <x:c r="B10" s="30" t="str">
        <x:v>MITRE ATT&amp;CK</x:v>
      </x:c>
      <x:c r="C10" s="30" t="str">
        <x:v>Detecting Malicious Browser Extensions Across Platforms</x:v>
      </x:c>
      <x:c r="D10" s="30" t="str">
        <x:v>Detection Strategy DET0044</x:v>
      </x:c>
      <x:c r="E10" s="30" t="str">
        <x:v>https://attack.mitre.org/detectionstrategies/DET0044/</x:v>
      </x:c>
      <x:c r="F10" s="31" t="str">
        <x:v>Extension inventory, file, process and network detection</x:v>
      </x:c>
    </x:row>
    <x:row r="11">
      <x:c r="A11" s="29" t="str">
        <x:v>SRC-10</x:v>
      </x:c>
      <x:c r="B11" s="30" t="str">
        <x:v>MITRE ATT&amp;CK</x:v>
      </x:c>
      <x:c r="C11" s="30" t="str">
        <x:v>Restrict Web-Based Content</x:v>
      </x:c>
      <x:c r="D11" s="30" t="str">
        <x:v>Mitigation M1021</x:v>
      </x:c>
      <x:c r="E11" s="30" t="str">
        <x:v>https://attack.mitre.org/mitigations/M1021/</x:v>
      </x:c>
      <x:c r="F11" s="31" t="str">
        <x:v>Restrict browser extensions and risky content</x:v>
      </x:c>
    </x:row>
    <x:row r="12">
      <x:c r="A12" s="29" t="str">
        <x:v>SRC-11</x:v>
      </x:c>
      <x:c r="B12" s="30" t="str">
        <x:v>Internet Engineering Task Force</x:v>
      </x:c>
      <x:c r="C12" s="30" t="str">
        <x:v>HTTP/2</x:v>
      </x:c>
      <x:c r="D12" s="30" t="str">
        <x:v>RFC 9113</x:v>
      </x:c>
      <x:c r="E12" s="30" t="str">
        <x:v>https://www.rfc-editor.org/rfc/rfc9113.html</x:v>
      </x:c>
      <x:c r="F12" s="31" t="str">
        <x:v>HTTP/2 streams, framing, multiplexing and CONNECT</x:v>
      </x:c>
    </x:row>
    <x:row r="13">
      <x:c r="A13" s="29" t="str">
        <x:v>SRC-12</x:v>
      </x:c>
      <x:c r="B13" s="30" t="str">
        <x:v>Internet Engineering Task Force</x:v>
      </x:c>
      <x:c r="C13" s="30" t="str">
        <x:v>HTTP/3</x:v>
      </x:c>
      <x:c r="D13" s="30" t="str">
        <x:v>RFC 9114</x:v>
      </x:c>
      <x:c r="E13" s="30" t="str">
        <x:v>https://www.rfc-editor.org/rfc/rfc9114.html</x:v>
      </x:c>
      <x:c r="F13" s="31" t="str">
        <x:v>HTTP/3 over QUIC and Alt-Svc</x:v>
      </x:c>
    </x:row>
    <x:row r="14">
      <x:c r="A14" s="29" t="str">
        <x:v>SRC-13</x:v>
      </x:c>
      <x:c r="B14" s="30" t="str">
        <x:v>Internet Engineering Task Force</x:v>
      </x:c>
      <x:c r="C14" s="30" t="str">
        <x:v>QUIC: A UDP-Based Multiplexed and Secure Transport</x:v>
      </x:c>
      <x:c r="D14" s="30" t="str">
        <x:v>RFC 9000</x:v>
      </x:c>
      <x:c r="E14" s="30" t="str">
        <x:v>https://www.rfc-editor.org/rfc/rfc9000.html</x:v>
      </x:c>
      <x:c r="F14" s="31" t="str">
        <x:v>QUIC transport, migration and streams</x:v>
      </x:c>
    </x:row>
    <x:row r="15">
      <x:c r="A15" s="29" t="str">
        <x:v>SRC-14</x:v>
      </x:c>
      <x:c r="B15" s="30" t="str">
        <x:v>Internet Engineering Task Force</x:v>
      </x:c>
      <x:c r="C15" s="30" t="str">
        <x:v>Bootstrapping WebSockets with HTTP/2</x:v>
      </x:c>
      <x:c r="D15" s="30" t="str">
        <x:v>RFC 8441</x:v>
      </x:c>
      <x:c r="E15" s="30" t="str">
        <x:v>https://www.rfc-editor.org/rfc/rfc8441.html</x:v>
      </x:c>
      <x:c r="F15" s="31" t="str">
        <x:v>HTTP/2 Extended CONNECT</x:v>
      </x:c>
    </x:row>
    <x:row r="16">
      <x:c r="A16" s="29" t="str">
        <x:v>SRC-15</x:v>
      </x:c>
      <x:c r="B16" s="30" t="str">
        <x:v>Internet Engineering Task Force</x:v>
      </x:c>
      <x:c r="C16" s="30" t="str">
        <x:v>Bootstrapping WebSockets with HTTP/3</x:v>
      </x:c>
      <x:c r="D16" s="30" t="str">
        <x:v>RFC 9220</x:v>
      </x:c>
      <x:c r="E16" s="30" t="str">
        <x:v>https://www.rfc-editor.org/rfc/rfc9220.html</x:v>
      </x:c>
      <x:c r="F16" s="31" t="str">
        <x:v>WebSocket over HTTP/3</x:v>
      </x:c>
    </x:row>
    <x:row r="17">
      <x:c r="A17" s="29" t="str">
        <x:v>SRC-16</x:v>
      </x:c>
      <x:c r="B17" s="30" t="str">
        <x:v>Internet Engineering Task Force</x:v>
      </x:c>
      <x:c r="C17" s="30" t="str">
        <x:v>HTTP Datagrams and the Capsule Protocol</x:v>
      </x:c>
      <x:c r="D17" s="30" t="str">
        <x:v>RFC 9297</x:v>
      </x:c>
      <x:c r="E17" s="30" t="str">
        <x:v>https://www.rfc-editor.org/rfc/rfc9297.html</x:v>
      </x:c>
      <x:c r="F17" s="31" t="str">
        <x:v>HTTP Datagrams and Capsule Protocol</x:v>
      </x:c>
    </x:row>
    <x:row r="18">
      <x:c r="A18" s="29" t="str">
        <x:v>SRC-17</x:v>
      </x:c>
      <x:c r="B18" s="30" t="str">
        <x:v>Internet Engineering Task Force</x:v>
      </x:c>
      <x:c r="C18" s="30" t="str">
        <x:v>Proxying UDP in HTTP</x:v>
      </x:c>
      <x:c r="D18" s="30" t="str">
        <x:v>RFC 9298</x:v>
      </x:c>
      <x:c r="E18" s="30" t="str">
        <x:v>https://www.rfc-editor.org/rfc/rfc9298.html</x:v>
      </x:c>
      <x:c r="F18" s="31" t="str">
        <x:v>CONNECT-UDP and MASQUE</x:v>
      </x:c>
    </x:row>
    <x:row r="19">
      <x:c r="A19" s="29" t="str">
        <x:v>SRC-18</x:v>
      </x:c>
      <x:c r="B19" s="30" t="str">
        <x:v>Internet Engineering Task Force</x:v>
      </x:c>
      <x:c r="C19" s="30" t="str">
        <x:v>Proxying IP in HTTP</x:v>
      </x:c>
      <x:c r="D19" s="30" t="str">
        <x:v>RFC 9484</x:v>
      </x:c>
      <x:c r="E19" s="30" t="str">
        <x:v>https://www.rfc-editor.org/rfc/rfc9484.html</x:v>
      </x:c>
      <x:c r="F19" s="31" t="str">
        <x:v>CONNECT-IP and arbitrary IP tunneling</x:v>
      </x:c>
    </x:row>
    <x:row r="20">
      <x:c r="A20" s="29" t="str">
        <x:v>SRC-19</x:v>
      </x:c>
      <x:c r="B20" s="30" t="str">
        <x:v>Internet Engineering Task Force</x:v>
      </x:c>
      <x:c r="C20" s="30" t="str">
        <x:v>DNS Queries over HTTPS</x:v>
      </x:c>
      <x:c r="D20" s="30" t="str">
        <x:v>RFC 8484</x:v>
      </x:c>
      <x:c r="E20" s="30" t="str">
        <x:v>https://www.rfc-editor.org/rfc/rfc8484.html</x:v>
      </x:c>
      <x:c r="F20" s="31" t="str">
        <x:v>DNS over HTTPS</x:v>
      </x:c>
    </x:row>
    <x:row r="21">
      <x:c r="A21" s="29" t="str">
        <x:v>SRC-20</x:v>
      </x:c>
      <x:c r="B21" s="30" t="str">
        <x:v>Internet Engineering Task Force</x:v>
      </x:c>
      <x:c r="C21" s="30" t="str">
        <x:v>DNS over Dedicated QUIC Connections</x:v>
      </x:c>
      <x:c r="D21" s="30" t="str">
        <x:v>RFC 9250</x:v>
      </x:c>
      <x:c r="E21" s="30" t="str">
        <x:v>https://www.rfc-editor.org/rfc/rfc9250.html</x:v>
      </x:c>
      <x:c r="F21" s="31" t="str">
        <x:v>DNS over QUIC</x:v>
      </x:c>
    </x:row>
    <x:row r="22">
      <x:c r="A22" s="29" t="str">
        <x:v>SRC-21</x:v>
      </x:c>
      <x:c r="B22" s="30" t="str">
        <x:v>Internet Engineering Task Force</x:v>
      </x:c>
      <x:c r="C22" s="30" t="str">
        <x:v>Applicability of the QUIC Transport Protocol</x:v>
      </x:c>
      <x:c r="D22" s="30" t="str">
        <x:v>RFC 9308</x:v>
      </x:c>
      <x:c r="E22" s="30" t="str">
        <x:v>https://www.rfc-editor.org/rfc/rfc9308.html</x:v>
      </x:c>
      <x:c r="F22" s="31" t="str">
        <x:v>QUIC 0-RTT and replay considerations</x:v>
      </x:c>
    </x:row>
    <x:row r="23">
      <x:c r="A23" s="29" t="str">
        <x:v>SRC-22</x:v>
      </x:c>
      <x:c r="B23" s="30" t="str">
        <x:v>Cybersecurity and Infrastructure Security Agency</x:v>
      </x:c>
      <x:c r="C23" s="30" t="str">
        <x:v>HTTP/2 Rapid Reset Vulnerability</x:v>
      </x:c>
      <x:c r="D23" s="30" t="str">
        <x:v>CVE-2023-44487 Alert</x:v>
      </x:c>
      <x:c r="E23" s="30" t="str">
        <x:v>https://www.cisa.gov/news-events/alerts/2023/10/10/http2-rapid-reset-vulnerability-cve-2023-44487</x:v>
      </x:c>
      <x:c r="F23" s="31" t="str">
        <x:v>HTTP/2 stream reset and DDoS controls</x:v>
      </x:c>
    </x:row>
    <x:row r="24">
      <x:c r="A24" s="29" t="str">
        <x:v>SRC-23</x:v>
      </x:c>
      <x:c r="B24" s="30" t="str">
        <x:v>World Wide Web Consortium</x:v>
      </x:c>
      <x:c r="C24" s="30" t="str">
        <x:v>WebAssembly Core Specification 2.0</x:v>
      </x:c>
      <x:c r="D24" s="30" t="str">
        <x:v>W3C Recommendation</x:v>
      </x:c>
      <x:c r="E24" s="30" t="str">
        <x:v>https://www.w3.org/TR/wasm-core-2/</x:v>
      </x:c>
      <x:c r="F24" s="31" t="str">
        <x:v>WebAssembly execution and sandbox model</x:v>
      </x:c>
    </x:row>
    <x:row r="25">
      <x:c r="A25" s="29" t="str">
        <x:v>SRC-24</x:v>
      </x:c>
      <x:c r="B25" s="30" t="str">
        <x:v>OWASP</x:v>
      </x:c>
      <x:c r="C25" s="30" t="str">
        <x:v>LLM Prompt Injection</x:v>
      </x:c>
      <x:c r="D25" s="30" t="str">
        <x:v>OWASP GenAI Security Project</x:v>
      </x:c>
      <x:c r="E25" s="30" t="str">
        <x:v>https://genai.owasp.org/llmrisk/llm01-prompt-injection/</x:v>
      </x:c>
      <x:c r="F25" s="31" t="str">
        <x:v>Indirect prompt injection and agentic browsing</x:v>
      </x:c>
    </x:row>
    <x:row r="26">
      <x:c r="A26" s="29" t="str">
        <x:v>SRC-25</x:v>
      </x:c>
      <x:c r="B26" s="30" t="str">
        <x:v>OWASP</x:v>
      </x:c>
      <x:c r="C26" s="30" t="str">
        <x:v>Web3 Wallet Security</x:v>
      </x:c>
      <x:c r="D26" s="30" t="str">
        <x:v>OWASP Web3 Project</x:v>
      </x:c>
      <x:c r="E26" s="30" t="str">
        <x:v>https://owasp.org/www-project-web3-wallet-security/</x:v>
      </x:c>
      <x:c r="F26" s="31" t="str">
        <x:v>Wallet, signing and dApp risks</x:v>
      </x:c>
    </x:row>
    <x:row r="27">
      <x:c r="A27" s="29" t="str">
        <x:v>SRC-26</x:v>
      </x:c>
      <x:c r="B27" s="30" t="str">
        <x:v>Cloudflare</x:v>
      </x:c>
      <x:c r="C27" s="30" t="str">
        <x:v>Browser Isolation Policies</x:v>
      </x:c>
      <x:c r="D27" s="30" t="str">
        <x:v>Cloudflare One Documentation</x:v>
      </x:c>
      <x:c r="E27" s="30" t="str">
        <x:v>https://developers.cloudflare.com/cloudflare-one/remote-browser-isolation/isolation-policies/</x:v>
      </x:c>
      <x:c r="F27" s="31" t="str">
        <x:v>Keyboard, clipboard, uploads, downloads and printing</x:v>
      </x:c>
    </x:row>
    <x:row r="28">
      <x:c r="A28" s="29" t="str">
        <x:v>SRC-27</x:v>
      </x:c>
      <x:c r="B28" s="30" t="str">
        <x:v>Cloudflare</x:v>
      </x:c>
      <x:c r="C28" s="30" t="str">
        <x:v>Browser Isolation Known Limitations</x:v>
      </x:c>
      <x:c r="D28" s="30" t="str">
        <x:v>Cloudflare One Documentation</x:v>
      </x:c>
      <x:c r="E28" s="30" t="str">
        <x:v>https://developers.cloudflare.com/cloudflare-one/remote-browser-isolation/known-limitations/</x:v>
      </x:c>
      <x:c r="F28" s="31" t="str">
        <x:v>Compatibility and feature limitations</x:v>
      </x:c>
    </x:row>
    <x:row r="29">
      <x:c r="A29" s="29" t="str">
        <x:v>SRC-28</x:v>
      </x:c>
      <x:c r="B29" s="30" t="str">
        <x:v>Cloudflare</x:v>
      </x:c>
      <x:c r="C29" s="30" t="str">
        <x:v>Canvas Remoting</x:v>
      </x:c>
      <x:c r="D29" s="30" t="str">
        <x:v>Cloudflare One Documentation</x:v>
      </x:c>
      <x:c r="E29" s="30" t="str">
        <x:v>https://developers.cloudflare.com/cloudflare-one/remote-browser-isolation/canvas-remoting/</x:v>
      </x:c>
      <x:c r="F29" s="31" t="str">
        <x:v>Vector and canvas remoting</x:v>
      </x:c>
    </x:row>
    <x:row r="30">
      <x:c r="A30" s="29" t="str">
        <x:v>SRC-29</x:v>
      </x:c>
      <x:c r="B30" s="30" t="str">
        <x:v>Google Cloud Mandiant</x:v>
      </x:c>
      <x:c r="C30" s="30" t="str">
        <x:v>C2 in Browser Isolation Environments</x:v>
      </x:c>
      <x:c r="D30" s="30" t="str">
        <x:v>Threat Research</x:v>
      </x:c>
      <x:c r="E30" s="30" t="str">
        <x:v>https://cloud.google.com/blog/topics/threat-intelligence/c2-browser-isolation-environments</x:v>
      </x:c>
      <x:c r="F30" s="31" t="str">
        <x:v>Visual and QR-code C2 limitations</x:v>
      </x:c>
    </x:row>
    <x:row r="31">
      <x:c r="A31" s="29" t="str">
        <x:v>SRC-30</x:v>
      </x:c>
      <x:c r="B31" s="30" t="str">
        <x:v>Chrome Enterprise</x:v>
      </x:c>
      <x:c r="C31" s="30" t="str">
        <x:v>ExtensionSettings</x:v>
      </x:c>
      <x:c r="D31" s="30" t="str">
        <x:v>Chrome Enterprise Policy</x:v>
      </x:c>
      <x:c r="E31" s="30" t="str">
        <x:v>https://chromeenterprise.google/policies/extension-settings/</x:v>
      </x:c>
      <x:c r="F31" s="31" t="str">
        <x:v>Central extension configuration and permission governance</x:v>
      </x:c>
    </x:row>
    <x:row r="32">
      <x:c r="A32" s="29" t="str">
        <x:v>SRC-31</x:v>
      </x:c>
      <x:c r="B32" s="30" t="str">
        <x:v>Chrome Enterprise</x:v>
      </x:c>
      <x:c r="C32" s="30" t="str">
        <x:v>ExtensionInstallBlocklist</x:v>
      </x:c>
      <x:c r="D32" s="30" t="str">
        <x:v>Chrome Enterprise Policy</x:v>
      </x:c>
      <x:c r="E32" s="30" t="str">
        <x:v>https://chromeenterprise.google/policies/extension-install-blocklist/</x:v>
      </x:c>
      <x:c r="F32" s="31" t="str">
        <x:v>Block all extensions except approved allowlist</x:v>
      </x:c>
    </x:row>
    <x:row r="33">
      <x:c r="A33" s="29" t="str">
        <x:v>SRC-32</x:v>
      </x:c>
      <x:c r="B33" s="30" t="str">
        <x:v>Chrome Enterprise</x:v>
      </x:c>
      <x:c r="C33" s="30" t="str">
        <x:v>ExtensionInstallAllowlist</x:v>
      </x:c>
      <x:c r="D33" s="30" t="str">
        <x:v>Chrome Enterprise Policy</x:v>
      </x:c>
      <x:c r="E33" s="30" t="str">
        <x:v>https://chromeenterprise.google/policies/extension-install-allowlist/</x:v>
      </x:c>
      <x:c r="F33" s="31" t="str">
        <x:v>Extension allowlisting</x:v>
      </x:c>
    </x:row>
    <x:row r="34">
      <x:c r="A34" s="29" t="str">
        <x:v>SRC-33</x:v>
      </x:c>
      <x:c r="B34" s="30" t="str">
        <x:v>Chrome Enterprise</x:v>
      </x:c>
      <x:c r="C34" s="30" t="str">
        <x:v>ExtensionInstallForcelist</x:v>
      </x:c>
      <x:c r="D34" s="30" t="str">
        <x:v>Chrome Enterprise Policy</x:v>
      </x:c>
      <x:c r="E34" s="30" t="str">
        <x:v>https://chromeenterprise.google/policies/extension-install-forcelist/</x:v>
      </x:c>
      <x:c r="F34" s="31" t="str">
        <x:v>Forced installation and automatic removal when removed from policy</x:v>
      </x:c>
    </x:row>
    <x:row r="35">
      <x:c r="A35" s="29" t="str">
        <x:v>SRC-34</x:v>
      </x:c>
      <x:c r="B35" s="30" t="str">
        <x:v>Microsoft</x:v>
      </x:c>
      <x:c r="C35" s="30" t="str">
        <x:v>ExtensionInstallBlocklist</x:v>
      </x:c>
      <x:c r="D35" s="30" t="str">
        <x:v>Microsoft Edge Policy</x:v>
      </x:c>
      <x:c r="E35" s="30" t="str">
        <x:v>https://learn.microsoft.com/en-us/deployedge/microsoft-edge-policies/extensioninstallblocklist</x:v>
      </x:c>
      <x:c r="F35" s="31" t="str">
        <x:v>Block all extensions except approved allowlist</x:v>
      </x:c>
    </x:row>
    <x:row r="36">
      <x:c r="A36" s="29" t="str">
        <x:v>SRC-35</x:v>
      </x:c>
      <x:c r="B36" s="30" t="str">
        <x:v>Microsoft</x:v>
      </x:c>
      <x:c r="C36" s="30" t="str">
        <x:v>ExtensionInstallAllowlist</x:v>
      </x:c>
      <x:c r="D36" s="30" t="str">
        <x:v>Microsoft Edge Policy</x:v>
      </x:c>
      <x:c r="E36" s="30" t="str">
        <x:v>https://learn.microsoft.com/en-us/deployedge/microsoft-edge-policies/extensioninstallallowlist</x:v>
      </x:c>
      <x:c r="F36" s="31" t="str">
        <x:v>Extension allowlisting</x:v>
      </x:c>
    </x:row>
    <x:row r="37">
      <x:c r="A37" s="32" t="str">
        <x:v>SRC-36</x:v>
      </x:c>
      <x:c r="B37" s="33" t="str">
        <x:v>Microsoft</x:v>
      </x:c>
      <x:c r="C37" s="33" t="str">
        <x:v>ExtensionInstallForcelist</x:v>
      </x:c>
      <x:c r="D37" s="33" t="str">
        <x:v>Microsoft Edge Policy</x:v>
      </x:c>
      <x:c r="E37" s="33" t="str">
        <x:v>https://learn.microsoft.com/en-us/deployedge/microsoft-edge-policies/extensioninstallforcelist</x:v>
      </x:c>
      <x:c r="F37" s="34" t="str">
        <x:v>Forced extension deployment and removal</x:v>
      </x:c>
    </x:row>
    <x:row r="38">
      <x:c r="A38" s="217" t="str">
        <x:v>SRC-37</x:v>
      </x:c>
      <x:c r="B38" s="226" t="str">
        <x:v>Netskope</x:v>
      </x:c>
      <x:c r="C38" s="226" t="str">
        <x:v>RBI Best Practices and Limitations</x:v>
      </x:c>
      <x:c r="D38" s="226" t="str">
        <x:v>Technical documentation</x:v>
      </x:c>
      <x:c r="E38" s="226" t="str">
        <x:v>https://docs.netskope.com/en/rbi-best-practices-and-limitations</x:v>
      </x:c>
      <x:c r="F38" s="227" t="str">
        <x:v>Unsupported requests, policy scope and RBI limitations</x:v>
      </x:c>
    </x:row>
    <x:row r="39">
      <x:c r="A39" s="220" t="str">
        <x:v>SRC-38</x:v>
      </x:c>
      <x:c r="B39" s="228" t="str">
        <x:v>Netskope</x:v>
      </x:c>
      <x:c r="C39" s="228" t="str">
        <x:v>Extended RBI Best Practices and Considerations</x:v>
      </x:c>
      <x:c r="D39" s="228" t="str">
        <x:v>Technical documentation</x:v>
      </x:c>
      <x:c r="E39" s="228" t="str">
        <x:v>https://docs.netskope.com/en/extended-rbi-best-practices-and-limitations</x:v>
      </x:c>
      <x:c r="F39" s="229" t="str">
        <x:v>Extended RBI, unrenderable content and policy matching</x:v>
      </x:c>
    </x:row>
    <x:row r="40">
      <x:c r="A40" s="220" t="str">
        <x:v>SRC-39</x:v>
      </x:c>
      <x:c r="B40" s="228" t="str">
        <x:v>Netskope</x:v>
      </x:c>
      <x:c r="C40" s="228" t="str">
        <x:v>RBI Templates</x:v>
      </x:c>
      <x:c r="D40" s="228" t="str">
        <x:v>Technical documentation</x:v>
      </x:c>
      <x:c r="E40" s="228" t="str">
        <x:v>https://docs.netskope.com/en/rbi-templates</x:v>
      </x:c>
      <x:c r="F40" s="229" t="str">
        <x:v>Private navigation, read-only mode and isolation indicators</x:v>
      </x:c>
    </x:row>
    <x:row r="41">
      <x:c r="A41" s="220" t="str">
        <x:v>SRC-40</x:v>
      </x:c>
      <x:c r="B41" s="228" t="str">
        <x:v>Netskope</x:v>
      </x:c>
      <x:c r="C41" s="228" t="str">
        <x:v>Certificate Pinned Applications and Exceptions</x:v>
      </x:c>
      <x:c r="D41" s="228" t="str">
        <x:v>Technical documentation</x:v>
      </x:c>
      <x:c r="E41" s="228" t="str">
        <x:v>https://docs.netskope.com/en/adding-exceptions</x:v>
      </x:c>
      <x:c r="F41" s="229" t="str">
        <x:v>Certificate-pinning bypass and block governance</x:v>
      </x:c>
    </x:row>
    <x:row r="42">
      <x:c r="A42" s="220" t="str">
        <x:v>SRC-41</x:v>
      </x:c>
      <x:c r="B42" s="228" t="str">
        <x:v>Netskope</x:v>
      </x:c>
      <x:c r="C42" s="228" t="str">
        <x:v>Agentic Broker</x:v>
      </x:c>
      <x:c r="D42" s="228" t="str">
        <x:v>Technical documentation</x:v>
      </x:c>
      <x:c r="E42" s="228" t="str">
        <x:v>https://docs.netskope.com/en/agentic-broker</x:v>
      </x:c>
      <x:c r="F42" s="229" t="str">
        <x:v>MCP inventory, access control and Agentic Broker</x:v>
      </x:c>
    </x:row>
    <x:row r="43">
      <x:c r="A43" s="220" t="str">
        <x:v>SRC-42</x:v>
      </x:c>
      <x:c r="B43" s="228" t="str">
        <x:v>Netskope</x:v>
      </x:c>
      <x:c r="C43" s="228" t="str">
        <x:v>Real-time Protection Policies for MCP Security</x:v>
      </x:c>
      <x:c r="D43" s="228" t="str">
        <x:v>Technical documentation</x:v>
      </x:c>
      <x:c r="E43" s="228" t="str">
        <x:v>https://docs.netskope.com/en/real-time-protection-policies-for-mcp-security</x:v>
      </x:c>
      <x:c r="F43" s="229" t="str">
        <x:v>MCP inspection, SSL decryption and licensing dependencies</x:v>
      </x:c>
    </x:row>
    <x:row r="44">
      <x:c r="A44" s="220" t="str">
        <x:v>SRC-43</x:v>
      </x:c>
      <x:c r="B44" s="228" t="str">
        <x:v>Netskope</x:v>
      </x:c>
      <x:c r="C44" s="228" t="str">
        <x:v>Isolation in an End User's Browser</x:v>
      </x:c>
      <x:c r="D44" s="228" t="str">
        <x:v>Technical documentation</x:v>
      </x:c>
      <x:c r="E44" s="228" t="str">
        <x:v>https://docs.netskope.com/en/isolation-in-an-end-user-s-browser</x:v>
      </x:c>
      <x:c r="F44" s="229" t="str">
        <x:v>Session and resource limits</x:v>
      </x:c>
    </x:row>
    <x:row r="45">
      <x:c r="A45" s="220" t="str">
        <x:v>SRC-44</x:v>
      </x:c>
      <x:c r="B45" s="228" t="str">
        <x:v>Menlo Security</x:v>
      </x:c>
      <x:c r="C45" s="228" t="str">
        <x:v>Remote Browser Isolation</x:v>
      </x:c>
      <x:c r="D45" s="228" t="str">
        <x:v>Product documentation</x:v>
      </x:c>
      <x:c r="E45" s="228" t="str">
        <x:v>https://www.menlosecurity.com/product/remote-browser-isolation</x:v>
      </x:c>
      <x:c r="F45" s="229" t="str">
        <x:v>Adaptive Clientless Rendering and cloud execution</x:v>
      </x:c>
    </x:row>
    <x:row r="46">
      <x:c r="A46" s="220" t="str">
        <x:v>SRC-45</x:v>
      </x:c>
      <x:c r="B46" s="228" t="str">
        <x:v>Menlo Security</x:v>
      </x:c>
      <x:c r="C46" s="228" t="str">
        <x:v>AI Agent Security</x:v>
      </x:c>
      <x:c r="D46" s="228" t="str">
        <x:v>Product documentation</x:v>
      </x:c>
      <x:c r="E46" s="228" t="str">
        <x:v>https://www.menlosecurity.com/product/ai-agent-security</x:v>
      </x:c>
      <x:c r="F46" s="229" t="str">
        <x:v>Disposable agent browser runtime and prompt-injection protection</x:v>
      </x:c>
    </x:row>
    <x:row r="47">
      <x:c r="A47" s="220" t="str">
        <x:v>SRC-46</x:v>
      </x:c>
      <x:c r="B47" s="228" t="str">
        <x:v>LayerX</x:v>
      </x:c>
      <x:c r="C47" s="228" t="str">
        <x:v>AI Governance and Browser Security</x:v>
      </x:c>
      <x:c r="D47" s="228" t="str">
        <x:v>Product documentation</x:v>
      </x:c>
      <x:c r="E47" s="228" t="str">
        <x:v>https://layerxsecurity.com/</x:v>
      </x:c>
      <x:c r="F47" s="229" t="str">
        <x:v>Browser-extension enforcement, Shadow AI and SaaS visibility</x:v>
      </x:c>
    </x:row>
    <x:row r="48">
      <x:c r="A48" s="220" t="str">
        <x:v>SRC-47</x:v>
      </x:c>
      <x:c r="B48" s="228" t="str">
        <x:v>LayerX</x:v>
      </x:c>
      <x:c r="C48" s="228" t="str">
        <x:v>Shadow AI Discovery</x:v>
      </x:c>
      <x:c r="D48" s="228" t="str">
        <x:v>Product documentation</x:v>
      </x:c>
      <x:c r="E48" s="228" t="str">
        <x:v>https://layerxsecurity.com/use-cases/shadow-ai-discovery/</x:v>
      </x:c>
      <x:c r="F48" s="229" t="str">
        <x:v>Embedded AI and extension visibility</x:v>
      </x:c>
    </x:row>
    <x:row r="49">
      <x:c r="A49" s="220" t="str">
        <x:v>SRC-48</x:v>
      </x:c>
      <x:c r="B49" s="228" t="str">
        <x:v>Seraphic Security</x:v>
      </x:c>
      <x:c r="C49" s="228" t="str">
        <x:v>Enterprise Browser Security Product</x:v>
      </x:c>
      <x:c r="D49" s="228" t="str">
        <x:v>Product documentation</x:v>
      </x:c>
      <x:c r="E49" s="228" t="str">
        <x:v>https://seraphicsecurity.com/product/</x:v>
      </x:c>
      <x:c r="F49" s="229" t="str">
        <x:v>Runtime protection, mobile and extension governance</x:v>
      </x:c>
    </x:row>
    <x:row r="50">
      <x:c r="A50" s="220" t="str">
        <x:v>SRC-49</x:v>
      </x:c>
      <x:c r="B50" s="228" t="str">
        <x:v>Seraphic Security</x:v>
      </x:c>
      <x:c r="C50" s="228" t="str">
        <x:v>Protect and Govern Data Assets</x:v>
      </x:c>
      <x:c r="D50" s="228" t="str">
        <x:v>Product documentation</x:v>
      </x:c>
      <x:c r="E50" s="228" t="str">
        <x:v>https://seraphicsecurity.com/solutions/protect-and-govern-data-assets/</x:v>
      </x:c>
      <x:c r="F50" s="229" t="str">
        <x:v>Context-aware browser DLP and extension control</x:v>
      </x:c>
    </x:row>
    <x:row r="51">
      <x:c r="A51" s="220" t="str">
        <x:v>SRC-50</x:v>
      </x:c>
      <x:c r="B51" s="228" t="str">
        <x:v>Conceal</x:v>
      </x:c>
      <x:c r="C51" s="228" t="str">
        <x:v>Browser Security</x:v>
      </x:c>
      <x:c r="D51" s="228" t="str">
        <x:v>Product documentation</x:v>
      </x:c>
      <x:c r="E51" s="228" t="str">
        <x:v>https://conceal.io/browser-security/</x:v>
      </x:c>
      <x:c r="F51" s="229" t="str">
        <x:v>Browser-native protection, AiTM and HTML-smuggling defense</x:v>
      </x:c>
    </x:row>
    <x:row r="52">
      <x:c r="A52" s="220" t="str">
        <x:v>SRC-51</x:v>
      </x:c>
      <x:c r="B52" s="228" t="str">
        <x:v>Island</x:v>
      </x:c>
      <x:c r="C52" s="228" t="str">
        <x:v>Enterprise Platform</x:v>
      </x:c>
      <x:c r="D52" s="228" t="str">
        <x:v>Product documentation</x:v>
      </x:c>
      <x:c r="E52" s="228" t="str">
        <x:v>https://www.island.io/press/new-island-enterprise-platform</x:v>
      </x:c>
      <x:c r="F52" s="229" t="str">
        <x:v>Enterprise browser, extension, identity, data and AI controls</x:v>
      </x:c>
    </x:row>
    <x:row r="53">
      <x:c r="A53" s="220" t="str">
        <x:v>SRC-52</x:v>
      </x:c>
      <x:c r="B53" s="228" t="str">
        <x:v>Island</x:v>
      </x:c>
      <x:c r="C53" s="228" t="str">
        <x:v>Enterprise AI Services</x:v>
      </x:c>
      <x:c r="D53" s="228" t="str">
        <x:v>Product documentation</x:v>
      </x:c>
      <x:c r="E53" s="228" t="str">
        <x:v>https://www.island.io/ai</x:v>
      </x:c>
      <x:c r="F53" s="229" t="str">
        <x:v>AI agents, MCP integrations and governed browser AI</x:v>
      </x:c>
    </x:row>
    <x:row r="54">
      <x:c r="A54" s="220" t="str">
        <x:v>SRC-53</x:v>
      </x:c>
      <x:c r="B54" s="228" t="str">
        <x:v>SURF Security</x:v>
      </x:c>
      <x:c r="C54" s="228" t="str">
        <x:v>Zero Trust Enterprise Browser</x:v>
      </x:c>
      <x:c r="D54" s="228" t="str">
        <x:v>Product documentation</x:v>
      </x:c>
      <x:c r="E54" s="228" t="str">
        <x:v>https://www.surf.security/platform/fullbrowser</x:v>
      </x:c>
      <x:c r="F54" s="229" t="str">
        <x:v>Endpoint enterprise browser, DLP and interaction controls</x:v>
      </x:c>
    </x:row>
    <x:row r="55">
      <x:c r="A55" s="220" t="str">
        <x:v>SRC-54</x:v>
      </x:c>
      <x:c r="B55" s="228" t="str">
        <x:v>SURF Security</x:v>
      </x:c>
      <x:c r="C55" s="228" t="str">
        <x:v>Shadow AI</x:v>
      </x:c>
      <x:c r="D55" s="228" t="str">
        <x:v>Product documentation</x:v>
      </x:c>
      <x:c r="E55" s="228" t="str">
        <x:v>https://www.surf.security/surf-shadow-ai</x:v>
      </x:c>
      <x:c r="F55" s="229" t="str">
        <x:v>Shadow AI visibility, DLP and PII controls</x:v>
      </x:c>
    </x:row>
    <x:row r="56">
      <x:c r="A56" s="220" t="str">
        <x:v>SRC-55</x:v>
      </x:c>
      <x:c r="B56" s="228" t="str">
        <x:v>Palo Alto Networks</x:v>
      </x:c>
      <x:c r="C56" s="228" t="str">
        <x:v>Remote Browser Isolation</x:v>
      </x:c>
      <x:c r="D56" s="228" t="str">
        <x:v>Technical documentation</x:v>
      </x:c>
      <x:c r="E56" s="228" t="str">
        <x:v>https://docs.paloaltonetworks.com/remote-browser-isolation/administration/remote-browser-isolation</x:v>
      </x:c>
      <x:c r="F56" s="229" t="str">
        <x:v>Cloud RBI and downstream CDSS inspection</x:v>
      </x:c>
    </x:row>
    <x:row r="57">
      <x:c r="A57" s="220" t="str">
        <x:v>SRC-56</x:v>
      </x:c>
      <x:c r="B57" s="228" t="str">
        <x:v>Palo Alto Networks</x:v>
      </x:c>
      <x:c r="C57" s="228" t="str">
        <x:v>Remote Browser Isolation Limitations</x:v>
      </x:c>
      <x:c r="D57" s="228" t="str">
        <x:v>Technical documentation</x:v>
      </x:c>
      <x:c r="E57" s="228" t="str">
        <x:v>https://docs.paloaltonetworks.com/remote-browser-isolation/release-notes/remote-browser-isolation-release-information/remote-browser-isolation-limitations</x:v>
      </x:c>
      <x:c r="F57" s="229" t="str">
        <x:v>Subresource and compatibility limitations</x:v>
      </x:c>
    </x:row>
    <x:row r="58">
      <x:c r="A58" s="220" t="str">
        <x:v>SRC-57</x:v>
      </x:c>
      <x:c r="B58" s="228" t="str">
        <x:v>Palo Alto Networks</x:v>
      </x:c>
      <x:c r="C58" s="228" t="str">
        <x:v>Expanded Custom File Type Support in RBI</x:v>
      </x:c>
      <x:c r="D58" s="228" t="str">
        <x:v>Technical documentation</x:v>
      </x:c>
      <x:c r="E58" s="228" t="str">
        <x:v>https://docs.paloaltonetworks.com/content/techdocs/en_US/remote-browser-isolation/new-features/by-version/remote-browser-isolation/2-8</x:v>
      </x:c>
      <x:c r="F58" s="229" t="str">
        <x:v>Granular file upload and download controls</x:v>
      </x:c>
    </x:row>
    <x:row r="59">
      <x:c r="A59" s="220" t="str">
        <x:v>SRC-58</x:v>
      </x:c>
      <x:c r="B59" s="228" t="str">
        <x:v>Mammoth Cyber</x:v>
      </x:c>
      <x:c r="C59" s="228" t="str">
        <x:v>Enterprise Browser Product</x:v>
      </x:c>
      <x:c r="D59" s="228" t="str">
        <x:v>Product documentation</x:v>
      </x:c>
      <x:c r="E59" s="228" t="str">
        <x:v>https://mammothcyber.com/product/</x:v>
      </x:c>
      <x:c r="F59" s="229" t="str">
        <x:v>Enterprise browser, device trust and data isolation</x:v>
      </x:c>
    </x:row>
    <x:row r="60">
      <x:c r="A60" s="223" t="str">
        <x:v>SRC-59</x:v>
      </x:c>
      <x:c r="B60" s="230" t="str">
        <x:v>Mammoth Cyber</x:v>
      </x:c>
      <x:c r="C60" s="230" t="str">
        <x:v>Browser Isolation</x:v>
      </x:c>
      <x:c r="D60" s="230" t="str">
        <x:v>Product documentation</x:v>
      </x:c>
      <x:c r="E60" s="230" t="str">
        <x:v>https://mammothcyber.com/browser-isolation/</x:v>
      </x:c>
      <x:c r="F60" s="231" t="str">
        <x:v>Browser-isolation claims requiring architecture validation</x:v>
      </x:c>
    </x:row>
    <x:row r="61">
      <x:c r="A61" s="285" t="str">
        <x:v>SRC-60</x:v>
      </x:c>
      <x:c r="B61" s="293" t="str">
        <x:v>CISA</x:v>
      </x:c>
      <x:c r="C61" s="293" t="str">
        <x:v>Nation-State Cyber Actors</x:v>
      </x:c>
      <x:c r="D61" s="293" t="str">
        <x:v>Threat overview</x:v>
      </x:c>
      <x:c r="E61" s="293" t="str">
        <x:v>https://www.cisa.gov/topics/cyber-threats-and-advisories/nation-state-cyber-actors</x:v>
      </x:c>
      <x:c r="F61" s="294" t="str">
        <x:v>Country threat overview and advisories</x:v>
      </x:c>
    </x:row>
    <x:row r="62">
      <x:c r="A62" s="288" t="str">
        <x:v>SRC-61</x:v>
      </x:c>
      <x:c r="B62" s="228" t="str">
        <x:v>MITRE ATT&amp;CK</x:v>
      </x:c>
      <x:c r="C62" s="228" t="str">
        <x:v>Magic Hound</x:v>
      </x:c>
      <x:c r="D62" s="228" t="str">
        <x:v>Group G0059</x:v>
      </x:c>
      <x:c r="E62" s="228" t="str">
        <x:v>https://attack.mitre.org/groups/G0059/</x:v>
      </x:c>
      <x:c r="F62" s="295" t="str">
        <x:v>Iranian social engineering and phishing</x:v>
      </x:c>
    </x:row>
    <x:row r="63">
      <x:c r="A63" s="288" t="str">
        <x:v>SRC-62</x:v>
      </x:c>
      <x:c r="B63" s="228" t="str">
        <x:v>MITRE ATT&amp;CK</x:v>
      </x:c>
      <x:c r="C63" s="228" t="str">
        <x:v>MuddyWater</x:v>
      </x:c>
      <x:c r="D63" s="228" t="str">
        <x:v>Group G0069</x:v>
      </x:c>
      <x:c r="E63" s="228" t="str">
        <x:v>https://attack.mitre.org/groups/G0069/</x:v>
      </x:c>
      <x:c r="F63" s="295" t="str">
        <x:v>Iranian espionage and web-protocol C2</x:v>
      </x:c>
    </x:row>
    <x:row r="64">
      <x:c r="A64" s="288" t="str">
        <x:v>SRC-63</x:v>
      </x:c>
      <x:c r="B64" s="228" t="str">
        <x:v>MITRE ATT&amp;CK</x:v>
      </x:c>
      <x:c r="C64" s="228" t="str">
        <x:v>APT33</x:v>
      </x:c>
      <x:c r="D64" s="228" t="str">
        <x:v>Group G0064</x:v>
      </x:c>
      <x:c r="E64" s="228" t="str">
        <x:v>https://attack.mitre.org/groups/G0064/</x:v>
      </x:c>
      <x:c r="F64" s="295" t="str">
        <x:v>Iranian targeting and initial access</x:v>
      </x:c>
    </x:row>
    <x:row r="65">
      <x:c r="A65" s="288" t="str">
        <x:v>SRC-64</x:v>
      </x:c>
      <x:c r="B65" s="228" t="str">
        <x:v>CISA</x:v>
      </x:c>
      <x:c r="C65" s="228" t="str">
        <x:v>Iran-based Cyber Actors Enabling Ransomware Attacks</x:v>
      </x:c>
      <x:c r="D65" s="228" t="str">
        <x:v>AA24-241A</x:v>
      </x:c>
      <x:c r="E65" s="228" t="str">
        <x:v>https://www.cisa.gov/news-events/cybersecurity-advisories/aa24-241a</x:v>
      </x:c>
      <x:c r="F65" s="295" t="str">
        <x:v>Iranian exploitation of internet-facing systems</x:v>
      </x:c>
    </x:row>
    <x:row r="66">
      <x:c r="A66" s="288" t="str">
        <x:v>SRC-65</x:v>
      </x:c>
      <x:c r="B66" s="228" t="str">
        <x:v>CISA</x:v>
      </x:c>
      <x:c r="C66" s="228" t="str">
        <x:v>Iranian Cyber Actors' Brute Force and Credential Access Activity</x:v>
      </x:c>
      <x:c r="D66" s="228" t="str">
        <x:v>AA24-290A</x:v>
      </x:c>
      <x:c r="E66" s="228" t="str">
        <x:v>https://www.cisa.gov/news-events/cybersecurity-advisories/aa24-290a</x:v>
      </x:c>
      <x:c r="F66" s="295" t="str">
        <x:v>Password spraying, MFA and credential access</x:v>
      </x:c>
    </x:row>
    <x:row r="67">
      <x:c r="A67" s="288" t="str">
        <x:v>SRC-66</x:v>
      </x:c>
      <x:c r="B67" s="228" t="str">
        <x:v>Microsoft Threat Intelligence</x:v>
      </x:c>
      <x:c r="C67" s="228" t="str">
        <x:v>New TTPs Observed in Mint Sandstorm Campaign</x:v>
      </x:c>
      <x:c r="D67" s="228" t="str">
        <x:v>Threat research</x:v>
      </x:c>
      <x:c r="E67" s="228" t="str">
        <x:v>https://www.microsoft.com/en-us/security/blog/2024/01/17/new-ttps-observed-in-mint-sandstorm-campaign-targeting-high-profile-individuals-at-universities-and-research-orgs/</x:v>
      </x:c>
      <x:c r="F67" s="295" t="str">
        <x:v>Bespoke phishing and compromised accounts</x:v>
      </x:c>
    </x:row>
    <x:row r="68">
      <x:c r="A68" s="288" t="str">
        <x:v>SRC-67</x:v>
      </x:c>
      <x:c r="B68" s="228" t="str">
        <x:v>Microsoft Threat Intelligence</x:v>
      </x:c>
      <x:c r="C68" s="228" t="str">
        <x:v>Defending Against Evolving Identity Attack Techniques</x:v>
      </x:c>
      <x:c r="D68" s="228" t="str">
        <x:v>Threat research</x:v>
      </x:c>
      <x:c r="E68" s="228" t="str">
        <x:v>https://www.microsoft.com/en-us/security/blog/2025/05/29/defending-against-evolving-identity-attack-techniques/</x:v>
      </x:c>
      <x:c r="F68" s="295" t="str">
        <x:v>Iranian social-media phishing and identity defense</x:v>
      </x:c>
    </x:row>
    <x:row r="69">
      <x:c r="A69" s="288" t="str">
        <x:v>SRC-68</x:v>
      </x:c>
      <x:c r="B69" s="228" t="str">
        <x:v>MITRE ATT&amp;CK</x:v>
      </x:c>
      <x:c r="C69" s="228" t="str">
        <x:v>APT28</x:v>
      </x:c>
      <x:c r="D69" s="228" t="str">
        <x:v>Group G0007</x:v>
      </x:c>
      <x:c r="E69" s="228" t="str">
        <x:v>https://attack.mitre.org/groups/G0007/</x:v>
      </x:c>
      <x:c r="F69" s="295" t="str">
        <x:v>Russian GRU phishing and web operations</x:v>
      </x:c>
    </x:row>
    <x:row r="70">
      <x:c r="A70" s="288" t="str">
        <x:v>SRC-69</x:v>
      </x:c>
      <x:c r="B70" s="228" t="str">
        <x:v>MITRE ATT&amp;CK</x:v>
      </x:c>
      <x:c r="C70" s="228" t="str">
        <x:v>APT29</x:v>
      </x:c>
      <x:c r="D70" s="228" t="str">
        <x:v>Group G0016</x:v>
      </x:c>
      <x:c r="E70" s="228" t="str">
        <x:v>https://attack.mitre.org/groups/G0016/</x:v>
      </x:c>
      <x:c r="F70" s="295" t="str">
        <x:v>Russian SVR phishing, supply chain and cloud activity</x:v>
      </x:c>
    </x:row>
    <x:row r="71">
      <x:c r="A71" s="288" t="str">
        <x:v>SRC-70</x:v>
      </x:c>
      <x:c r="B71" s="228" t="str">
        <x:v>MITRE ATT&amp;CK</x:v>
      </x:c>
      <x:c r="C71" s="228" t="str">
        <x:v>Sandworm Team</x:v>
      </x:c>
      <x:c r="D71" s="228" t="str">
        <x:v>Group G0034</x:v>
      </x:c>
      <x:c r="E71" s="228" t="str">
        <x:v>https://attack.mitre.org/groups/G0034/</x:v>
      </x:c>
      <x:c r="F71" s="295" t="str">
        <x:v>Russian destructive and web-shell operations</x:v>
      </x:c>
    </x:row>
    <x:row r="72">
      <x:c r="A72" s="288" t="str">
        <x:v>SRC-71</x:v>
      </x:c>
      <x:c r="B72" s="228" t="str">
        <x:v>Microsoft Threat Intelligence</x:v>
      </x:c>
      <x:c r="C72" s="228" t="str">
        <x:v>Storm-2372 Conducts Device Code Phishing Campaign</x:v>
      </x:c>
      <x:c r="D72" s="228" t="str">
        <x:v>Threat research</x:v>
      </x:c>
      <x:c r="E72" s="228" t="str">
        <x:v>https://www.microsoft.com/en-us/security/blog/2025/02/13/storm-2372-conducts-device-code-phishing-campaign/</x:v>
      </x:c>
      <x:c r="F72" s="295" t="str">
        <x:v>Russian-aligned device code phishing</x:v>
      </x:c>
    </x:row>
    <x:row r="73">
      <x:c r="A73" s="288" t="str">
        <x:v>SRC-72</x:v>
      </x:c>
      <x:c r="B73" s="228" t="str">
        <x:v>Microsoft Threat Intelligence</x:v>
      </x:c>
      <x:c r="C73" s="228" t="str">
        <x:v>CaptiveCrunch: Midnight Blizzard Targets Travelers</x:v>
      </x:c>
      <x:c r="D73" s="228" t="str">
        <x:v>Threat research</x:v>
      </x:c>
      <x:c r="E73" s="228" t="str">
        <x:v>https://www.microsoft.com/en-us/security/blog/2026/07/31/captivecrunch-midnight-blizzard-targets-travelers-worldwide-for-malware-delivery-and-credential-theft/</x:v>
      </x:c>
      <x:c r="F73" s="295" t="str">
        <x:v>Captive portal, DNS and HTTP manipulation</x:v>
      </x:c>
    </x:row>
    <x:row r="74">
      <x:c r="A74" s="288" t="str">
        <x:v>SRC-73</x:v>
      </x:c>
      <x:c r="B74" s="228" t="str">
        <x:v>CISA</x:v>
      </x:c>
      <x:c r="C74" s="228" t="str">
        <x:v>Russian GRU Targeting Western Logistics Entities and Technology Companies</x:v>
      </x:c>
      <x:c r="D74" s="228" t="str">
        <x:v>AA25-141A</x:v>
      </x:c>
      <x:c r="E74" s="228" t="str">
        <x:v>https://www.cisa.gov/news-events/cybersecurity-advisories/aa25-141a</x:v>
      </x:c>
      <x:c r="F74" s="295" t="str">
        <x:v>Fake login pages and spearphishing</x:v>
      </x:c>
    </x:row>
    <x:row r="75">
      <x:c r="A75" s="288" t="str">
        <x:v>SRC-74</x:v>
      </x:c>
      <x:c r="B75" s="228" t="str">
        <x:v>CISA</x:v>
      </x:c>
      <x:c r="C75" s="228" t="str">
        <x:v>Russian State-Supported Actors Target Zimbra Users</x:v>
      </x:c>
      <x:c r="D75" s="228" t="str">
        <x:v>AA26-204A</x:v>
      </x:c>
      <x:c r="E75" s="228" t="str">
        <x:v>https://www.cisa.gov/news-events/cybersecurity-advisories/aa26-204a</x:v>
      </x:c>
      <x:c r="F75" s="295" t="str">
        <x:v>Webmail credential phishing</x:v>
      </x:c>
    </x:row>
    <x:row r="76">
      <x:c r="A76" s="288" t="str">
        <x:v>SRC-75</x:v>
      </x:c>
      <x:c r="B76" s="228" t="str">
        <x:v>Microsoft Threat Intelligence</x:v>
      </x:c>
      <x:c r="C76" s="228" t="str">
        <x:v>Secret Blizzard Compromising Other Threat Infrastructure</x:v>
      </x:c>
      <x:c r="D76" s="228" t="str">
        <x:v>Threat research</x:v>
      </x:c>
      <x:c r="E76" s="228" t="str">
        <x:v>https://www.microsoft.com/en-us/security/blog/2024/12/04/frequent-freeloader-part-i-secret-blizzard-compromising-storm-0156-infrastructure-for-espionage/</x:v>
      </x:c>
      <x:c r="F76" s="295" t="str">
        <x:v>Watering holes and adversary-in-the-middle activity</x:v>
      </x:c>
    </x:row>
    <x:row r="77">
      <x:c r="A77" s="288" t="str">
        <x:v>SRC-76</x:v>
      </x:c>
      <x:c r="B77" s="228" t="str">
        <x:v>MITRE ATT&amp;CK</x:v>
      </x:c>
      <x:c r="C77" s="228" t="str">
        <x:v>Volt Typhoon</x:v>
      </x:c>
      <x:c r="D77" s="228" t="str">
        <x:v>Group G1017</x:v>
      </x:c>
      <x:c r="E77" s="228" t="str">
        <x:v>https://attack.mitre.org/groups/G1017/</x:v>
      </x:c>
      <x:c r="F77" s="295" t="str">
        <x:v>PRC edge-device access and living off the land</x:v>
      </x:c>
    </x:row>
    <x:row r="78">
      <x:c r="A78" s="288" t="str">
        <x:v>SRC-77</x:v>
      </x:c>
      <x:c r="B78" s="228" t="str">
        <x:v>MITRE ATT&amp;CK</x:v>
      </x:c>
      <x:c r="C78" s="228" t="str">
        <x:v>APT41</x:v>
      </x:c>
      <x:c r="D78" s="228" t="str">
        <x:v>Group G0096</x:v>
      </x:c>
      <x:c r="E78" s="228" t="str">
        <x:v>https://attack.mitre.org/groups/G0096/</x:v>
      </x:c>
      <x:c r="F78" s="295" t="str">
        <x:v>PRC public-facing exploitation and supply chain</x:v>
      </x:c>
    </x:row>
    <x:row r="79">
      <x:c r="A79" s="288" t="str">
        <x:v>SRC-78</x:v>
      </x:c>
      <x:c r="B79" s="228" t="str">
        <x:v>MITRE ATT&amp;CK</x:v>
      </x:c>
      <x:c r="C79" s="228" t="str">
        <x:v>HAFNIUM</x:v>
      </x:c>
      <x:c r="D79" s="228" t="str">
        <x:v>Group G0125</x:v>
      </x:c>
      <x:c r="E79" s="228" t="str">
        <x:v>https://attack.mitre.org/groups/G0125/</x:v>
      </x:c>
      <x:c r="F79" s="295" t="str">
        <x:v>PRC edge exploitation and web shells</x:v>
      </x:c>
    </x:row>
    <x:row r="80">
      <x:c r="A80" s="288" t="str">
        <x:v>SRC-79</x:v>
      </x:c>
      <x:c r="B80" s="228" t="str">
        <x:v>MITRE ATT&amp;CK</x:v>
      </x:c>
      <x:c r="C80" s="228" t="str">
        <x:v>Mustang Panda</x:v>
      </x:c>
      <x:c r="D80" s="228" t="str">
        <x:v>Group G0129</x:v>
      </x:c>
      <x:c r="E80" s="228" t="str">
        <x:v>https://attack.mitre.org/groups/G0129/</x:v>
      </x:c>
      <x:c r="F80" s="295" t="str">
        <x:v>PRC tailored phishing and decoy documents</x:v>
      </x:c>
    </x:row>
    <x:row r="81">
      <x:c r="A81" s="288" t="str">
        <x:v>SRC-80</x:v>
      </x:c>
      <x:c r="B81" s="228" t="str">
        <x:v>CISA</x:v>
      </x:c>
      <x:c r="C81" s="228" t="str">
        <x:v>PRC State-Sponsored Actors Compromise and Maintain Persistent Access to U.S. Critical Infrastructure</x:v>
      </x:c>
      <x:c r="D81" s="228" t="str">
        <x:v>AA24-038A</x:v>
      </x:c>
      <x:c r="E81" s="228" t="str">
        <x:v>https://www.cisa.gov/news-events/cybersecurity-advisories/aa24-038a</x:v>
      </x:c>
      <x:c r="F81" s="295" t="str">
        <x:v>Volt Typhoon edge devices and credential access</x:v>
      </x:c>
    </x:row>
    <x:row r="82">
      <x:c r="A82" s="288" t="str">
        <x:v>SRC-81</x:v>
      </x:c>
      <x:c r="B82" s="228" t="str">
        <x:v>CISA</x:v>
      </x:c>
      <x:c r="C82" s="228" t="str">
        <x:v>Countering Chinese State-Sponsored Actors Compromise of Networks Worldwide</x:v>
      </x:c>
      <x:c r="D82" s="228" t="str">
        <x:v>AA25-239A</x:v>
      </x:c>
      <x:c r="E82" s="228" t="str">
        <x:v>https://www.cisa.gov/news-events/cybersecurity-advisories/aa25-239a</x:v>
      </x:c>
      <x:c r="F82" s="295" t="str">
        <x:v>PRC targeting of edge devices</x:v>
      </x:c>
    </x:row>
    <x:row r="83">
      <x:c r="A83" s="288" t="str">
        <x:v>SRC-82</x:v>
      </x:c>
      <x:c r="B83" s="228" t="str">
        <x:v>Microsoft Threat Intelligence</x:v>
      </x:c>
      <x:c r="C83" s="228" t="str">
        <x:v>Silk Typhoon Targeting IT Supply Chain</x:v>
      </x:c>
      <x:c r="D83" s="228" t="str">
        <x:v>Threat research</x:v>
      </x:c>
      <x:c r="E83" s="228" t="str">
        <x:v>https://www.microsoft.com/en-us/security/blog/2025/03/05/silk-typhoon-targeting-it-supply-chain/</x:v>
      </x:c>
      <x:c r="F83" s="295" t="str">
        <x:v>Zero-days, web shells, API keys and downstream customers</x:v>
      </x:c>
    </x:row>
    <x:row r="84">
      <x:c r="A84" s="288" t="str">
        <x:v>SRC-83</x:v>
      </x:c>
      <x:c r="B84" s="228" t="str">
        <x:v>MITRE ATT&amp;CK</x:v>
      </x:c>
      <x:c r="C84" s="228" t="str">
        <x:v>Kimsuky</x:v>
      </x:c>
      <x:c r="D84" s="228" t="str">
        <x:v>Group G0094</x:v>
      </x:c>
      <x:c r="E84" s="228" t="str">
        <x:v>https://attack.mitre.org/groups/G0094/</x:v>
      </x:c>
      <x:c r="F84" s="295" t="str">
        <x:v>DPRK phishing and AI-assisted reconnaissance</x:v>
      </x:c>
    </x:row>
    <x:row r="85">
      <x:c r="A85" s="288" t="str">
        <x:v>SRC-84</x:v>
      </x:c>
      <x:c r="B85" s="228" t="str">
        <x:v>MITRE ATT&amp;CK</x:v>
      </x:c>
      <x:c r="C85" s="228" t="str">
        <x:v>APT37</x:v>
      </x:c>
      <x:c r="D85" s="228" t="str">
        <x:v>Group G0067</x:v>
      </x:c>
      <x:c r="E85" s="228" t="str">
        <x:v>https://attack.mitre.org/groups/G0067/</x:v>
      </x:c>
      <x:c r="F85" s="295" t="str">
        <x:v>DPRK browser and client exploitation</x:v>
      </x:c>
    </x:row>
    <x:row r="86">
      <x:c r="A86" s="288" t="str">
        <x:v>SRC-85</x:v>
      </x:c>
      <x:c r="B86" s="228" t="str">
        <x:v>MITRE ATT&amp;CK</x:v>
      </x:c>
      <x:c r="C86" s="228" t="str">
        <x:v>AppleJeus</x:v>
      </x:c>
      <x:c r="D86" s="228" t="str">
        <x:v>Group G1049</x:v>
      </x:c>
      <x:c r="E86" s="228" t="str">
        <x:v>https://attack.mitre.org/groups/G1049/</x:v>
      </x:c>
      <x:c r="F86" s="295" t="str">
        <x:v>DPRK cryptocurrency and supply-chain operations</x:v>
      </x:c>
    </x:row>
    <x:row r="87">
      <x:c r="A87" s="288" t="str">
        <x:v>SRC-86</x:v>
      </x:c>
      <x:c r="B87" s="228" t="str">
        <x:v>MITRE ATT&amp;CK</x:v>
      </x:c>
      <x:c r="C87" s="228" t="str">
        <x:v>Lazarus Group</x:v>
      </x:c>
      <x:c r="D87" s="228" t="str">
        <x:v>Group G0032</x:v>
      </x:c>
      <x:c r="E87" s="228" t="str">
        <x:v>https://attack.mitre.org/groups/G0032/</x:v>
      </x:c>
      <x:c r="F87" s="295" t="str">
        <x:v>DPRK cyber operations</x:v>
      </x:c>
    </x:row>
    <x:row r="88">
      <x:c r="A88" s="288" t="str">
        <x:v>SRC-87</x:v>
      </x:c>
      <x:c r="B88" s="228" t="str">
        <x:v>Google Threat Intelligence Group</x:v>
      </x:c>
      <x:c r="C88" s="228" t="str">
        <x:v>2024 Zero-Day Exploitation Trends</x:v>
      </x:c>
      <x:c r="D88" s="228" t="str">
        <x:v>Threat research</x:v>
      </x:c>
      <x:c r="E88" s="228" t="str">
        <x:v>https://cloud.google.com/blog/topics/threat-intelligence/2024-zero-day-trends</x:v>
      </x:c>
      <x:c r="F88" s="295" t="str">
        <x:v>DPRK Chrome zero-days and PRC edge zero-days</x:v>
      </x:c>
    </x:row>
    <x:row r="89">
      <x:c r="A89" s="288" t="str">
        <x:v>SRC-88</x:v>
      </x:c>
      <x:c r="B89" s="228" t="str">
        <x:v>Google Threat Intelligence Group</x:v>
      </x:c>
      <x:c r="C89" s="228" t="str">
        <x:v>UNC1069 Targets Cryptocurrency Sector with AI-Enabled Social Engineering</x:v>
      </x:c>
      <x:c r="D89" s="228" t="str">
        <x:v>Threat research</x:v>
      </x:c>
      <x:c r="E89" s="228" t="str">
        <x:v>https://cloud.google.com/blog/topics/threat-intelligence/unc1069-targets-cryptocurrency-ai-social-engineering</x:v>
      </x:c>
      <x:c r="F89" s="295" t="str">
        <x:v>Fake Zoom, ClickFix, deepfake and browser-token theft</x:v>
      </x:c>
    </x:row>
    <x:row r="90">
      <x:c r="A90" s="288" t="str">
        <x:v>SRC-89</x:v>
      </x:c>
      <x:c r="B90" s="228" t="str">
        <x:v>Microsoft Threat Intelligence</x:v>
      </x:c>
      <x:c r="C90" s="228" t="str">
        <x:v>Mitigating the Axios npm Supply Chain Compromise</x:v>
      </x:c>
      <x:c r="D90" s="228" t="str">
        <x:v>Threat research</x:v>
      </x:c>
      <x:c r="E90" s="228" t="str">
        <x:v>https://www.microsoft.com/en-us/security/blog/2026/04/01/mitigating-the-axios-npm-supply-chain-compromise/</x:v>
      </x:c>
      <x:c r="F90" s="295" t="str">
        <x:v>DPRK malicious npm dependency and C2</x:v>
      </x:c>
    </x:row>
    <x:row r="91">
      <x:c r="A91" s="288" t="str">
        <x:v>SRC-90</x:v>
      </x:c>
      <x:c r="B91" s="228" t="str">
        <x:v>CISA</x:v>
      </x:c>
      <x:c r="C91" s="228" t="str">
        <x:v>North Korea State-Sponsored Cyber Threat Publications</x:v>
      </x:c>
      <x:c r="D91" s="228" t="str">
        <x:v>Threat overview</x:v>
      </x:c>
      <x:c r="E91" s="228" t="str">
        <x:v>https://www.cisa.gov/topics/cyber-threats-and-advisories/nation-state-cyber-actors/north-korea/publications</x:v>
      </x:c>
      <x:c r="F91" s="295" t="str">
        <x:v>DPRK advisories and cryptocurrency threats</x:v>
      </x:c>
    </x:row>
    <x:row r="92">
      <x:c r="A92" s="288" t="str">
        <x:v>SRC-91</x:v>
      </x:c>
      <x:c r="B92" s="228" t="str">
        <x:v>MITRE ATT&amp;CK</x:v>
      </x:c>
      <x:c r="C92" s="228" t="str">
        <x:v>Phishing: Spearphishing Link</x:v>
      </x:c>
      <x:c r="D92" s="228" t="str">
        <x:v>T1566.002</x:v>
      </x:c>
      <x:c r="E92" s="228" t="str">
        <x:v>https://attack.mitre.org/techniques/T1566/002/</x:v>
      </x:c>
      <x:c r="F92" s="295" t="str">
        <x:v>Links, OAuth consent and device code phishing</x:v>
      </x:c>
    </x:row>
    <x:row r="93">
      <x:c r="A93" s="288" t="str">
        <x:v>SRC-92</x:v>
      </x:c>
      <x:c r="B93" s="228" t="str">
        <x:v>MITRE ATT&amp;CK</x:v>
      </x:c>
      <x:c r="C93" s="228" t="str">
        <x:v>Exploit Public-Facing Application</x:v>
      </x:c>
      <x:c r="D93" s="228" t="str">
        <x:v>T1190</x:v>
      </x:c>
      <x:c r="E93" s="228" t="str">
        <x:v>https://attack.mitre.org/techniques/T1190/</x:v>
      </x:c>
      <x:c r="F93" s="295" t="str">
        <x:v>Internet-facing application exploitation</x:v>
      </x:c>
    </x:row>
    <x:row r="94">
      <x:c r="A94" s="288" t="str">
        <x:v>SRC-93</x:v>
      </x:c>
      <x:c r="B94" s="228" t="str">
        <x:v>MITRE ATT&amp;CK</x:v>
      </x:c>
      <x:c r="C94" s="228" t="str">
        <x:v>Server Software Component: Web Shell</x:v>
      </x:c>
      <x:c r="D94" s="228" t="str">
        <x:v>T1505.003</x:v>
      </x:c>
      <x:c r="E94" s="228" t="str">
        <x:v>https://attack.mitre.org/techniques/T1505/003/</x:v>
      </x:c>
      <x:c r="F94" s="295" t="str">
        <x:v>Web-shell persistence and detection</x:v>
      </x:c>
    </x:row>
    <x:row r="95">
      <x:c r="A95" s="288" t="str">
        <x:v>SRC-94</x:v>
      </x:c>
      <x:c r="B95" s="228" t="str">
        <x:v>MITRE ATT&amp;CK</x:v>
      </x:c>
      <x:c r="C95" s="228" t="str">
        <x:v>Steal Application Access Token</x:v>
      </x:c>
      <x:c r="D95" s="228" t="str">
        <x:v>T1528</x:v>
      </x:c>
      <x:c r="E95" s="228" t="str">
        <x:v>https://attack.mitre.org/techniques/T1528/</x:v>
      </x:c>
      <x:c r="F95" s="295" t="str">
        <x:v>OAuth and API token theft</x:v>
      </x:c>
    </x:row>
    <x:row r="96">
      <x:c r="A96" s="288" t="str">
        <x:v>SRC-95</x:v>
      </x:c>
      <x:c r="B96" s="228" t="str">
        <x:v>MITRE ATT&amp;CK</x:v>
      </x:c>
      <x:c r="C96" s="228" t="str">
        <x:v>Steal Web Session Cookie</x:v>
      </x:c>
      <x:c r="D96" s="228" t="str">
        <x:v>T1539</x:v>
      </x:c>
      <x:c r="E96" s="228" t="str">
        <x:v>https://attack.mitre.org/techniques/T1539/</x:v>
      </x:c>
      <x:c r="F96" s="295" t="str">
        <x:v>Browser session-cookie theft</x:v>
      </x:c>
    </x:row>
    <x:row r="97">
      <x:c r="A97" s="288" t="str">
        <x:v>SRC-96</x:v>
      </x:c>
      <x:c r="B97" s="228" t="str">
        <x:v>MITRE ATT&amp;CK</x:v>
      </x:c>
      <x:c r="C97" s="228" t="str">
        <x:v>Credentials from Web Browsers</x:v>
      </x:c>
      <x:c r="D97" s="228" t="str">
        <x:v>T1555.003</x:v>
      </x:c>
      <x:c r="E97" s="228" t="str">
        <x:v>https://attack.mitre.org/techniques/T1555/003/</x:v>
      </x:c>
      <x:c r="F97" s="295" t="str">
        <x:v>Browser credential-store theft</x:v>
      </x:c>
    </x:row>
    <x:row r="98">
      <x:c r="A98" s="288" t="str">
        <x:v>SRC-97</x:v>
      </x:c>
      <x:c r="B98" s="228" t="str">
        <x:v>MITRE ATT&amp;CK</x:v>
      </x:c>
      <x:c r="C98" s="228" t="str">
        <x:v>Browser Extensions</x:v>
      </x:c>
      <x:c r="D98" s="228" t="str">
        <x:v>T1176.001</x:v>
      </x:c>
      <x:c r="E98" s="228" t="str">
        <x:v>https://attack.mitre.org/techniques/T1176/001/</x:v>
      </x:c>
      <x:c r="F98" s="295" t="str">
        <x:v>Malicious browser extensions</x:v>
      </x:c>
    </x:row>
    <x:row r="99">
      <x:c r="A99" s="288" t="str">
        <x:v>SRC-98</x:v>
      </x:c>
      <x:c r="B99" s="228" t="str">
        <x:v>MITRE ATT&amp;CK</x:v>
      </x:c>
      <x:c r="C99" s="228" t="str">
        <x:v>Malicious Copy and Paste</x:v>
      </x:c>
      <x:c r="D99" s="228" t="str">
        <x:v>T1204.004</x:v>
      </x:c>
      <x:c r="E99" s="228" t="str">
        <x:v>https://attack.mitre.org/techniques/T1204/004/</x:v>
      </x:c>
      <x:c r="F99" s="295" t="str">
        <x:v>ClickFix and clipboard-to-shell execution</x:v>
      </x:c>
    </x:row>
    <x:row r="100">
      <x:c r="A100" s="288" t="str">
        <x:v>SRC-99</x:v>
      </x:c>
      <x:c r="B100" s="228" t="str">
        <x:v>MITRE ATT&amp;CK</x:v>
      </x:c>
      <x:c r="C100" s="228" t="str">
        <x:v>HTML Smuggling</x:v>
      </x:c>
      <x:c r="D100" s="228" t="str">
        <x:v>T1027.006</x:v>
      </x:c>
      <x:c r="E100" s="228" t="str">
        <x:v>https://attack.mitre.org/techniques/T1027/006/</x:v>
      </x:c>
      <x:c r="F100" s="295" t="str">
        <x:v>Browser-side payload construction</x:v>
      </x:c>
    </x:row>
    <x:row r="101">
      <x:c r="A101" s="288" t="str">
        <x:v>SRC-100</x:v>
      </x:c>
      <x:c r="B101" s="228" t="str">
        <x:v>MITRE ATT&amp;CK</x:v>
      </x:c>
      <x:c r="C101" s="228" t="str">
        <x:v>Application Layer Protocol: Web Protocols</x:v>
      </x:c>
      <x:c r="D101" s="228" t="str">
        <x:v>T1071.001</x:v>
      </x:c>
      <x:c r="E101" s="228" t="str">
        <x:v>https://attack.mitre.org/techniques/T1071/001/</x:v>
      </x:c>
      <x:c r="F101" s="295" t="str">
        <x:v>HTTP and HTTPS C2</x:v>
      </x:c>
    </x:row>
    <x:row r="102">
      <x:c r="A102" s="288" t="str">
        <x:v>SRC-101</x:v>
      </x:c>
      <x:c r="B102" s="228" t="str">
        <x:v>MITRE ATT&amp;CK</x:v>
      </x:c>
      <x:c r="C102" s="228" t="str">
        <x:v>Brute Force: Password Spraying</x:v>
      </x:c>
      <x:c r="D102" s="228" t="str">
        <x:v>T1110.003</x:v>
      </x:c>
      <x:c r="E102" s="228" t="str">
        <x:v>https://attack.mitre.org/techniques/T1110/003/</x:v>
      </x:c>
      <x:c r="F102" s="295" t="str">
        <x:v>Password spraying</x:v>
      </x:c>
    </x:row>
    <x:row r="103">
      <x:c r="A103" s="288" t="str">
        <x:v>SRC-102</x:v>
      </x:c>
      <x:c r="B103" s="228" t="str">
        <x:v>MITRE ATT&amp;CK</x:v>
      </x:c>
      <x:c r="C103" s="228" t="str">
        <x:v>Multi-Factor Authentication Request Generation</x:v>
      </x:c>
      <x:c r="D103" s="228" t="str">
        <x:v>T1621</x:v>
      </x:c>
      <x:c r="E103" s="228" t="str">
        <x:v>https://attack.mitre.org/techniques/T1621/</x:v>
      </x:c>
      <x:c r="F103" s="295" t="str">
        <x:v>MFA fatigue and prompt bombing</x:v>
      </x:c>
    </x:row>
    <x:row r="104">
      <x:c r="A104" s="288" t="str">
        <x:v>SRC-103</x:v>
      </x:c>
      <x:c r="B104" s="228" t="str">
        <x:v>MITRE ATT&amp;CK</x:v>
      </x:c>
      <x:c r="C104" s="228" t="str">
        <x:v>Supply Chain Compromise</x:v>
      </x:c>
      <x:c r="D104" s="228" t="str">
        <x:v>T1195</x:v>
      </x:c>
      <x:c r="E104" s="228" t="str">
        <x:v>https://attack.mitre.org/techniques/T1195/</x:v>
      </x:c>
      <x:c r="F104" s="295" t="str">
        <x:v>Software and service supply-chain compromise</x:v>
      </x:c>
    </x:row>
    <x:row r="105">
      <x:c r="A105" s="288" t="str">
        <x:v>SRC-104</x:v>
      </x:c>
      <x:c r="B105" s="228" t="str">
        <x:v>MITRE ATT&amp;CK</x:v>
      </x:c>
      <x:c r="C105" s="228" t="str">
        <x:v>Drive-by Compromise</x:v>
      </x:c>
      <x:c r="D105" s="228" t="str">
        <x:v>T1189</x:v>
      </x:c>
      <x:c r="E105" s="228" t="str">
        <x:v>https://attack.mitre.org/techniques/T1189/</x:v>
      </x:c>
      <x:c r="F105" s="295" t="str">
        <x:v>Watering holes and browser exploitation</x:v>
      </x:c>
    </x:row>
    <x:row r="106">
      <x:c r="A106" s="288" t="str">
        <x:v>SRC-105</x:v>
      </x:c>
      <x:c r="B106" s="228" t="str">
        <x:v>MITRE ATT&amp;CK</x:v>
      </x:c>
      <x:c r="C106" s="228" t="str">
        <x:v>Application Layer Protocol: DNS</x:v>
      </x:c>
      <x:c r="D106" s="228" t="str">
        <x:v>T1071.004</x:v>
      </x:c>
      <x:c r="E106" s="228" t="str">
        <x:v>https://attack.mitre.org/techniques/T1071/004/</x:v>
      </x:c>
      <x:c r="F106" s="295" t="str">
        <x:v>DNS command-and-control</x:v>
      </x:c>
    </x:row>
    <x:row r="107">
      <x:c r="A107" s="288" t="str">
        <x:v>SRC-106</x:v>
      </x:c>
      <x:c r="B107" s="228" t="str">
        <x:v>MITRE ATT&amp;CK</x:v>
      </x:c>
      <x:c r="C107" s="228" t="str">
        <x:v>Exfiltration to Cloud Storage</x:v>
      </x:c>
      <x:c r="D107" s="228" t="str">
        <x:v>T1567.002</x:v>
      </x:c>
      <x:c r="E107" s="228" t="str">
        <x:v>https://attack.mitre.org/techniques/T1567/002/</x:v>
      </x:c>
      <x:c r="F107" s="295" t="str">
        <x:v>Cloud-storage exfiltration</x:v>
      </x:c>
    </x:row>
    <x:row r="108">
      <x:c r="A108" s="288" t="str">
        <x:v>SRC-107</x:v>
      </x:c>
      <x:c r="B108" s="228" t="str">
        <x:v>MITRE ATT&amp;CK</x:v>
      </x:c>
      <x:c r="C108" s="228" t="str">
        <x:v>Compromise Accounts: Email Accounts</x:v>
      </x:c>
      <x:c r="D108" s="228" t="str">
        <x:v>T1586.002</x:v>
      </x:c>
      <x:c r="E108" s="228" t="str">
        <x:v>https://attack.mitre.org/techniques/T1586/002/</x:v>
      </x:c>
      <x:c r="F108" s="295" t="str">
        <x:v>Compromised sender and email-account abuse</x:v>
      </x:c>
    </x:row>
    <x:row r="109">
      <x:c r="A109" s="290" t="str">
        <x:v>SRC-108</x:v>
      </x:c>
      <x:c r="B109" s="296" t="str">
        <x:v>MITRE ATT&amp;CK</x:v>
      </x:c>
      <x:c r="C109" s="296" t="str">
        <x:v>Stage Capabilities: Link Target</x:v>
      </x:c>
      <x:c r="D109" s="296" t="str">
        <x:v>T1608.005</x:v>
      </x:c>
      <x:c r="E109" s="296" t="str">
        <x:v>https://attack.mitre.org/techniques/T1608/005/</x:v>
      </x:c>
      <x:c r="F109" s="297" t="str">
        <x:v>Malicious link infrastructure</x:v>
      </x:c>
    </x:row>
    <x:row r="110">
      <x:c r="A110" s="405" t="str">
        <x:v>SRC-109</x:v>
      </x:c>
      <x:c r="B110" s="413" t="str">
        <x:v>Cisco</x:v>
      </x:c>
      <x:c r="C110" s="413" t="str">
        <x:v>Cisco Secure Access Data Sheet</x:v>
      </x:c>
      <x:c r="D110" s="413" t="str">
        <x:v>Product data sheet</x:v>
      </x:c>
      <x:c r="E110" s="413" t="str">
        <x:v>https://www.cisco.com/c/en/us/products/collateral/security/secure-access/secure-access-ds.html</x:v>
      </x:c>
      <x:c r="F110" s="414" t="str">
        <x:v>RBI, MCP semantic inspection, file retrospective, threat intelligence and SSE controls</x:v>
      </x:c>
    </x:row>
    <x:row r="111">
      <x:c r="A111" s="408" t="str">
        <x:v>SRC-110</x:v>
      </x:c>
      <x:c r="B111" s="228" t="str">
        <x:v>Cisco</x:v>
      </x:c>
      <x:c r="C111" s="228" t="str">
        <x:v>Gain Web Control with Browser Isolation</x:v>
      </x:c>
      <x:c r="D111" s="228" t="str">
        <x:v>Cisco Security blog</x:v>
      </x:c>
      <x:c r="E111" s="228" t="str">
        <x:v>https://blogs.cisco.com/security/gain-web-control-with-browser-isolation</x:v>
      </x:c>
      <x:c r="F111" s="415" t="str">
        <x:v>Advanced RBI controls, password-protected file inspection and last-mile data controls</x:v>
      </x:c>
    </x:row>
    <x:row r="112">
      <x:c r="A112" s="408" t="str">
        <x:v>SRC-111</x:v>
      </x:c>
      <x:c r="B112" s="228" t="str">
        <x:v>Cisco</x:v>
      </x:c>
      <x:c r="C112" s="228" t="str">
        <x:v>File Retrospective</x:v>
      </x:c>
      <x:c r="D112" s="228" t="str">
        <x:v>Secure Access documentation</x:v>
      </x:c>
      <x:c r="E112" s="228" t="str">
        <x:v>https://securitydocs.cisco.com/docs/csa/olh/167253.dita</x:v>
      </x:c>
      <x:c r="F112" s="415" t="str">
        <x:v>Retrospective malware verdict and reporting</x:v>
      </x:c>
    </x:row>
    <x:row r="113">
      <x:c r="A113" s="408" t="str">
        <x:v>SRC-112</x:v>
      </x:c>
      <x:c r="B113" s="228" t="str">
        <x:v>Check Point</x:v>
      </x:c>
      <x:c r="C113" s="228" t="str">
        <x:v>Comprehensive Threat Prevention for Web Users with Harmony Browse</x:v>
      </x:c>
      <x:c r="D113" s="228" t="str">
        <x:v>Solution brief</x:v>
      </x:c>
      <x:c r="E113" s="228" t="str">
        <x:v>https://www.checkpoint.com/resources/white-paper-e0a1/solution-brief-comprehensive-threat-prevention-for-web-users-with-harmony-browse</x:v>
      </x:c>
      <x:c r="F113" s="415" t="str">
        <x:v>Visual phishing analysis, password reuse prevention, CDR and browser file protection</x:v>
      </x:c>
    </x:row>
    <x:row r="114">
      <x:c r="A114" s="408" t="str">
        <x:v>SRC-113</x:v>
      </x:c>
      <x:c r="B114" s="228" t="str">
        <x:v>Check Point</x:v>
      </x:c>
      <x:c r="C114" s="228" t="str">
        <x:v>Web and Files Protection</x:v>
      </x:c>
      <x:c r="D114" s="228" t="str">
        <x:v>Harmony Browse administration guide</x:v>
      </x:c>
      <x:c r="E114" s="228" t="str">
        <x:v>https://sc1.checkpoint.com/documents/Infinity_Portal/WebAdminGuides/EN/Harmony-Browse-Admin-Guide/Topics-HB/Web-and-Files-Protection.htm</x:v>
      </x:c>
      <x:c r="F114" s="415" t="str">
        <x:v>Upload emulation and file threat prevention</x:v>
      </x:c>
    </x:row>
    <x:row r="115">
      <x:c r="A115" s="408" t="str">
        <x:v>SRC-114</x:v>
      </x:c>
      <x:c r="B115" s="228" t="str">
        <x:v>Forcepoint</x:v>
      </x:c>
      <x:c r="C115" s="228" t="str">
        <x:v>Remote Browser Isolation</x:v>
      </x:c>
      <x:c r="D115" s="228" t="str">
        <x:v>Product documentation</x:v>
      </x:c>
      <x:c r="E115" s="228" t="str">
        <x:v>https://www.forcepoint.com/product/remote-browser-isolation</x:v>
      </x:c>
      <x:c r="F115" s="415" t="str">
        <x:v>Reverse RBI, safe preview, CDR and steganographic upload protection</x:v>
      </x:c>
    </x:row>
    <x:row r="116">
      <x:c r="A116" s="408" t="str">
        <x:v>SRC-115</x:v>
      </x:c>
      <x:c r="B116" s="228" t="str">
        <x:v>Forcepoint</x:v>
      </x:c>
      <x:c r="C116" s="228" t="str">
        <x:v>Remote Browser Isolation Dashboard</x:v>
      </x:c>
      <x:c r="D116" s="228" t="str">
        <x:v>Product documentation</x:v>
      </x:c>
      <x:c r="E116" s="228" t="str">
        <x:v>https://help.forcepoint.com/fpone/insights/userguide/guid-81464ad6-2f8c-4462-a4dc-954dc6f7696b.html</x:v>
      </x:c>
      <x:c r="F116" s="415" t="str">
        <x:v>Upload/download security telemetry and safe preview reporting</x:v>
      </x:c>
    </x:row>
    <x:row r="117">
      <x:c r="A117" s="408" t="str">
        <x:v>SRC-116</x:v>
      </x:c>
      <x:c r="B117" s="228" t="str">
        <x:v>iboss</x:v>
      </x:c>
      <x:c r="C117" s="228" t="str">
        <x:v>Remote Browser Isolation</x:v>
      </x:c>
      <x:c r="D117" s="228" t="str">
        <x:v>Product documentation</x:v>
      </x:c>
      <x:c r="E117" s="228" t="str">
        <x:v>https://www.iboss.com/browser-isolation</x:v>
      </x:c>
      <x:c r="F117" s="415" t="str">
        <x:v>Pixel streaming, agentless HTTPS inspection, anonymous research and zero-data-on-device controls</x:v>
      </x:c>
    </x:row>
    <x:row r="118">
      <x:c r="A118" s="408" t="str">
        <x:v>SRC-117</x:v>
      </x:c>
      <x:c r="B118" s="228" t="str">
        <x:v>Broadcom Symantec</x:v>
      </x:c>
      <x:c r="C118" s="228" t="str">
        <x:v>Symantec Web Isolation Product Brief</x:v>
      </x:c>
      <x:c r="D118" s="228" t="str">
        <x:v>Product brief</x:v>
      </x:c>
      <x:c r="E118" s="228" t="str">
        <x:v>https://docs.broadcom.com/doc/web-isolation-en</x:v>
      </x:c>
      <x:c r="F118" s="415" t="str">
        <x:v>Clientless web isolation, SWG/DLP integration and read-only phishing defense</x:v>
      </x:c>
    </x:row>
    <x:row r="119">
      <x:c r="A119" s="410" t="str">
        <x:v>SRC-118</x:v>
      </x:c>
      <x:c r="B119" s="416" t="str">
        <x:v>Broadcom Symantec</x:v>
      </x:c>
      <x:c r="C119" s="416" t="str">
        <x:v>Selective Isolation Authentication Redirect Handling</x:v>
      </x:c>
      <x:c r="D119" s="416" t="str">
        <x:v>Knowledge base</x:v>
      </x:c>
      <x:c r="E119" s="416" t="str">
        <x:v>https://knowledge.broadcom.com/external/article/203098</x:v>
      </x:c>
      <x:c r="F119" s="417" t="str">
        <x:v>Authentication redirect continuity in selective isolation</x:v>
      </x:c>
    </x:row>
    <x:row r="120">
      <x:c r="A120" s="454" t="str">
        <x:v>SRC-119</x:v>
      </x:c>
      <x:c r="B120" s="462" t="str">
        <x:v>Fortinet</x:v>
      </x:c>
      <x:c r="C120" s="462" t="str">
        <x:v>FortiSASE Remote Browser Isolation</x:v>
      </x:c>
      <x:c r="D120" s="462" t="str">
        <x:v>FortiSASE documentation</x:v>
      </x:c>
      <x:c r="E120" s="462" t="str">
        <x:v>https://docs.fortinet.com/document/fortisase/26.1.107/feature-administration-guide/084033/rbi</x:v>
      </x:c>
      <x:c r="F120" s="463" t="str">
        <x:v>Cloud RBI, proxy-user scope, cookie, copy/paste, print and file controls</x:v>
      </x:c>
    </x:row>
    <x:row r="121">
      <x:c r="A121" s="457" t="str">
        <x:v>SRC-120</x:v>
      </x:c>
      <x:c r="B121" s="228" t="str">
        <x:v>Fortinet</x:v>
      </x:c>
      <x:c r="C121" s="228" t="str">
        <x:v>FortiSASE RBI Common Use Cases and Limitations</x:v>
      </x:c>
      <x:c r="D121" s="228" t="str">
        <x:v>FortiSASE release documentation</x:v>
      </x:c>
      <x:c r="E121" s="228" t="str">
        <x:v>https://docs.fortinet.com/document/fortisase/26.1.107/feature-release-notes/969608</x:v>
      </x:c>
      <x:c r="F121" s="464" t="str">
        <x:v>Session limits, idle timeout and isolation data quota</x:v>
      </x:c>
    </x:row>
    <x:row r="122">
      <x:c r="A122" s="457" t="str">
        <x:v>SRC-121</x:v>
      </x:c>
      <x:c r="B122" s="228" t="str">
        <x:v>Fortinet</x:v>
      </x:c>
      <x:c r="C122" s="228" t="str">
        <x:v>FortiSASE Secure Browser</x:v>
      </x:c>
      <x:c r="D122" s="228" t="str">
        <x:v>FortiSASE documentation</x:v>
      </x:c>
      <x:c r="E122" s="228" t="str">
        <x:v>https://docs.fortinet.com/document/fortisase/latest/feature-administration-guide/397486/secure-browser</x:v>
      </x:c>
      <x:c r="F122" s="464" t="str">
        <x:v>Secure Browser extension, private-browsing behavior, data controls and current limitations</x:v>
      </x:c>
    </x:row>
    <x:row r="123">
      <x:c r="A123" s="457" t="str">
        <x:v>SRC-122</x:v>
      </x:c>
      <x:c r="B123" s="228" t="str">
        <x:v>Fortinet</x:v>
      </x:c>
      <x:c r="C123" s="228" t="str">
        <x:v>FortiSASE Secure Browser Profiles</x:v>
      </x:c>
      <x:c r="D123" s="228" t="str">
        <x:v>FortiSASE documentation</x:v>
      </x:c>
      <x:c r="E123" s="228" t="str">
        <x:v>https://docs.fortinet.com/document/fortisase/latest/administration-guide/370324/secure-browser-profiles</x:v>
      </x:c>
      <x:c r="F123" s="464" t="str">
        <x:v>Dynamic page inspection, DLP, download, upload, print and paste controls</x:v>
      </x:c>
    </x:row>
    <x:row r="124">
      <x:c r="A124" s="457" t="str">
        <x:v>SRC-123</x:v>
      </x:c>
      <x:c r="B124" s="228" t="str">
        <x:v>Fortinet</x:v>
      </x:c>
      <x:c r="C124" s="228" t="str">
        <x:v>FortiIsolator 3.0</x:v>
      </x:c>
      <x:c r="D124" s="228" t="str">
        <x:v>Product documentation</x:v>
      </x:c>
      <x:c r="E124" s="228" t="str">
        <x:v>https://docs.fortinet.com/product/fortiisolator/3.0</x:v>
      </x:c>
      <x:c r="F124" s="464" t="str">
        <x:v>Disposable remote container and visual air-gap architecture</x:v>
      </x:c>
    </x:row>
    <x:row r="125">
      <x:c r="A125" s="457" t="str">
        <x:v>SRC-124</x:v>
      </x:c>
      <x:c r="B125" s="228" t="str">
        <x:v>Fortinet</x:v>
      </x:c>
      <x:c r="C125" s="228" t="str">
        <x:v>FortiIsolator Profile</x:v>
      </x:c>
      <x:c r="D125" s="228" t="str">
        <x:v>FortiIsolator 3.0 documentation</x:v>
      </x:c>
      <x:c r="E125" s="228" t="str">
        <x:v>https://docs.fortinet.com/document/fortiisolator/3.0.0/administration-guide/85404/profile</x:v>
      </x:c>
      <x:c r="F125" s="464" t="str">
        <x:v>View-only mode, file allow/block lists, CDR, FortiSandbox, Votiro, copy/paste and cookie controls</x:v>
      </x:c>
    </x:row>
    <x:row r="126">
      <x:c r="A126" s="457" t="str">
        <x:v>SRC-125</x:v>
      </x:c>
      <x:c r="B126" s="228" t="str">
        <x:v>Fortinet</x:v>
      </x:c>
      <x:c r="C126" s="228" t="str">
        <x:v>FortiIsolator Policy</x:v>
      </x:c>
      <x:c r="D126" s="228" t="str">
        <x:v>FortiIsolator 3.0 documentation</x:v>
      </x:c>
      <x:c r="E126" s="228" t="str">
        <x:v>https://docs.fortinet.com/document/fortiisolator/3.0.0/administration-guide/248120/policy</x:v>
      </x:c>
      <x:c r="F126" s="464" t="str">
        <x:v>Session limits, authentication-cookie lifetime and ICAP profile integration</x:v>
      </x:c>
    </x:row>
    <x:row r="127">
      <x:c r="A127" s="459" t="str">
        <x:v>SRC-126</x:v>
      </x:c>
      <x:c r="B127" s="465" t="str">
        <x:v>Fortinet</x:v>
      </x:c>
      <x:c r="C127" s="465" t="str">
        <x:v>FortiIsolator Logging</x:v>
      </x:c>
      <x:c r="D127" s="465" t="str">
        <x:v>FortiIsolator 3.0 documentation</x:v>
      </x:c>
      <x:c r="E127" s="465" t="str">
        <x:v>https://docs.fortinet.com/document/fortiisolator/3.0.0/administration-guide/682309/log</x:v>
      </x:c>
      <x:c r="F127" s="466" t="str">
        <x:v>Browsing, malware and web-filter logging plus FortiAnalyzer and remote log forwarding</x:v>
      </x:c>
    </x:row>
  </x:sheetData>
  <x:pageMargins left="0.7" right="0.7" top="0.75" bottom="0.75" header="0.3" footer="0.3"/>
  <x:tableParts count="1">
    <x:tablePart xmlns:r="http://schemas.openxmlformats.org/officeDocument/2006/relationships" r:id="R13397811052a4636"/>
  </x:tableParts>
</x:worksheet>
</file>

<file path=xl/worksheets/sheet9.xml><?xml version="1.0" encoding="utf-8"?>
<x:worksheet xmlns:x="http://schemas.openxmlformats.org/spreadsheetml/2006/main">
  <x:sheetFormatPr defaultRowHeight="15"/>
  <x:cols>
    <x:col min="1" max="1" width="25" hidden="0" customWidth="1"/>
    <x:col min="2" max="2" width="25" hidden="0" customWidth="1"/>
    <x:col min="3" max="3" width="25" hidden="0" customWidth="1"/>
    <x:col min="4" max="4" width="25" hidden="0" customWidth="1"/>
    <x:col min="6" max="6" width="25" hidden="0" customWidth="1"/>
    <x:col min="5" max="5" width="14" hidden="0" customWidth="1"/>
  </x:cols>
  <x:sheetData>
    <x:row r="1">
      <x:c r="A1" s="12" t="str">
        <x:v>Status</x:v>
      </x:c>
      <x:c r="B1" s="13" t="str">
        <x:v>Priority</x:v>
      </x:c>
      <x:c r="C1" s="13" t="str">
        <x:v>Residual Risk</x:v>
      </x:c>
      <x:c r="D1" s="13" t="str">
        <x:v>Control Level</x:v>
      </x:c>
      <x:c r="E1" s="13" t="str">
        <x:v>Vendor Rating</x:v>
      </x:c>
      <x:c r="F1" s="14" t="str">
        <x:v>Extension Action</x:v>
      </x:c>
    </x:row>
    <x:row r="2">
      <x:c r="A2" s="15" t="str">
        <x:v>Not Assessed</x:v>
      </x:c>
      <x:c r="B2" s="16" t="str">
        <x:v>Critical</x:v>
      </x:c>
      <x:c r="C2" s="16" t="str">
        <x:v>Not Assessed</x:v>
      </x:c>
      <x:c r="D2" s="16" t="str">
        <x:v>Mandatory</x:v>
      </x:c>
      <x:c r="E2" s="16" t="n">
        <x:v>0</x:v>
      </x:c>
      <x:c r="F2" s="17" t="str">
        <x:v>Assess</x:v>
      </x:c>
    </x:row>
    <x:row r="3">
      <x:c r="A3" s="15" t="str">
        <x:v>Planned</x:v>
      </x:c>
      <x:c r="B3" s="16" t="str">
        <x:v>High</x:v>
      </x:c>
      <x:c r="C3" s="16" t="str">
        <x:v>Critical</x:v>
      </x:c>
      <x:c r="D3" s="16" t="str">
        <x:v>Recommended</x:v>
      </x:c>
      <x:c r="E3" s="16" t="n">
        <x:v>1</x:v>
      </x:c>
      <x:c r="F3" s="17" t="str">
        <x:v>Approve</x:v>
      </x:c>
    </x:row>
    <x:row r="4">
      <x:c r="A4" s="15" t="str">
        <x:v>Partially Implemented</x:v>
      </x:c>
      <x:c r="B4" s="16" t="str">
        <x:v>Medium</x:v>
      </x:c>
      <x:c r="C4" s="16" t="str">
        <x:v>High</x:v>
      </x:c>
      <x:c r="D4" s="16" t="str">
        <x:v>Optional</x:v>
      </x:c>
      <x:c r="E4" s="16" t="n">
        <x:v>2</x:v>
      </x:c>
      <x:c r="F4" s="17" t="str">
        <x:v>Restrict Permissions</x:v>
      </x:c>
    </x:row>
    <x:row r="5">
      <x:c r="A5" s="15" t="str">
        <x:v>Implemented</x:v>
      </x:c>
      <x:c r="B5" s="16" t="str">
        <x:v>Low</x:v>
      </x:c>
      <x:c r="C5" s="16" t="str">
        <x:v>Medium</x:v>
      </x:c>
      <x:c r="D5" s="16" t="str"/>
      <x:c r="E5" s="16" t="n">
        <x:v>3</x:v>
      </x:c>
      <x:c r="F5" s="17" t="str">
        <x:v>Update</x:v>
      </x:c>
    </x:row>
    <x:row r="6">
      <x:c r="A6" s="15" t="str">
        <x:v>Not Applicable</x:v>
      </x:c>
      <x:c r="B6" s="16" t="str"/>
      <x:c r="C6" s="16" t="str">
        <x:v>Low</x:v>
      </x:c>
      <x:c r="D6" s="16" t="str"/>
      <x:c r="E6" s="16" t="n">
        <x:v>4</x:v>
      </x:c>
      <x:c r="F6" s="17" t="str">
        <x:v>Disable</x:v>
      </x:c>
    </x:row>
    <x:row r="7">
      <x:c r="A7" s="15" t="str"/>
      <x:c r="B7" s="16" t="str"/>
      <x:c r="C7" s="16" t="str">
        <x:v>Accepted</x:v>
      </x:c>
      <x:c r="D7" s="16" t="str"/>
      <x:c r="E7" s="16" t="n">
        <x:v>5</x:v>
      </x:c>
      <x:c r="F7" s="17" t="str">
        <x:v>Remove Immediately</x:v>
      </x:c>
    </x:row>
    <x:row r="8">
      <x:c r="A8" s="18" t="str"/>
      <x:c r="B8" s="19" t="str"/>
      <x:c r="C8" s="19" t="str"/>
      <x:c r="D8" s="19" t="str"/>
      <x:c r="E8" s="19" t="str"/>
      <x:c r="F8" s="20" t="str">
        <x:v>Monitor</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30" hidden="0" customWidth="1"/>
    <x:col min="5" max="5" width="31" hidden="0" customWidth="1"/>
    <x:col min="6" max="6" width="27" hidden="0" customWidth="1"/>
    <x:col min="7" max="7" width="45" hidden="0" customWidth="1"/>
    <x:col min="8" max="8" width="58" hidden="0" customWidth="1"/>
    <x:col min="9" max="9" width="20" hidden="0" customWidth="1"/>
    <x:col min="10" max="10" width="58" hidden="0" customWidth="1"/>
  </x:cols>
  <x:sheetData>
    <x:row r="1">
      <x:c r="A1" s="240" t="str">
        <x:v>RBI and Enterprise Browser Architecture Classification</x:v>
      </x:c>
      <x:c r="B1" s="240"/>
      <x:c r="C1" s="240"/>
      <x:c r="D1" s="240"/>
      <x:c r="E1" s="240"/>
      <x:c r="F1" s="240"/>
      <x:c r="G1" s="240"/>
      <x:c r="H1" s="240"/>
      <x:c r="I1" s="240"/>
      <x:c r="J1" s="240"/>
    </x:row>
    <x:row r="2">
      <x:c r="A2" s="243" t="str">
        <x:v>Author: Yuval Sinay | Version 1.0 | 07.08.2026</x:v>
      </x:c>
      <x:c r="B2" s="243"/>
      <x:c r="C2" s="243"/>
      <x:c r="D2" s="243"/>
      <x:c r="E2" s="243"/>
      <x:c r="F2" s="243"/>
      <x:c r="G2" s="243"/>
      <x:c r="H2" s="243"/>
      <x:c r="I2" s="243"/>
      <x:c r="J2" s="243"/>
    </x:row>
    <x:row r="4">
      <x:c r="A4" s="249" t="str">
        <x:v>Remote-execution credit requires evidence that original active web code does not execute on the endpoint. Browser-native and enterprise-browser controls are scored separately.</x:v>
      </x:c>
      <x:c r="B4" s="250"/>
      <x:c r="C4" s="250"/>
      <x:c r="D4" s="250"/>
      <x:c r="E4" s="250"/>
      <x:c r="F4" s="250"/>
      <x:c r="G4" s="250"/>
      <x:c r="H4" s="250"/>
      <x:c r="I4" s="250"/>
      <x:c r="J4" s="251"/>
    </x:row>
    <x:row r="6">
      <x:c r="A6" s="257" t="str">
        <x:v>Vendor / Offering</x:v>
      </x:c>
      <x:c r="B6" s="258" t="str">
        <x:v>Primary Architecture</x:v>
      </x:c>
      <x:c r="C6" s="258" t="str">
        <x:v>Verified Cloud RBI</x:v>
      </x:c>
      <x:c r="D6" s="258" t="str">
        <x:v>Endpoint Enforcement</x:v>
      </x:c>
      <x:c r="E6" s="258" t="str">
        <x:v>AI / Agent Controls</x:v>
      </x:c>
      <x:c r="F6" s="258" t="str">
        <x:v>Extension Governance</x:v>
      </x:c>
      <x:c r="G6" s="258" t="str">
        <x:v>Key Strengths to Test</x:v>
      </x:c>
      <x:c r="H6" s="258" t="str">
        <x:v>Critical Due-Diligence Questions</x:v>
      </x:c>
      <x:c r="I6" s="258" t="str">
        <x:v>Architecture Confidence</x:v>
      </x:c>
      <x:c r="J6" s="259" t="str">
        <x:v>Official Source</x:v>
      </x:c>
    </x:row>
    <x:row r="7">
      <x:c r="A7" s="220" t="str">
        <x:v>Netskope RBI</x:v>
      </x:c>
      <x:c r="B7" s="228" t="str">
        <x:v>Cloud RBI integrated with SSE/SWG</x:v>
      </x:c>
      <x:c r="C7" s="228" t="str">
        <x:v>Yes</x:v>
      </x:c>
      <x:c r="D7" s="228" t="str">
        <x:v>Netskope Client and cloud steering</x:v>
      </x:c>
      <x:c r="E7" s="228" t="str">
        <x:v>AI Security and Agentic Broker for MCP</x:v>
      </x:c>
      <x:c r="F7" s="228" t="str">
        <x:v>Depends on browser deployment</x:v>
      </x:c>
      <x:c r="G7" s="228" t="str">
        <x:v>Targeted and Extended RBI, DLP, private navigation, instance-aware policy</x:v>
      </x:c>
      <x:c r="H7" s="228" t="str">
        <x:v>How are unsupported requests, QUIC, certificate-pinned apps, domain transitions and licenses handled?</x:v>
      </x:c>
      <x:c r="I7" s="228" t="str">
        <x:v>High</x:v>
      </x:c>
      <x:c r="J7" s="229" t="str">
        <x:v>https://docs.netskope.com/en/remote-browser-isolation</x:v>
      </x:c>
    </x:row>
    <x:row r="8">
      <x:c r="A8" s="220" t="str">
        <x:v>Palo Alto Networks RBI</x:v>
      </x:c>
      <x:c r="B8" s="228" t="str">
        <x:v>Cloud RBI integrated with Prisma Access</x:v>
      </x:c>
      <x:c r="C8" s="228" t="str">
        <x:v>Yes</x:v>
      </x:c>
      <x:c r="D8" s="228" t="str">
        <x:v>Prisma Access routing and supported browsers</x:v>
      </x:c>
      <x:c r="E8" s="228" t="str">
        <x:v>Separate AI security services</x:v>
      </x:c>
      <x:c r="F8" s="228" t="str">
        <x:v>Prisma Browser provides separate governance</x:v>
      </x:c>
      <x:c r="G8" s="228" t="str">
        <x:v>Downstream CDSS inspection, file controls and multi-platform support</x:v>
      </x:c>
      <x:c r="H8" s="228" t="str">
        <x:v>Validate subresources, file types, CDR, performance and regional support.</x:v>
      </x:c>
      <x:c r="I8" s="228" t="str">
        <x:v>High</x:v>
      </x:c>
      <x:c r="J8" s="229" t="str">
        <x:v>https://docs.paloaltonetworks.com/remote-browser-isolation/administration/remote-browser-isolation</x:v>
      </x:c>
    </x:row>
    <x:row r="9">
      <x:c r="A9" s="220" t="str">
        <x:v>Palo Alto Networks Prisma Browser</x:v>
      </x:c>
      <x:c r="B9" s="228" t="str">
        <x:v>Enterprise browser</x:v>
      </x:c>
      <x:c r="C9" s="228" t="str">
        <x:v>No</x:v>
      </x:c>
      <x:c r="D9" s="228" t="str">
        <x:v>Managed browser</x:v>
      </x:c>
      <x:c r="E9" s="228" t="str">
        <x:v>Enterprise AI and SaaS controls</x:v>
      </x:c>
      <x:c r="F9" s="228" t="str">
        <x:v>Advanced extension security</x:v>
      </x:c>
      <x:c r="G9" s="228" t="str">
        <x:v>Origin-level controls, identity, DLP and extension restrictions</x:v>
      </x:c>
      <x:c r="H9" s="228" t="str">
        <x:v>Do not award cloud-RBI credit; validate local hardening and tamper resistance.</x:v>
      </x:c>
      <x:c r="I9" s="228" t="str">
        <x:v>High</x:v>
      </x:c>
      <x:c r="J9" s="229" t="str">
        <x:v>https://docs.paloaltonetworks.com/prisma-access-browser</x:v>
      </x:c>
    </x:row>
    <x:row r="10">
      <x:c r="A10" s="220" t="str">
        <x:v>Menlo Security</x:v>
      </x:c>
      <x:c r="B10" s="228" t="str">
        <x:v>Cloud RBI with Adaptive Clientless Rendering and optional extension</x:v>
      </x:c>
      <x:c r="C10" s="228" t="str">
        <x:v>Yes</x:v>
      </x:c>
      <x:c r="D10" s="228" t="str">
        <x:v>Clientless cloud isolation and optional secure extension</x:v>
      </x:c>
      <x:c r="E10" s="228" t="str">
        <x:v>Menlo Agent Runtime Security and AI Adaptive DLP</x:v>
      </x:c>
      <x:c r="F10" s="228" t="str">
        <x:v>Secure extension and local visibility</x:v>
      </x:c>
      <x:c r="G10" s="228" t="str">
        <x:v>Remote disposable sessions, safe HTML, agent runtime and file security</x:v>
      </x:c>
      <x:c r="H10" s="228" t="str">
        <x:v>Validate DOM sanitization, reconstruction boundary, egress inspection and semantic defenses.</x:v>
      </x:c>
      <x:c r="I10" s="228" t="str">
        <x:v>High</x:v>
      </x:c>
      <x:c r="J10" s="229" t="str">
        <x:v>https://www.menlosecurity.com/product/remote-browser-isolation</x:v>
      </x:c>
    </x:row>
    <x:row r="11">
      <x:c r="A11" s="220" t="str">
        <x:v>LayerX</x:v>
      </x:c>
      <x:c r="B11" s="228" t="str">
        <x:v>Enterprise browser extension</x:v>
      </x:c>
      <x:c r="C11" s="228" t="str">
        <x:v>No</x:v>
      </x:c>
      <x:c r="D11" s="228" t="str">
        <x:v>Browser extension</x:v>
      </x:c>
      <x:c r="E11" s="228" t="str">
        <x:v>Shadow AI and GenAI DLP</x:v>
      </x:c>
      <x:c r="F11" s="228" t="str">
        <x:v>Core capability</x:v>
      </x:c>
      <x:c r="G11" s="228" t="str">
        <x:v>Fast deployment, SaaS identity, Shadow AI, DLP and extension visibility</x:v>
      </x:c>
      <x:c r="H11" s="228" t="str">
        <x:v>Validate tamper resistance, cross-browser parity, exploit depth and failure behavior.</x:v>
      </x:c>
      <x:c r="I11" s="228" t="str">
        <x:v>High</x:v>
      </x:c>
      <x:c r="J11" s="229" t="str">
        <x:v>https://layerxsecurity.com/</x:v>
      </x:c>
    </x:row>
    <x:row r="12">
      <x:c r="A12" s="220" t="str">
        <x:v>Seraphic Security</x:v>
      </x:c>
      <x:c r="B12" s="228" t="str">
        <x:v>Browser runtime agent, extension or hardened browser</x:v>
      </x:c>
      <x:c r="C12" s="228" t="str">
        <x:v>No conventional cloud RBI</x:v>
      </x:c>
      <x:c r="D12" s="228" t="str">
        <x:v>Runtime instrumentation</x:v>
      </x:c>
      <x:c r="E12" s="228" t="str">
        <x:v>AI security and interaction controls</x:v>
      </x:c>
      <x:c r="F12" s="228" t="str">
        <x:v>Continuous extension risk evaluation</x:v>
      </x:c>
      <x:c r="G12" s="228" t="str">
        <x:v>Execution-layer protection, token defense, telemetry and zero-day mitigation</x:v>
      </x:c>
      <x:c r="H12" s="228" t="str">
        <x:v>Validate depth, moving-target claims, compatibility and independent exploit testing.</x:v>
      </x:c>
      <x:c r="I12" s="228" t="str">
        <x:v>High</x:v>
      </x:c>
      <x:c r="J12" s="229" t="str">
        <x:v>https://seraphicsecurity.com/product/</x:v>
      </x:c>
    </x:row>
    <x:row r="13">
      <x:c r="A13" s="220" t="str">
        <x:v>Conceal</x:v>
      </x:c>
      <x:c r="B13" s="228" t="str">
        <x:v>Browser-native security platform</x:v>
      </x:c>
      <x:c r="C13" s="228" t="str">
        <x:v>Not verified as full current cloud RBI</x:v>
      </x:c>
      <x:c r="D13" s="228" t="str">
        <x:v>In-browser enforcement</x:v>
      </x:c>
      <x:c r="E13" s="228" t="str">
        <x:v>AI-driven risk and behavior analysis</x:v>
      </x:c>
      <x:c r="F13" s="228" t="str">
        <x:v>Requires validation</x:v>
      </x:c>
      <x:c r="G13" s="228" t="str">
        <x:v>AiTM, HTML-smuggling, session-hijacking and behavior analysis</x:v>
      </x:c>
      <x:c r="H13" s="228" t="str">
        <x:v>Clarify current remote execution, isolation boundary and endpoint-delivered code.</x:v>
      </x:c>
      <x:c r="I13" s="228" t="str">
        <x:v>Medium</x:v>
      </x:c>
      <x:c r="J13" s="229" t="str">
        <x:v>https://conceal.io/browser-security/</x:v>
      </x:c>
    </x:row>
    <x:row r="14">
      <x:c r="A14" s="220" t="str">
        <x:v>Island</x:v>
      </x:c>
      <x:c r="B14" s="228" t="str">
        <x:v>Enterprise browser and extension</x:v>
      </x:c>
      <x:c r="C14" s="228" t="str">
        <x:v>No</x:v>
      </x:c>
      <x:c r="D14" s="228" t="str">
        <x:v>Managed browser or extension</x:v>
      </x:c>
      <x:c r="E14" s="228" t="str">
        <x:v>AI services, AI governance and MCP-integrated agents</x:v>
      </x:c>
      <x:c r="F14" s="228" t="str">
        <x:v>Built-in management</x:v>
      </x:c>
      <x:c r="G14" s="228" t="str">
        <x:v>Identity, DLP, AI governance, BYOD and last-mile action control</x:v>
      </x:c>
      <x:c r="H14" s="228" t="str">
        <x:v>Validate model data flow, cross-tab boundaries, endpoint integration and extension parity.</x:v>
      </x:c>
      <x:c r="I14" s="228" t="str">
        <x:v>High</x:v>
      </x:c>
      <x:c r="J14" s="229" t="str">
        <x:v>https://www.island.io/enterprise-browser</x:v>
      </x:c>
    </x:row>
    <x:row r="15">
      <x:c r="A15" s="220" t="str">
        <x:v>SURF Security</x:v>
      </x:c>
      <x:c r="B15" s="228" t="str">
        <x:v>Endpoint enterprise browser and extension</x:v>
      </x:c>
      <x:c r="C15" s="228" t="str">
        <x:v>No</x:v>
      </x:c>
      <x:c r="D15" s="228" t="str">
        <x:v>Endpoint browser or extension</x:v>
      </x:c>
      <x:c r="E15" s="228" t="str">
        <x:v>Shadow AI and Agentic AI capabilities</x:v>
      </x:c>
      <x:c r="F15" s="228" t="str">
        <x:v>Browser and extension governance</x:v>
      </x:c>
      <x:c r="G15" s="228" t="str">
        <x:v>Rapid deployment, DLP, identity-driven controls and interaction restrictions</x:v>
      </x:c>
      <x:c r="H15" s="228" t="str">
        <x:v>Validate mobile parity, agentic boundaries, file inspection and control-plane resilience.</x:v>
      </x:c>
      <x:c r="I15" s="228" t="str">
        <x:v>Medium</x:v>
      </x:c>
      <x:c r="J15" s="229" t="str">
        <x:v>https://www.surf.security/platform/fullbrowser</x:v>
      </x:c>
    </x:row>
    <x:row r="16">
      <x:c r="A16" s="223" t="str">
        <x:v>Mammoth Cyber</x:v>
      </x:c>
      <x:c r="B16" s="230" t="str">
        <x:v>Enterprise AI browser with isolation claims</x:v>
      </x:c>
      <x:c r="C16" s="230" t="str">
        <x:v>Not independently verified</x:v>
      </x:c>
      <x:c r="D16" s="230" t="str">
        <x:v>Managed enterprise browser</x:v>
      </x:c>
      <x:c r="E16" s="230" t="str">
        <x:v>GenAI controls and prompt protection</x:v>
      </x:c>
      <x:c r="F16" s="230" t="str">
        <x:v>Claims malicious-extension protection</x:v>
      </x:c>
      <x:c r="G16" s="230" t="str">
        <x:v>BYOD, SaaS, AI workspace and data isolation</x:v>
      </x:c>
      <x:c r="H16" s="230" t="str">
        <x:v>Require architecture diagrams, penetration testing and proof of remote execution.</x:v>
      </x:c>
      <x:c r="I16" s="230" t="str">
        <x:v>Medium</x:v>
      </x:c>
      <x:c r="J16" s="231" t="str">
        <x:v>https://mammothcyber.com/browser-isolation/</x:v>
      </x:c>
    </x:row>
    <x:row r="17">
      <x:c r="A17" s="405" t="str">
        <x:v>Cisco Secure Access RBI</x:v>
      </x:c>
      <x:c r="B17" s="413" t="str">
        <x:v>Cloud RBI integrated with SSE, SWG, CASB, DNS, DLP and threat services</x:v>
      </x:c>
      <x:c r="C17" s="413" t="str">
        <x:v>Yes</x:v>
      </x:c>
      <x:c r="D17" s="413" t="str">
        <x:v>Secure Access routing and browser session enforcement</x:v>
      </x:c>
      <x:c r="E17" s="413" t="str">
        <x:v>AI semantic inspection for MCP and AI-agent traffic</x:v>
      </x:c>
      <x:c r="F17" s="413" t="str">
        <x:v>OAuth plug-in controls are provided through CASB; browser extensions depend on endpoint/browser stack</x:v>
      </x:c>
      <x:c r="G17" s="413" t="str">
        <x:v>Advanced isolation controls, password-protected file inspection, retrospective file verdicts, Talos/Investigate enrichment</x:v>
      </x:c>
      <x:c r="H17" s="413" t="str">
        <x:v>Validate RBI Advanced licensing, interaction-control parity, file-inspection limits, HTTP/3 handling, MCP semantic enforcement and unmanaged-device behavior.</x:v>
      </x:c>
      <x:c r="I17" s="413" t="str">
        <x:v>High</x:v>
      </x:c>
      <x:c r="J17" s="414" t="str">
        <x:v>https://www.cisco.com/c/en/us/products/collateral/security/secure-access/secure-access-ds.html</x:v>
      </x:c>
    </x:row>
    <x:row r="18">
      <x:c r="A18" s="408" t="str">
        <x:v>Check Point Harmony Browse</x:v>
      </x:c>
      <x:c r="B18" s="228" t="str">
        <x:v>Browser-native security extension</x:v>
      </x:c>
      <x:c r="C18" s="228" t="str">
        <x:v>No</x:v>
      </x:c>
      <x:c r="D18" s="228" t="str">
        <x:v>Browser extension on managed or BYOD endpoint</x:v>
      </x:c>
      <x:c r="E18" s="228" t="str">
        <x:v>AI-assisted phishing and threat analysis</x:v>
      </x:c>
      <x:c r="F18" s="228" t="str">
        <x:v>Browser-extension delivery model</x:v>
      </x:c>
      <x:c r="G18" s="228" t="str">
        <x:v>Visual/text/domain phishing analysis, corporate password reuse prevention, Threat Emulation, CDR and upload emulation</x:v>
      </x:c>
      <x:c r="H18" s="228" t="str">
        <x:v>Do not award remote-execution credit; validate extension tamper resistance, browser parity, privacy of credential protection and upload inspection coverage.</x:v>
      </x:c>
      <x:c r="I18" s="228" t="str">
        <x:v>High</x:v>
      </x:c>
      <x:c r="J18" s="415" t="str">
        <x:v>https://www.checkpoint.com/resources/white-paper-e0a1/solution-brief-comprehensive-threat-prevention-for-web-users-with-harmony-browse</x:v>
      </x:c>
    </x:row>
    <x:row r="19">
      <x:c r="A19" s="408" t="str">
        <x:v>Forcepoint RBI</x:v>
      </x:c>
      <x:c r="B19" s="228" t="str">
        <x:v>Cloud or integrated RBI with disposable remote browser containers</x:v>
      </x:c>
      <x:c r="C19" s="228" t="str">
        <x:v>Yes</x:v>
      </x:c>
      <x:c r="D19" s="228" t="str">
        <x:v>Remote isolation integrated with Forcepoint web/data security</x:v>
      </x:c>
      <x:c r="E19" s="228" t="str">
        <x:v>Separate Forcepoint AI/data-security capabilities</x:v>
      </x:c>
      <x:c r="F19" s="228" t="str">
        <x:v>Depends on browser and SSE deployment</x:v>
      </x:c>
      <x:c r="G19" s="228" t="str">
        <x:v>Read-only phishing defense, Zero Trust CDR, reverse RBI, safe preview and steganographic upload sanitization</x:v>
      </x:c>
      <x:c r="H19" s="228" t="str">
        <x:v>Validate rendering mode, CDR coverage, reverse-isolation policies, upload DLP, endpoint cache behavior and downstream egress inspection.</x:v>
      </x:c>
      <x:c r="I19" s="228" t="str">
        <x:v>High</x:v>
      </x:c>
      <x:c r="J19" s="415" t="str">
        <x:v>https://www.forcepoint.com/product/remote-browser-isolation</x:v>
      </x:c>
    </x:row>
    <x:row r="20">
      <x:c r="A20" s="408" t="str">
        <x:v>iboss Browser Isolation</x:v>
      </x:c>
      <x:c r="B20" s="228" t="str">
        <x:v>Cloud RBI using pixel streaming inside Zero Trust SASE</x:v>
      </x:c>
      <x:c r="C20" s="228" t="str">
        <x:v>Yes</x:v>
      </x:c>
      <x:c r="D20" s="228" t="str">
        <x:v>Clientless browser isolation and SSO</x:v>
      </x:c>
      <x:c r="E20" s="228" t="str">
        <x:v>Platform AI capabilities are separate from RBI</x:v>
      </x:c>
      <x:c r="F20" s="228" t="str">
        <x:v>Not a primary extension-governance product</x:v>
      </x:c>
      <x:c r="G20" s="228" t="str">
        <x:v>Only pixels to endpoint, agentless HTTPS decryption, anonymous research, zero-data-on-device mode, private app access</x:v>
      </x:c>
      <x:c r="H20" s="228" t="str">
        <x:v>Validate true pixel-only mode, TLS-decryption exceptions, browser fingerprint suppression, SIEM detail and SSH/RDP isolation controls.</x:v>
      </x:c>
      <x:c r="I20" s="228" t="str">
        <x:v>High</x:v>
      </x:c>
      <x:c r="J20" s="415" t="str">
        <x:v>https://www.iboss.com/browser-isolation</x:v>
      </x:c>
    </x:row>
    <x:row r="21">
      <x:c r="A21" s="410" t="str">
        <x:v>Broadcom Symantec Web Isolation</x:v>
      </x:c>
      <x:c r="B21" s="416" t="str">
        <x:v>Cloud and on-premises web isolation integrated with Symantec SWG</x:v>
      </x:c>
      <x:c r="C21" s="416" t="str">
        <x:v>Yes</x:v>
      </x:c>
      <x:c r="D21" s="416" t="str">
        <x:v>Clientless isolation via SWG / ProxySG integration</x:v>
      </x:c>
      <x:c r="E21" s="416" t="str">
        <x:v>Not a primary AI-agent security platform</x:v>
      </x:c>
      <x:c r="F21" s="416" t="str">
        <x:v>Not a primary extension-governance product</x:v>
      </x:c>
      <x:c r="G21" s="416" t="str">
        <x:v>High-risk isolation, read-only phishing defense, DLP/SWG integration, clientless multi-browser support</x:v>
      </x:c>
      <x:c r="H21" s="416" t="str">
        <x:v>Validate dual-mode rendering, authentication redirect handling, regional deployment, WebSocket policy and data-protection parity.</x:v>
      </x:c>
      <x:c r="I21" s="416" t="str">
        <x:v>High</x:v>
      </x:c>
      <x:c r="J21" s="417" t="str">
        <x:v>https://docs.broadcom.com/doc/web-isolation-en</x:v>
      </x:c>
    </x:row>
    <x:row r="22">
      <x:c r="A22" s="454" t="str">
        <x:v>Fortinet FortiSASE RBI</x:v>
      </x:c>
      <x:c r="B22" s="462" t="str">
        <x:v>Cloud RBI integrated with FortiSASE proxy/SWG</x:v>
      </x:c>
      <x:c r="C22" s="462" t="str">
        <x:v>Yes</x:v>
      </x:c>
      <x:c r="D22" s="462" t="str">
        <x:v>Proxy-based FortiSASE enforcement</x:v>
      </x:c>
      <x:c r="E22" s="462" t="str">
        <x:v>Separate FortiSASE AI and Secure Browser capabilities</x:v>
      </x:c>
      <x:c r="F22" s="462" t="str">
        <x:v>Not a primary extension capability</x:v>
      </x:c>
      <x:c r="G22" s="462" t="str">
        <x:v>Pixel-rendered remote sessions, cookie/copy/paste/print controls, file-type controls and SASE integration</x:v>
      </x:c>
      <x:c r="H22" s="462" t="str">
        <x:v>RBI is select availability and Fortinet recommends Secure Browser as the alternative; validate proxy-only scope, annual isolation quota, HTTP/3 and non-web coverage, PoP availability and fallback behavior.</x:v>
      </x:c>
      <x:c r="I22" s="462" t="str">
        <x:v>High</x:v>
      </x:c>
      <x:c r="J22" s="463" t="str">
        <x:v>https://docs.fortinet.com/document/fortisase/26.1.107/feature-administration-guide/084033/rbi</x:v>
      </x:c>
    </x:row>
    <x:row r="23">
      <x:c r="A23" s="457" t="str">
        <x:v>Fortinet FortiIsolator</x:v>
      </x:c>
      <x:c r="B23" s="228" t="str">
        <x:v>Dedicated browser-isolation appliance, VM and private-cloud platform</x:v>
      </x:c>
      <x:c r="C23" s="228" t="str">
        <x:v>Yes</x:v>
      </x:c>
      <x:c r="D23" s="228" t="str">
        <x:v>Disposable remote containers and clientless HTML5 access</x:v>
      </x:c>
      <x:c r="E23" s="228" t="str">
        <x:v>Not a primary AI-agent platform</x:v>
      </x:c>
      <x:c r="F23" s="228" t="str">
        <x:v>Not a primary extension-governance product</x:v>
      </x:c>
      <x:c r="G23" s="228" t="str">
        <x:v>Visual air gap, view-only mode, directional clipboard, file allow/block lists, CDR, FortiSandbox/Votiro, ICAP, web filtering, HA and SAML</x:v>
      </x:c>
      <x:c r="H23" s="228" t="str">
        <x:v>Validate rendering architecture, browser compatibility, ICAP and sandbox failure behavior, cookie lifetime, guest mode, management-plane protection, logging package deployment and upgrade lifecycle.</x:v>
      </x:c>
      <x:c r="I23" s="228" t="str">
        <x:v>High</x:v>
      </x:c>
      <x:c r="J23" s="464" t="str">
        <x:v>https://docs.fortinet.com/product/fortiisolator/3.0</x:v>
      </x:c>
    </x:row>
    <x:row r="24">
      <x:c r="A24" s="459" t="str">
        <x:v>Fortinet FortiSASE Secure Browser</x:v>
      </x:c>
      <x:c r="B24" s="465" t="str">
        <x:v>Managed browser-security extension integrated with FortiSASE</x:v>
      </x:c>
      <x:c r="C24" s="465" t="str">
        <x:v>No</x:v>
      </x:c>
      <x:c r="D24" s="465" t="str">
        <x:v>Chrome and Edge extension on Windows and macOS</x:v>
      </x:c>
      <x:c r="E24" s="465" t="str">
        <x:v>Dynamic page inspection and DLP controls; AI-app edge cases require testing</x:v>
      </x:c>
      <x:c r="F24" s="465" t="str">
        <x:v>Core enforcement is a browser extension</x:v>
      </x:c>
      <x:c r="G24" s="465" t="str">
        <x:v>Dynamic zero-hour page inspection, sensitive-input controls, upload/download/print/paste policies and unmanaged-user support</x:v>
      </x:c>
      <x:c r="H24" s="465" t="str">
        <x:v>Do not award RBI remote-execution credit; validate incognito behavior, inline copy-button exceptions, saved-copy watermark behavior, cross-browser/mobile support and extension tamper resistance.</x:v>
      </x:c>
      <x:c r="I24" s="465" t="str">
        <x:v>High</x:v>
      </x:c>
      <x:c r="J24" s="466" t="str">
        <x:v>https://docs.fortinet.com/document/fortisase/latest/feature-administration-guide/397486/secure-browser</x:v>
      </x:c>
    </x:row>
  </x:sheetData>
  <x:mergeCells>
    <x:mergeCell ref="A1:J1"/>
    <x:mergeCell ref="A2:J2"/>
    <x:mergeCell ref="A4:J4"/>
  </x:mergeCells>
  <x:pageMargins left="0.7" right="0.7" top="0.75" bottom="0.75" header="0.3" footer="0.3"/>
  <x:tableParts count="1">
    <x:tablePart xmlns:r="http://schemas.openxmlformats.org/officeDocument/2006/relationships" r:id="R4a0fc4804e484cc1"/>
  </x:tableParts>
</x:worksheet>
</file>